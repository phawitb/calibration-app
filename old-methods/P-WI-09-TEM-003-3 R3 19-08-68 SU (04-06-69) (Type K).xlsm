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เวิร์กบุ๊กนี้" defaultThemeVersion="124226"/>
  <mc:AlternateContent xmlns:mc="http://schemas.openxmlformats.org/markup-compatibility/2006">
    <mc:Choice Requires="x15">
      <x15ac:absPath xmlns:x15ac="http://schemas.microsoft.com/office/spreadsheetml/2010/11/ac" url="D:\ย้ายมาจากไดรฟ์ C\desktop\งาน Iab ISO\1 QM-QP Master\P โปรแกรม\"/>
    </mc:Choice>
  </mc:AlternateContent>
  <xr:revisionPtr revIDLastSave="0" documentId="13_ncr:1_{589878C4-F1F7-4AB6-BC93-903F806A258A}" xr6:coauthVersionLast="47" xr6:coauthVersionMax="47" xr10:uidLastSave="{00000000-0000-0000-0000-000000000000}"/>
  <bookViews>
    <workbookView xWindow="-120" yWindow="-120" windowWidth="29040" windowHeight="15840" activeTab="7" xr2:uid="{6715D315-1E4F-4F8D-BFCA-5DCC86F3B0D1}"/>
  </bookViews>
  <sheets>
    <sheet name="Certificate" sheetId="76" r:id="rId1"/>
    <sheet name="Page1" sheetId="78" r:id="rId2"/>
    <sheet name="DTM" sheetId="101" state="hidden" r:id="rId3"/>
    <sheet name="Data" sheetId="80" state="hidden" r:id="rId4"/>
    <sheet name="Data (2)" sheetId="100" state="hidden" r:id="rId5"/>
    <sheet name="STD" sheetId="81" state="hidden" r:id="rId6"/>
    <sheet name="Cal Ref" sheetId="91" r:id="rId7"/>
    <sheet name="Cal 1" sheetId="94" r:id="rId8"/>
  </sheets>
  <externalReferences>
    <externalReference r:id="rId9"/>
  </externalReferences>
  <definedNames>
    <definedName name="_xlnm._FilterDatabase" localSheetId="3" hidden="1">Data!$H$1:$I$1</definedName>
    <definedName name="Data">[1]!Data</definedName>
    <definedName name="ExternalData_1" localSheetId="4" hidden="1">'Data (2)'!$A$1:$K$57</definedName>
    <definedName name="ExternalData_2" localSheetId="2" hidden="1">DTM!$A$1:$T$37</definedName>
    <definedName name="Name.Personnel" localSheetId="7">Personnel[Name]</definedName>
    <definedName name="Name.Personnel" localSheetId="6">Personnel[Name]</definedName>
    <definedName name="Name.Personnel">Personnel[Name]</definedName>
    <definedName name="_xlnm.Print_Area" localSheetId="7">'Cal 1'!$A$1:$BA$40</definedName>
    <definedName name="_xlnm.Print_Area" localSheetId="6">'Cal Ref'!$A$1:$BA$71</definedName>
    <definedName name="_xlnm.Print_Area" localSheetId="0">Certificate!$A$1:$AM$82</definedName>
    <definedName name="_xlnm.Print_Area" localSheetId="1">Page1!$A$1:$AT$41</definedName>
    <definedName name="S_TEM_001">STD!$W$3:$W$4</definedName>
    <definedName name="Standard">[1]!Data</definedName>
    <definedName name="Toolcode.Apparatus" localSheetId="7">#REF!</definedName>
    <definedName name="Toolcode.Apparatus" localSheetId="6">#REF!</definedName>
    <definedName name="Toolcode.Apparatus">#REF!</definedName>
    <definedName name="Toolcode.Ref.STD" localSheetId="7">#REF!</definedName>
    <definedName name="Toolcode.Ref.STD" localSheetId="6">#REF!</definedName>
    <definedName name="Toolcode.Ref.STD">#REF!</definedName>
    <definedName name="W_TEM_001">STD!$X$3:$X$4</definedName>
    <definedName name="W_TEM_002">STD!$Y$3:$Y$4</definedName>
    <definedName name="W_TEM_016">STD!$Z$3:$Z$4</definedName>
  </definedNames>
  <calcPr calcId="191029"/>
</workbook>
</file>

<file path=xl/calcChain.xml><?xml version="1.0" encoding="utf-8"?>
<calcChain xmlns="http://schemas.openxmlformats.org/spreadsheetml/2006/main">
  <c r="AN22" i="78" l="1"/>
  <c r="AH61" i="76" s="1"/>
  <c r="AN23" i="78" l="1"/>
  <c r="AH62" i="76" s="1"/>
  <c r="F27" i="81"/>
  <c r="Y2" i="81" l="1"/>
  <c r="Z2" i="81"/>
  <c r="AA2" i="81"/>
  <c r="AB2" i="81"/>
  <c r="Y3" i="81"/>
  <c r="Z3" i="81"/>
  <c r="AA3" i="81"/>
  <c r="AB3" i="81"/>
  <c r="Y4" i="81"/>
  <c r="Z4" i="81"/>
  <c r="AA4" i="81"/>
  <c r="AB4" i="81"/>
  <c r="X4" i="81"/>
  <c r="X3" i="81"/>
  <c r="X2" i="81"/>
  <c r="A27" i="81"/>
  <c r="B27" i="81"/>
  <c r="C27" i="81"/>
  <c r="D27" i="81"/>
  <c r="E27" i="81"/>
  <c r="G27" i="81"/>
  <c r="A28" i="81"/>
  <c r="B28" i="81"/>
  <c r="C28" i="81"/>
  <c r="D28" i="81"/>
  <c r="E28" i="81"/>
  <c r="F28" i="81"/>
  <c r="G28" i="81"/>
  <c r="A29" i="81"/>
  <c r="B29" i="81"/>
  <c r="C29" i="81"/>
  <c r="D29" i="81"/>
  <c r="E29" i="81"/>
  <c r="F29" i="81"/>
  <c r="G29" i="81"/>
  <c r="A30" i="81"/>
  <c r="B30" i="81"/>
  <c r="C30" i="81"/>
  <c r="D30" i="81"/>
  <c r="E30" i="81"/>
  <c r="F30" i="81"/>
  <c r="G30" i="81"/>
  <c r="A31" i="81"/>
  <c r="B31" i="81"/>
  <c r="C31" i="81"/>
  <c r="D31" i="81"/>
  <c r="E31" i="81"/>
  <c r="F31" i="81"/>
  <c r="G31" i="81"/>
  <c r="A32" i="81"/>
  <c r="B32" i="81"/>
  <c r="C32" i="81"/>
  <c r="D32" i="81"/>
  <c r="E32" i="81"/>
  <c r="F32" i="81"/>
  <c r="G32" i="81"/>
  <c r="B26" i="81"/>
  <c r="C26" i="81"/>
  <c r="D26" i="81"/>
  <c r="E26" i="81"/>
  <c r="F26" i="81"/>
  <c r="G26" i="81"/>
  <c r="A26" i="81"/>
  <c r="A14" i="81"/>
  <c r="B14" i="81"/>
  <c r="C14" i="81"/>
  <c r="D14" i="81"/>
  <c r="E14" i="81"/>
  <c r="F14" i="81"/>
  <c r="G14" i="81"/>
  <c r="A15" i="81"/>
  <c r="B15" i="81"/>
  <c r="C15" i="81"/>
  <c r="D15" i="81"/>
  <c r="E15" i="81"/>
  <c r="F15" i="81"/>
  <c r="G15" i="81"/>
  <c r="A16" i="81"/>
  <c r="B16" i="81"/>
  <c r="C16" i="81"/>
  <c r="D16" i="81"/>
  <c r="E16" i="81"/>
  <c r="F16" i="81"/>
  <c r="G16" i="81"/>
  <c r="A17" i="81"/>
  <c r="B17" i="81"/>
  <c r="C17" i="81"/>
  <c r="D17" i="81"/>
  <c r="E17" i="81"/>
  <c r="F17" i="81"/>
  <c r="G17" i="81"/>
  <c r="A18" i="81"/>
  <c r="B18" i="81"/>
  <c r="C18" i="81"/>
  <c r="D18" i="81"/>
  <c r="E18" i="81"/>
  <c r="F18" i="81"/>
  <c r="G18" i="81"/>
  <c r="B13" i="81"/>
  <c r="C13" i="81"/>
  <c r="D13" i="81"/>
  <c r="E13" i="81"/>
  <c r="F13" i="81"/>
  <c r="G13" i="81"/>
  <c r="A13" i="81"/>
  <c r="A4" i="81"/>
  <c r="B4" i="81"/>
  <c r="C4" i="81"/>
  <c r="D4" i="81"/>
  <c r="E4" i="81"/>
  <c r="F4" i="81"/>
  <c r="G4" i="81"/>
  <c r="A5" i="81"/>
  <c r="B5" i="81"/>
  <c r="C5" i="81"/>
  <c r="D5" i="81"/>
  <c r="E5" i="81"/>
  <c r="F5" i="81"/>
  <c r="G5" i="81"/>
  <c r="A6" i="81"/>
  <c r="B6" i="81"/>
  <c r="C6" i="81"/>
  <c r="D6" i="81"/>
  <c r="E6" i="81"/>
  <c r="F6" i="81"/>
  <c r="G6" i="81"/>
  <c r="B3" i="81"/>
  <c r="C3" i="81"/>
  <c r="D3" i="81"/>
  <c r="E3" i="81"/>
  <c r="F3" i="81"/>
  <c r="G3" i="81"/>
  <c r="A3" i="81"/>
  <c r="K3" i="80"/>
  <c r="K4" i="80"/>
  <c r="K5" i="80"/>
  <c r="K6" i="80"/>
  <c r="K7" i="80"/>
  <c r="K8" i="80"/>
  <c r="K9" i="80"/>
  <c r="K10" i="80"/>
  <c r="K11" i="80"/>
  <c r="K12" i="80"/>
  <c r="K13" i="80"/>
  <c r="K2" i="80"/>
  <c r="H4" i="80"/>
  <c r="I4" i="80"/>
  <c r="H5" i="80"/>
  <c r="I5" i="80"/>
  <c r="H6" i="80"/>
  <c r="I6" i="80"/>
  <c r="H7" i="80"/>
  <c r="I7" i="80"/>
  <c r="H8" i="80"/>
  <c r="I8" i="80"/>
  <c r="H9" i="80"/>
  <c r="I9" i="80"/>
  <c r="H10" i="80"/>
  <c r="I10" i="80"/>
  <c r="H11" i="80"/>
  <c r="I11" i="80"/>
  <c r="H12" i="80"/>
  <c r="I12" i="80"/>
  <c r="H13" i="80"/>
  <c r="I13" i="80"/>
  <c r="H14" i="80"/>
  <c r="I14" i="80"/>
  <c r="H15" i="80"/>
  <c r="I15" i="80"/>
  <c r="H16" i="80"/>
  <c r="I16" i="80"/>
  <c r="H17" i="80"/>
  <c r="I17" i="80"/>
  <c r="H18" i="80"/>
  <c r="I18" i="80"/>
  <c r="I3" i="80"/>
  <c r="H3" i="80"/>
  <c r="A3" i="80"/>
  <c r="B3" i="80"/>
  <c r="C3" i="80"/>
  <c r="D3" i="80"/>
  <c r="E3" i="80"/>
  <c r="F3" i="80"/>
  <c r="A4" i="80"/>
  <c r="B4" i="80"/>
  <c r="C4" i="80"/>
  <c r="D4" i="80"/>
  <c r="E4" i="80"/>
  <c r="F4" i="80"/>
  <c r="A5" i="80"/>
  <c r="B5" i="80"/>
  <c r="C5" i="80"/>
  <c r="D5" i="80"/>
  <c r="E5" i="80"/>
  <c r="F5" i="80"/>
  <c r="A6" i="80"/>
  <c r="B6" i="80"/>
  <c r="C6" i="80"/>
  <c r="D6" i="80"/>
  <c r="E6" i="80"/>
  <c r="F6" i="80"/>
  <c r="A7" i="80"/>
  <c r="B7" i="80"/>
  <c r="C7" i="80"/>
  <c r="D7" i="80"/>
  <c r="E7" i="80"/>
  <c r="F7" i="80"/>
  <c r="A8" i="80"/>
  <c r="B8" i="80"/>
  <c r="C8" i="80"/>
  <c r="D8" i="80"/>
  <c r="E8" i="80"/>
  <c r="F8" i="80"/>
  <c r="A9" i="80"/>
  <c r="B9" i="80"/>
  <c r="C9" i="80"/>
  <c r="D9" i="80"/>
  <c r="E9" i="80"/>
  <c r="F9" i="80"/>
  <c r="A10" i="80"/>
  <c r="B10" i="80"/>
  <c r="C10" i="80"/>
  <c r="D10" i="80"/>
  <c r="E10" i="80"/>
  <c r="F10" i="80"/>
  <c r="A11" i="80"/>
  <c r="B11" i="80"/>
  <c r="C11" i="80"/>
  <c r="D11" i="80"/>
  <c r="E11" i="80"/>
  <c r="F11" i="80"/>
  <c r="A12" i="80"/>
  <c r="B12" i="80"/>
  <c r="C12" i="80"/>
  <c r="D12" i="80"/>
  <c r="E12" i="80"/>
  <c r="F12" i="80"/>
  <c r="A13" i="80"/>
  <c r="B13" i="80"/>
  <c r="C13" i="80"/>
  <c r="D13" i="80"/>
  <c r="E13" i="80"/>
  <c r="F13" i="80"/>
  <c r="A14" i="80"/>
  <c r="B14" i="80"/>
  <c r="C14" i="80"/>
  <c r="D14" i="80"/>
  <c r="E14" i="80"/>
  <c r="F14" i="80"/>
  <c r="A15" i="80"/>
  <c r="B15" i="80"/>
  <c r="C15" i="80"/>
  <c r="D15" i="80"/>
  <c r="E15" i="80"/>
  <c r="F15" i="80"/>
  <c r="A16" i="80"/>
  <c r="B16" i="80"/>
  <c r="C16" i="80"/>
  <c r="D16" i="80"/>
  <c r="E16" i="80"/>
  <c r="F16" i="80"/>
  <c r="A17" i="80"/>
  <c r="B17" i="80"/>
  <c r="C17" i="80"/>
  <c r="D17" i="80"/>
  <c r="E17" i="80"/>
  <c r="F17" i="80"/>
  <c r="A18" i="80"/>
  <c r="B18" i="80"/>
  <c r="C18" i="80"/>
  <c r="D18" i="80"/>
  <c r="E18" i="80"/>
  <c r="F18" i="80"/>
  <c r="A19" i="80"/>
  <c r="B19" i="80"/>
  <c r="C19" i="80"/>
  <c r="D19" i="80"/>
  <c r="E19" i="80"/>
  <c r="F19" i="80"/>
  <c r="A20" i="80"/>
  <c r="B20" i="80"/>
  <c r="C20" i="80"/>
  <c r="D20" i="80"/>
  <c r="E20" i="80"/>
  <c r="F20" i="80"/>
  <c r="A21" i="80"/>
  <c r="B21" i="80"/>
  <c r="C21" i="80"/>
  <c r="D21" i="80"/>
  <c r="E21" i="80"/>
  <c r="F21" i="80"/>
  <c r="A22" i="80"/>
  <c r="B22" i="80"/>
  <c r="C22" i="80"/>
  <c r="D22" i="80"/>
  <c r="E22" i="80"/>
  <c r="F22" i="80"/>
  <c r="A23" i="80"/>
  <c r="B23" i="80"/>
  <c r="C23" i="80"/>
  <c r="D23" i="80"/>
  <c r="E23" i="80"/>
  <c r="F23" i="80"/>
  <c r="A24" i="80"/>
  <c r="B24" i="80"/>
  <c r="C24" i="80"/>
  <c r="D24" i="80"/>
  <c r="E24" i="80"/>
  <c r="F24" i="80"/>
  <c r="A25" i="80"/>
  <c r="B25" i="80"/>
  <c r="C25" i="80"/>
  <c r="D25" i="80"/>
  <c r="E25" i="80"/>
  <c r="F25" i="80"/>
  <c r="A26" i="80"/>
  <c r="B26" i="80"/>
  <c r="C26" i="80"/>
  <c r="D26" i="80"/>
  <c r="E26" i="80"/>
  <c r="F26" i="80"/>
  <c r="A27" i="80"/>
  <c r="B27" i="80"/>
  <c r="C27" i="80"/>
  <c r="D27" i="80"/>
  <c r="E27" i="80"/>
  <c r="F27" i="80"/>
  <c r="A28" i="80"/>
  <c r="B28" i="80"/>
  <c r="C28" i="80"/>
  <c r="D28" i="80"/>
  <c r="E28" i="80"/>
  <c r="F28" i="80"/>
  <c r="A29" i="80"/>
  <c r="B29" i="80"/>
  <c r="C29" i="80"/>
  <c r="D29" i="80"/>
  <c r="E29" i="80"/>
  <c r="F29" i="80"/>
  <c r="A30" i="80"/>
  <c r="B30" i="80"/>
  <c r="C30" i="80"/>
  <c r="D30" i="80"/>
  <c r="E30" i="80"/>
  <c r="F30" i="80"/>
  <c r="A31" i="80"/>
  <c r="B31" i="80"/>
  <c r="C31" i="80"/>
  <c r="D31" i="80"/>
  <c r="E31" i="80"/>
  <c r="F31" i="80"/>
  <c r="A32" i="80"/>
  <c r="B32" i="80"/>
  <c r="C32" i="80"/>
  <c r="D32" i="80"/>
  <c r="E32" i="80"/>
  <c r="F32" i="80"/>
  <c r="A33" i="80"/>
  <c r="B33" i="80"/>
  <c r="C33" i="80"/>
  <c r="D33" i="80"/>
  <c r="E33" i="80"/>
  <c r="F33" i="80"/>
  <c r="A34" i="80"/>
  <c r="B34" i="80"/>
  <c r="C34" i="80"/>
  <c r="D34" i="80"/>
  <c r="E34" i="80"/>
  <c r="F34" i="80"/>
  <c r="A35" i="80"/>
  <c r="B35" i="80"/>
  <c r="C35" i="80"/>
  <c r="D35" i="80"/>
  <c r="E35" i="80"/>
  <c r="F35" i="80"/>
  <c r="A36" i="80"/>
  <c r="B36" i="80"/>
  <c r="C36" i="80"/>
  <c r="D36" i="80"/>
  <c r="E36" i="80"/>
  <c r="F36" i="80"/>
  <c r="A37" i="80"/>
  <c r="B37" i="80"/>
  <c r="C37" i="80"/>
  <c r="D37" i="80"/>
  <c r="E37" i="80"/>
  <c r="F37" i="80"/>
  <c r="A38" i="80"/>
  <c r="B38" i="80"/>
  <c r="C38" i="80"/>
  <c r="D38" i="80"/>
  <c r="E38" i="80"/>
  <c r="F38" i="80"/>
  <c r="A39" i="80"/>
  <c r="B39" i="80"/>
  <c r="C39" i="80"/>
  <c r="D39" i="80"/>
  <c r="E39" i="80"/>
  <c r="F39" i="80"/>
  <c r="A40" i="80"/>
  <c r="B40" i="80"/>
  <c r="C40" i="80"/>
  <c r="D40" i="80"/>
  <c r="E40" i="80"/>
  <c r="F40" i="80"/>
  <c r="A41" i="80"/>
  <c r="B41" i="80"/>
  <c r="C41" i="80"/>
  <c r="D41" i="80"/>
  <c r="E41" i="80"/>
  <c r="F41" i="80"/>
  <c r="A42" i="80"/>
  <c r="B42" i="80"/>
  <c r="C42" i="80"/>
  <c r="D42" i="80"/>
  <c r="E42" i="80"/>
  <c r="F42" i="80"/>
  <c r="A43" i="80"/>
  <c r="B43" i="80"/>
  <c r="C43" i="80"/>
  <c r="D43" i="80"/>
  <c r="E43" i="80"/>
  <c r="F43" i="80"/>
  <c r="A44" i="80"/>
  <c r="B44" i="80"/>
  <c r="C44" i="80"/>
  <c r="D44" i="80"/>
  <c r="E44" i="80"/>
  <c r="F44" i="80"/>
  <c r="A45" i="80"/>
  <c r="B45" i="80"/>
  <c r="C45" i="80"/>
  <c r="D45" i="80"/>
  <c r="E45" i="80"/>
  <c r="F45" i="80"/>
  <c r="A46" i="80"/>
  <c r="B46" i="80"/>
  <c r="C46" i="80"/>
  <c r="D46" i="80"/>
  <c r="E46" i="80"/>
  <c r="F46" i="80"/>
  <c r="A47" i="80"/>
  <c r="B47" i="80"/>
  <c r="C47" i="80"/>
  <c r="D47" i="80"/>
  <c r="E47" i="80"/>
  <c r="F47" i="80"/>
  <c r="A48" i="80"/>
  <c r="B48" i="80"/>
  <c r="C48" i="80"/>
  <c r="D48" i="80"/>
  <c r="E48" i="80"/>
  <c r="F48" i="80"/>
  <c r="A49" i="80"/>
  <c r="B49" i="80"/>
  <c r="C49" i="80"/>
  <c r="D49" i="80"/>
  <c r="E49" i="80"/>
  <c r="F49" i="80"/>
  <c r="A50" i="80"/>
  <c r="B50" i="80"/>
  <c r="C50" i="80"/>
  <c r="D50" i="80"/>
  <c r="E50" i="80"/>
  <c r="F50" i="80"/>
  <c r="A51" i="80"/>
  <c r="B51" i="80"/>
  <c r="C51" i="80"/>
  <c r="D51" i="80"/>
  <c r="E51" i="80"/>
  <c r="F51" i="80"/>
  <c r="A52" i="80"/>
  <c r="B52" i="80"/>
  <c r="C52" i="80"/>
  <c r="D52" i="80"/>
  <c r="E52" i="80"/>
  <c r="F52" i="80"/>
  <c r="A53" i="80"/>
  <c r="B53" i="80"/>
  <c r="C53" i="80"/>
  <c r="D53" i="80"/>
  <c r="E53" i="80"/>
  <c r="F53" i="80"/>
  <c r="B2" i="80"/>
  <c r="C2" i="80"/>
  <c r="D2" i="80"/>
  <c r="E2" i="80"/>
  <c r="F2" i="80"/>
  <c r="A2" i="80"/>
  <c r="D44" i="76"/>
  <c r="W44" i="76"/>
  <c r="AB3" i="94"/>
  <c r="W36" i="91"/>
  <c r="AE36" i="91"/>
  <c r="AI36" i="91"/>
  <c r="J26" i="81" l="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J10" i="81"/>
  <c r="J9" i="81"/>
  <c r="J8" i="81"/>
  <c r="J7" i="81"/>
  <c r="J6" i="81"/>
  <c r="J5" i="81"/>
  <c r="J4" i="81"/>
  <c r="J3" i="81"/>
  <c r="J2" i="81"/>
  <c r="AD15" i="76"/>
  <c r="J15" i="76"/>
  <c r="AD14" i="76"/>
  <c r="J14" i="76"/>
  <c r="V27" i="94"/>
  <c r="AK27" i="94" s="1"/>
  <c r="P72" i="76"/>
  <c r="I7" i="91"/>
  <c r="M7" i="91"/>
  <c r="P71" i="76"/>
  <c r="V26" i="94"/>
  <c r="AK26" i="94" s="1"/>
  <c r="V25" i="94"/>
  <c r="AK25" i="94" s="1"/>
  <c r="V23" i="94"/>
  <c r="AK23" i="94" s="1"/>
  <c r="V22" i="94"/>
  <c r="AK22" i="94" s="1"/>
  <c r="V21" i="94"/>
  <c r="AK21" i="94" s="1"/>
  <c r="V20" i="94"/>
  <c r="AK20" i="94" s="1"/>
  <c r="V31" i="94"/>
  <c r="AK31" i="94" s="1"/>
  <c r="AE36" i="94"/>
  <c r="AI33" i="94"/>
  <c r="AI32" i="94"/>
  <c r="AP31" i="94"/>
  <c r="AP30" i="94"/>
  <c r="AP29" i="94"/>
  <c r="AK29" i="94"/>
  <c r="AP28" i="94"/>
  <c r="AP27" i="94"/>
  <c r="AP26" i="94"/>
  <c r="AP25" i="94"/>
  <c r="AP24" i="94"/>
  <c r="AP23" i="94"/>
  <c r="AP22" i="94"/>
  <c r="AP21" i="94"/>
  <c r="AP20" i="94"/>
  <c r="AW13" i="94"/>
  <c r="AS13" i="94"/>
  <c r="AO13" i="94"/>
  <c r="AK13" i="94"/>
  <c r="AG13" i="94"/>
  <c r="AC13" i="94"/>
  <c r="Y13" i="94"/>
  <c r="U13" i="94"/>
  <c r="Q13" i="94"/>
  <c r="M13" i="94"/>
  <c r="I13" i="94"/>
  <c r="E13" i="94"/>
  <c r="AW12" i="94"/>
  <c r="AS12" i="94"/>
  <c r="AO12" i="94"/>
  <c r="AK12" i="94"/>
  <c r="AG12" i="94"/>
  <c r="AC12" i="94"/>
  <c r="Y12" i="94"/>
  <c r="U12" i="94"/>
  <c r="Q12" i="94"/>
  <c r="M12" i="94"/>
  <c r="I12" i="94"/>
  <c r="E12" i="94"/>
  <c r="AW11" i="94"/>
  <c r="AS11" i="94"/>
  <c r="AO11" i="94"/>
  <c r="AK11" i="94"/>
  <c r="AG11" i="94"/>
  <c r="AC11" i="94"/>
  <c r="Y11" i="94"/>
  <c r="U11" i="94"/>
  <c r="Q11" i="94"/>
  <c r="M11" i="94"/>
  <c r="I11" i="94"/>
  <c r="E11" i="94"/>
  <c r="AW10" i="94"/>
  <c r="AS10" i="94"/>
  <c r="AO10" i="94"/>
  <c r="AK10" i="94"/>
  <c r="AG10" i="94"/>
  <c r="AC10" i="94"/>
  <c r="Y10" i="94"/>
  <c r="U10" i="94"/>
  <c r="Q10" i="94"/>
  <c r="M10" i="94"/>
  <c r="I10" i="94"/>
  <c r="E10" i="94"/>
  <c r="AW9" i="94"/>
  <c r="AS9" i="94"/>
  <c r="AS14" i="94" s="1"/>
  <c r="AO9" i="94"/>
  <c r="AO14" i="94" s="1"/>
  <c r="AK9" i="94"/>
  <c r="AK15" i="94" s="1"/>
  <c r="AG9" i="94"/>
  <c r="AG14" i="94" s="1"/>
  <c r="AC9" i="94"/>
  <c r="AC14" i="94" s="1"/>
  <c r="Y9" i="94"/>
  <c r="Y14" i="94" s="1"/>
  <c r="U9" i="94"/>
  <c r="U14" i="94" s="1"/>
  <c r="Q9" i="94"/>
  <c r="Q14" i="94" s="1"/>
  <c r="M9" i="94"/>
  <c r="M15" i="94" s="1"/>
  <c r="I9" i="94"/>
  <c r="E9" i="94"/>
  <c r="AS6" i="94"/>
  <c r="AO6" i="94"/>
  <c r="AK6" i="94"/>
  <c r="AG6" i="94"/>
  <c r="AC6" i="94"/>
  <c r="Y6" i="94"/>
  <c r="U6" i="94"/>
  <c r="Q6" i="94"/>
  <c r="M6" i="94"/>
  <c r="I6" i="94"/>
  <c r="AT18" i="94" s="1"/>
  <c r="AV4" i="94"/>
  <c r="AV3" i="94"/>
  <c r="AY1" i="94"/>
  <c r="AV1" i="94"/>
  <c r="AE63" i="91"/>
  <c r="I71" i="76" l="1"/>
  <c r="I72" i="76"/>
  <c r="AS15" i="94"/>
  <c r="E15" i="94"/>
  <c r="AG15" i="94"/>
  <c r="E14" i="94"/>
  <c r="BA20" i="94" s="1"/>
  <c r="B72" i="76" s="1"/>
  <c r="Q15" i="94"/>
  <c r="I14" i="94"/>
  <c r="BA23" i="94" s="1"/>
  <c r="W72" i="76" s="1"/>
  <c r="U15" i="94"/>
  <c r="AC15" i="94"/>
  <c r="AO15" i="94"/>
  <c r="M14" i="94"/>
  <c r="AK14" i="94"/>
  <c r="Y15" i="94"/>
  <c r="I15" i="94"/>
  <c r="BA24" i="94" s="1"/>
  <c r="AA36" i="91"/>
  <c r="AE34" i="91"/>
  <c r="W34" i="91"/>
  <c r="BK37" i="91"/>
  <c r="AM38" i="91" s="1"/>
  <c r="AD72" i="76" l="1"/>
  <c r="BA21" i="94"/>
  <c r="BA25" i="94"/>
  <c r="V32" i="94"/>
  <c r="AK32" i="94" s="1"/>
  <c r="V33" i="94"/>
  <c r="AP34" i="94" s="1"/>
  <c r="BG36" i="91"/>
  <c r="BC36" i="91"/>
  <c r="BH36" i="91"/>
  <c r="AE37" i="91"/>
  <c r="W37" i="91"/>
  <c r="V58" i="91"/>
  <c r="AK58" i="91" s="1"/>
  <c r="AP58" i="91"/>
  <c r="AP57" i="91"/>
  <c r="BC37" i="91" l="1"/>
  <c r="W38" i="91"/>
  <c r="V30" i="94"/>
  <c r="AK30" i="94" s="1"/>
  <c r="V57" i="91"/>
  <c r="AK57" i="91" s="1"/>
  <c r="AK33" i="94"/>
  <c r="AV4" i="91"/>
  <c r="N34" i="91"/>
  <c r="J34" i="91"/>
  <c r="J19" i="91" l="1"/>
  <c r="B34" i="91"/>
  <c r="AK49" i="91"/>
  <c r="AK56" i="91"/>
  <c r="AK53" i="91"/>
  <c r="AK52" i="91"/>
  <c r="AK50" i="91"/>
  <c r="AK48" i="91"/>
  <c r="AK47" i="91"/>
  <c r="V51" i="91"/>
  <c r="V54" i="91"/>
  <c r="AK54" i="91" s="1"/>
  <c r="AK51" i="91" l="1"/>
  <c r="V24" i="94"/>
  <c r="AK24" i="94" s="1"/>
  <c r="AP56" i="91"/>
  <c r="AP55" i="91"/>
  <c r="AP54" i="91"/>
  <c r="AP53" i="91"/>
  <c r="AP52" i="91"/>
  <c r="AP51" i="91"/>
  <c r="AP50" i="91"/>
  <c r="AP49" i="91"/>
  <c r="AP48" i="91"/>
  <c r="AP47" i="91"/>
  <c r="AI60" i="91"/>
  <c r="AI59" i="91"/>
  <c r="AW28" i="91"/>
  <c r="AS28" i="91"/>
  <c r="AO28" i="91"/>
  <c r="AK28" i="91"/>
  <c r="AG28" i="91"/>
  <c r="AC28" i="91"/>
  <c r="Y28" i="91"/>
  <c r="U28" i="91"/>
  <c r="Q28" i="91"/>
  <c r="M28" i="91"/>
  <c r="I28" i="91"/>
  <c r="E28" i="91"/>
  <c r="AW27" i="91"/>
  <c r="AS27" i="91"/>
  <c r="AO27" i="91"/>
  <c r="AK27" i="91"/>
  <c r="AG27" i="91"/>
  <c r="AC27" i="91"/>
  <c r="Y27" i="91"/>
  <c r="U27" i="91"/>
  <c r="Q27" i="91"/>
  <c r="M27" i="91"/>
  <c r="I27" i="91"/>
  <c r="E27" i="91"/>
  <c r="AW26" i="91"/>
  <c r="AS26" i="91"/>
  <c r="AO26" i="91"/>
  <c r="AK26" i="91"/>
  <c r="AG26" i="91"/>
  <c r="AC26" i="91"/>
  <c r="Y26" i="91"/>
  <c r="U26" i="91"/>
  <c r="Q26" i="91"/>
  <c r="M26" i="91"/>
  <c r="I26" i="91"/>
  <c r="E26" i="91"/>
  <c r="AW25" i="91"/>
  <c r="AS25" i="91"/>
  <c r="AO25" i="91"/>
  <c r="AK25" i="91"/>
  <c r="AG25" i="91"/>
  <c r="AC25" i="91"/>
  <c r="Y25" i="91"/>
  <c r="U25" i="91"/>
  <c r="Q25" i="91"/>
  <c r="M25" i="91"/>
  <c r="I25" i="91"/>
  <c r="E25" i="91"/>
  <c r="AW24" i="91"/>
  <c r="AS24" i="91"/>
  <c r="AO24" i="91"/>
  <c r="AO29" i="91" s="1"/>
  <c r="AK24" i="91"/>
  <c r="AK30" i="91" s="1"/>
  <c r="AG24" i="91"/>
  <c r="AC24" i="91"/>
  <c r="AC29" i="91" s="1"/>
  <c r="Y24" i="91"/>
  <c r="Y29" i="91" s="1"/>
  <c r="U24" i="91"/>
  <c r="U29" i="91" s="1"/>
  <c r="Q24" i="91"/>
  <c r="Q29" i="91" s="1"/>
  <c r="M24" i="91"/>
  <c r="M30" i="91" s="1"/>
  <c r="I24" i="91"/>
  <c r="E24" i="91"/>
  <c r="AS21" i="91"/>
  <c r="AO21" i="91"/>
  <c r="AK21" i="91"/>
  <c r="AG21" i="91"/>
  <c r="AC21" i="91"/>
  <c r="Y21" i="91"/>
  <c r="U21" i="91"/>
  <c r="Q21" i="91"/>
  <c r="M21" i="91"/>
  <c r="I21" i="91"/>
  <c r="AW14" i="91"/>
  <c r="AS14" i="91"/>
  <c r="AO14" i="91"/>
  <c r="AK14" i="91"/>
  <c r="AG14" i="91"/>
  <c r="AC14" i="91"/>
  <c r="Y14" i="91"/>
  <c r="U14" i="91"/>
  <c r="Q14" i="91"/>
  <c r="M14" i="91"/>
  <c r="I14" i="91"/>
  <c r="E14" i="91"/>
  <c r="AW13" i="91"/>
  <c r="AS13" i="91"/>
  <c r="AO13" i="91"/>
  <c r="AK13" i="91"/>
  <c r="AG13" i="91"/>
  <c r="AC13" i="91"/>
  <c r="Y13" i="91"/>
  <c r="U13" i="91"/>
  <c r="Q13" i="91"/>
  <c r="M13" i="91"/>
  <c r="I13" i="91"/>
  <c r="E13" i="91"/>
  <c r="AW12" i="91"/>
  <c r="AS12" i="91"/>
  <c r="AO12" i="91"/>
  <c r="AK12" i="91"/>
  <c r="AG12" i="91"/>
  <c r="AC12" i="91"/>
  <c r="Y12" i="91"/>
  <c r="U12" i="91"/>
  <c r="Q12" i="91"/>
  <c r="M12" i="91"/>
  <c r="I12" i="91"/>
  <c r="E12" i="91"/>
  <c r="AW11" i="91"/>
  <c r="AS11" i="91"/>
  <c r="AO11" i="91"/>
  <c r="AK11" i="91"/>
  <c r="AG11" i="91"/>
  <c r="AC11" i="91"/>
  <c r="Y11" i="91"/>
  <c r="U11" i="91"/>
  <c r="Q11" i="91"/>
  <c r="M11" i="91"/>
  <c r="I11" i="91"/>
  <c r="E11" i="91"/>
  <c r="AW10" i="91"/>
  <c r="AS10" i="91"/>
  <c r="AO10" i="91"/>
  <c r="AK10" i="91"/>
  <c r="AG10" i="91"/>
  <c r="AC10" i="91"/>
  <c r="Y10" i="91"/>
  <c r="U10" i="91"/>
  <c r="Q10" i="91"/>
  <c r="M10" i="91"/>
  <c r="M15" i="91" s="1"/>
  <c r="N36" i="91" s="1"/>
  <c r="I10" i="91"/>
  <c r="E10" i="91"/>
  <c r="AS7" i="91"/>
  <c r="AO7" i="91"/>
  <c r="AK7" i="91"/>
  <c r="AG7" i="91"/>
  <c r="AC7" i="91"/>
  <c r="Y7" i="91"/>
  <c r="U7" i="91"/>
  <c r="Q7" i="91"/>
  <c r="AT45" i="91"/>
  <c r="AV3" i="91"/>
  <c r="AV44" i="91" s="1"/>
  <c r="AY1" i="91"/>
  <c r="AV1" i="91"/>
  <c r="AV42" i="91" s="1"/>
  <c r="AS29" i="91" l="1"/>
  <c r="AO15" i="91"/>
  <c r="AS15" i="91"/>
  <c r="AG29" i="91"/>
  <c r="AG15" i="91"/>
  <c r="AK15" i="91"/>
  <c r="AC16" i="91"/>
  <c r="U15" i="91"/>
  <c r="Q15" i="91"/>
  <c r="Y15" i="91"/>
  <c r="AY42" i="91"/>
  <c r="I15" i="91"/>
  <c r="J36" i="91" s="1"/>
  <c r="W71" i="76" s="1"/>
  <c r="E16" i="91"/>
  <c r="F37" i="91" s="1"/>
  <c r="I29" i="91"/>
  <c r="E29" i="91"/>
  <c r="Q30" i="91"/>
  <c r="U16" i="91"/>
  <c r="Y16" i="91"/>
  <c r="AG16" i="91"/>
  <c r="I30" i="91"/>
  <c r="AG30" i="91"/>
  <c r="AS16" i="91"/>
  <c r="I16" i="91"/>
  <c r="J37" i="91" s="1"/>
  <c r="AO30" i="91"/>
  <c r="E15" i="91"/>
  <c r="AC15" i="91"/>
  <c r="M16" i="91"/>
  <c r="N37" i="91" s="1"/>
  <c r="AK16" i="91"/>
  <c r="U30" i="91"/>
  <c r="AS30" i="91"/>
  <c r="M29" i="91"/>
  <c r="AK29" i="91"/>
  <c r="Q16" i="91"/>
  <c r="AO16" i="91"/>
  <c r="Y30" i="91"/>
  <c r="E30" i="91"/>
  <c r="AC30" i="91"/>
  <c r="B55" i="76"/>
  <c r="N38" i="91" l="1"/>
  <c r="F36" i="91"/>
  <c r="AO31" i="91"/>
  <c r="AG31" i="91"/>
  <c r="V60" i="91"/>
  <c r="AK60" i="91" s="1"/>
  <c r="V59" i="91"/>
  <c r="AK59" i="91" s="1"/>
  <c r="AK31" i="91"/>
  <c r="Q31" i="91"/>
  <c r="AC31" i="91"/>
  <c r="Y31" i="91"/>
  <c r="M31" i="91"/>
  <c r="N39" i="91" s="1"/>
  <c r="AS31" i="91"/>
  <c r="U31" i="91"/>
  <c r="I31" i="91"/>
  <c r="J39" i="91" l="1"/>
  <c r="AX27" i="94"/>
  <c r="V28" i="94"/>
  <c r="AK28" i="94" s="1"/>
  <c r="AK34" i="94" s="1"/>
  <c r="AC35" i="94" s="1"/>
  <c r="AK35" i="94" s="1"/>
  <c r="AK36" i="94" s="1"/>
  <c r="AX29" i="94" s="1"/>
  <c r="AI72" i="76" s="1"/>
  <c r="J38" i="91"/>
  <c r="B71" i="76"/>
  <c r="AD71" i="76" s="1"/>
  <c r="V55" i="91"/>
  <c r="AK55" i="91" s="1"/>
  <c r="Z23" i="78"/>
  <c r="I23" i="78"/>
  <c r="I24" i="78"/>
  <c r="I25" i="78"/>
  <c r="AF23" i="78"/>
  <c r="AF24" i="78"/>
  <c r="AF25" i="78"/>
  <c r="Z25" i="78"/>
  <c r="Z22" i="78"/>
  <c r="AN25" i="78"/>
  <c r="Z24" i="78"/>
  <c r="AN24" i="78"/>
  <c r="AK61" i="91" l="1"/>
  <c r="N40" i="91"/>
  <c r="I22" i="78"/>
  <c r="AF22" i="78"/>
  <c r="S61" i="76" s="1"/>
  <c r="AA61" i="76" s="1"/>
  <c r="I66" i="76"/>
  <c r="O65" i="76"/>
  <c r="AP61" i="91" l="1"/>
  <c r="AC62" i="91" s="1"/>
  <c r="AK62" i="91" s="1"/>
  <c r="AK63" i="91" s="1"/>
  <c r="J40" i="91" s="1"/>
  <c r="AI71" i="76" s="1"/>
  <c r="I7" i="78"/>
  <c r="C18" i="76" l="1"/>
  <c r="I10" i="78"/>
  <c r="AI9" i="76"/>
  <c r="AN30" i="78" l="1"/>
  <c r="AN31" i="78"/>
  <c r="AN32" i="78"/>
  <c r="AN29" i="78"/>
  <c r="AF30" i="78"/>
  <c r="AF31" i="78"/>
  <c r="AF32" i="78"/>
  <c r="AF29" i="78"/>
  <c r="Z32" i="78"/>
  <c r="Z31" i="78"/>
  <c r="Z30" i="78"/>
  <c r="Z29" i="78"/>
  <c r="I32" i="78"/>
  <c r="I31" i="78"/>
  <c r="I30" i="78"/>
  <c r="I29" i="78"/>
  <c r="B61" i="76"/>
  <c r="S62" i="76"/>
  <c r="AA62" i="76" s="1"/>
  <c r="B62" i="76"/>
  <c r="I9" i="78" l="1"/>
  <c r="I8" i="78"/>
  <c r="J11" i="76" s="1"/>
  <c r="J12" i="76" l="1"/>
  <c r="J21" i="76" l="1"/>
  <c r="J16" i="76"/>
  <c r="W45" i="76" l="1"/>
  <c r="J22" i="76" l="1"/>
  <c r="D45" i="76" l="1"/>
  <c r="AI57" i="76" l="1"/>
  <c r="J13" i="76" l="1"/>
  <c r="J23" i="76"/>
  <c r="AW9" i="78"/>
  <c r="AW10" i="78" s="1"/>
  <c r="AW11" i="78" s="1"/>
  <c r="AV9" i="78"/>
  <c r="AV10" i="78" s="1"/>
  <c r="AV11" i="78" s="1"/>
  <c r="AW12" i="78" l="1"/>
  <c r="I18" i="78" l="1"/>
  <c r="S37" i="78" s="1"/>
  <c r="J24" i="76" l="1"/>
  <c r="AP37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DDA547-D646-4E67-9E2F-03B30622FFD9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2" xr16:uid="{8B8ED18D-9CCB-4B57-BCFF-2DFFBFB08704}" keepAlive="1" name="Query - DTM" description="Connection to the 'DTM' query in the workbook." type="5" refreshedVersion="8" background="1" saveData="1">
    <dbPr connection="Provider=Microsoft.Mashup.OleDb.1;Data Source=$Workbook$;Location=DTM;Extended Properties=&quot;&quot;" command="SELECT * FROM [DTM]"/>
  </connection>
</connections>
</file>

<file path=xl/sharedStrings.xml><?xml version="1.0" encoding="utf-8"?>
<sst xmlns="http://schemas.openxmlformats.org/spreadsheetml/2006/main" count="1159" uniqueCount="580">
  <si>
    <t>Reading</t>
  </si>
  <si>
    <t>Apparatus</t>
  </si>
  <si>
    <t>Order Item No.:</t>
  </si>
  <si>
    <t>Finished Date:</t>
  </si>
  <si>
    <t>%</t>
  </si>
  <si>
    <t>Page:</t>
  </si>
  <si>
    <t>of</t>
  </si>
  <si>
    <t>Certificate No.:</t>
  </si>
  <si>
    <t>Calibration Point:</t>
  </si>
  <si>
    <t xml:space="preserve">Number </t>
  </si>
  <si>
    <t>UUC</t>
  </si>
  <si>
    <t>( n )</t>
  </si>
  <si>
    <t>Calibrated By:</t>
  </si>
  <si>
    <t>Date:</t>
  </si>
  <si>
    <t>Certified By:</t>
  </si>
  <si>
    <t>Note:</t>
  </si>
  <si>
    <t>Customer:</t>
  </si>
  <si>
    <t>Environment Condition.:</t>
  </si>
  <si>
    <t>Temperature:</t>
  </si>
  <si>
    <t>Instrument Name:</t>
  </si>
  <si>
    <t>Model:</t>
  </si>
  <si>
    <t>Serial No.:</t>
  </si>
  <si>
    <t>ID No.:</t>
  </si>
  <si>
    <t>Manufacturer:</t>
  </si>
  <si>
    <t>Received Date:</t>
  </si>
  <si>
    <t>Calibrated Date:</t>
  </si>
  <si>
    <t>Reference Standard</t>
  </si>
  <si>
    <t>Model</t>
  </si>
  <si>
    <t>Serial No</t>
  </si>
  <si>
    <t>(Without Adjustment)</t>
  </si>
  <si>
    <t>Environmental</t>
  </si>
  <si>
    <t>Reporting of Temperature Distribution</t>
  </si>
  <si>
    <t>Uncertainty</t>
  </si>
  <si>
    <t>Maximum</t>
  </si>
  <si>
    <t>Minimum</t>
  </si>
  <si>
    <t>Temperature sensor measurement</t>
  </si>
  <si>
    <t>No.</t>
  </si>
  <si>
    <t>Normal</t>
  </si>
  <si>
    <t>Certificate Number :</t>
  </si>
  <si>
    <t>Page :</t>
  </si>
  <si>
    <t>Relative Humidity :</t>
  </si>
  <si>
    <t>Traceability of  Measurement</t>
  </si>
  <si>
    <t xml:space="preserve">      Page :</t>
  </si>
  <si>
    <t>Certificate No.</t>
  </si>
  <si>
    <t>Parameter</t>
  </si>
  <si>
    <t>°C</t>
  </si>
  <si>
    <t xml:space="preserve">   </t>
  </si>
  <si>
    <t>Rel. Humidity:</t>
  </si>
  <si>
    <t>q</t>
  </si>
  <si>
    <t>S(q )</t>
  </si>
  <si>
    <t>Temperature Coeff.</t>
  </si>
  <si>
    <t>Temp. Coeff.</t>
  </si>
  <si>
    <t xml:space="preserve"> CERTIFICATE OF CALIBRATION</t>
  </si>
  <si>
    <t xml:space="preserve">Equipment </t>
  </si>
  <si>
    <t>:</t>
  </si>
  <si>
    <t xml:space="preserve">Manufacturer </t>
  </si>
  <si>
    <t xml:space="preserve">Model </t>
  </si>
  <si>
    <t>ID Number</t>
  </si>
  <si>
    <t xml:space="preserve">Serial Number </t>
  </si>
  <si>
    <t>Customer</t>
  </si>
  <si>
    <t>Issued date</t>
  </si>
  <si>
    <t>Received number</t>
  </si>
  <si>
    <t xml:space="preserve">Received date </t>
  </si>
  <si>
    <t xml:space="preserve">Calibration date </t>
  </si>
  <si>
    <t>Ambient Temperature :</t>
  </si>
  <si>
    <t>Received number:</t>
  </si>
  <si>
    <t>Calibrated By</t>
  </si>
  <si>
    <t>Approved By</t>
  </si>
  <si>
    <t>This certificate is issued the units of measurement according to the International System of units (SI unit).</t>
  </si>
  <si>
    <t xml:space="preserve">standard laboratories. </t>
  </si>
  <si>
    <t xml:space="preserve">It provides traceability of measurement to international or national standard or other recognized national </t>
  </si>
  <si>
    <t xml:space="preserve">Bangkok, Thailand 10400 </t>
  </si>
  <si>
    <t>This certificate is valid only to the item calibrated on date and place of calibration. The report shall not be</t>
  </si>
  <si>
    <t xml:space="preserve">Reference Standard </t>
  </si>
  <si>
    <t>Instrument</t>
  </si>
  <si>
    <t>BL-1D</t>
  </si>
  <si>
    <t>Serial NO.</t>
  </si>
  <si>
    <t>Cal.Date</t>
  </si>
  <si>
    <t xml:space="preserve">Calibration Procedure </t>
  </si>
  <si>
    <t>Reading (ºC)</t>
  </si>
  <si>
    <t>2 of 2</t>
  </si>
  <si>
    <t>1 of 2</t>
  </si>
  <si>
    <t xml:space="preserve"> ----- END -----</t>
  </si>
  <si>
    <t>cm.</t>
  </si>
  <si>
    <t>Santipap  Chankan</t>
  </si>
  <si>
    <t>Chaloem Thongim</t>
  </si>
  <si>
    <t>Name</t>
  </si>
  <si>
    <t>Approved By:</t>
  </si>
  <si>
    <t>60 % ± 20 %</t>
  </si>
  <si>
    <t>( ± ºC )</t>
  </si>
  <si>
    <t>The measurement uncertainty stated is the expanded uncertainty which is obtained from the standard uncertainty</t>
  </si>
  <si>
    <t>Result of Calibration :</t>
  </si>
  <si>
    <r>
      <rPr>
        <b/>
        <vertAlign val="superscript"/>
        <sz val="11"/>
        <rFont val="Times New Roman"/>
        <family val="1"/>
      </rPr>
      <t>O</t>
    </r>
    <r>
      <rPr>
        <b/>
        <sz val="11"/>
        <rFont val="Times New Roman"/>
        <family val="1"/>
      </rPr>
      <t>C</t>
    </r>
  </si>
  <si>
    <r>
      <t>O</t>
    </r>
    <r>
      <rPr>
        <b/>
        <sz val="11"/>
        <rFont val="Times New Roman"/>
        <family val="1"/>
      </rPr>
      <t>C</t>
    </r>
  </si>
  <si>
    <r>
      <t>q</t>
    </r>
    <r>
      <rPr>
        <b/>
        <i/>
        <vertAlign val="subscript"/>
        <sz val="11"/>
        <rFont val="Times New Roman"/>
        <family val="1"/>
      </rPr>
      <t>1</t>
    </r>
  </si>
  <si>
    <r>
      <t>q</t>
    </r>
    <r>
      <rPr>
        <b/>
        <i/>
        <vertAlign val="subscript"/>
        <sz val="11"/>
        <rFont val="Times New Roman"/>
        <family val="1"/>
      </rPr>
      <t>2</t>
    </r>
  </si>
  <si>
    <r>
      <t>q</t>
    </r>
    <r>
      <rPr>
        <b/>
        <i/>
        <vertAlign val="subscript"/>
        <sz val="11"/>
        <rFont val="Times New Roman"/>
        <family val="1"/>
      </rPr>
      <t>3</t>
    </r>
  </si>
  <si>
    <r>
      <t>q</t>
    </r>
    <r>
      <rPr>
        <b/>
        <i/>
        <vertAlign val="subscript"/>
        <sz val="11"/>
        <rFont val="Times New Roman"/>
        <family val="1"/>
      </rPr>
      <t>4</t>
    </r>
  </si>
  <si>
    <r>
      <t>q</t>
    </r>
    <r>
      <rPr>
        <b/>
        <i/>
        <vertAlign val="subscript"/>
        <sz val="11"/>
        <rFont val="Times New Roman"/>
        <family val="1"/>
      </rPr>
      <t>5</t>
    </r>
  </si>
  <si>
    <t>A18061013</t>
  </si>
  <si>
    <r>
      <t>multiplied by the coverage factor (</t>
    </r>
    <r>
      <rPr>
        <i/>
        <sz val="11"/>
        <rFont val="Times New Roman"/>
        <family val="1"/>
      </rPr>
      <t>k</t>
    </r>
    <r>
      <rPr>
        <sz val="11"/>
        <rFont val="Times New Roman"/>
        <family val="1"/>
      </rPr>
      <t>=2) to provide a level of confidence of approximately 95%.</t>
    </r>
  </si>
  <si>
    <t>Revision Number:</t>
  </si>
  <si>
    <t>reproduced except in full without approval of Medical depot division of Royal Thai Army Medical Department.</t>
  </si>
  <si>
    <t>Digital Thermo Hygrometer</t>
  </si>
  <si>
    <t>FLUKE</t>
  </si>
  <si>
    <t xml:space="preserve">1586A </t>
  </si>
  <si>
    <t>ROTRONIC</t>
  </si>
  <si>
    <t>A18061026</t>
  </si>
  <si>
    <t>A18061029</t>
  </si>
  <si>
    <t>50125022</t>
  </si>
  <si>
    <t>Condition:</t>
  </si>
  <si>
    <t>Temperature indicator with Thermocouple Type K</t>
  </si>
  <si>
    <t>Thermo-hygrometer with probe</t>
  </si>
  <si>
    <t>Liquid Bath</t>
  </si>
  <si>
    <t>Autoclave</t>
  </si>
  <si>
    <t>Centrifuge</t>
  </si>
  <si>
    <t>Shaker</t>
  </si>
  <si>
    <t>Army Medical Department</t>
  </si>
  <si>
    <t>กรมแพทย์ทหารบก</t>
  </si>
  <si>
    <t>สถาบันพยาธิวิทยา</t>
  </si>
  <si>
    <t>รพ.ค่ายธนะรัชต์</t>
  </si>
  <si>
    <t>รพ.อานันทมหิดล</t>
  </si>
  <si>
    <t>รพ.ค่ายอดิศร</t>
  </si>
  <si>
    <t>รพ.ค่ายจักรพงษ์</t>
  </si>
  <si>
    <t>รพ.ค่ายสุรสิงหนาท</t>
  </si>
  <si>
    <t>รพ.ค่ายนวมินทราชินี</t>
  </si>
  <si>
    <t>รพ.ค่ายสุรสีห์</t>
  </si>
  <si>
    <t>รพ.ค่ายภาณุรังษี</t>
  </si>
  <si>
    <t>รพ.ค่ายรามราชนิเวศน์</t>
  </si>
  <si>
    <t>รพ.ค่ายสุรนารี</t>
  </si>
  <si>
    <t>รพ.ค่ายสมเด็จเจ้าพระยามหากษัตริย์ศึก</t>
  </si>
  <si>
    <t>รพ.ค่ายวีรวัฒน์โยธิน</t>
  </si>
  <si>
    <t>รพ.ค่ายสมเด็จพระพุทธยอดฟ้าฯ</t>
  </si>
  <si>
    <t>รพ.ค่ายศรีพัชรินทร</t>
  </si>
  <si>
    <t>รพ.ค่ายประจักษ์ศิลปาคม</t>
  </si>
  <si>
    <t>รพ.ค่ายศรีสองรัก</t>
  </si>
  <si>
    <t>รพ.ค่ายสรรพสิทธิประสงค์</t>
  </si>
  <si>
    <t>รพ.ค่ายกฤษณ์สีวะรา</t>
  </si>
  <si>
    <t>รพ.ค่ายจิรประวัติ</t>
  </si>
  <si>
    <t>รพ.ค่ายพ่อขุนผาเมือง</t>
  </si>
  <si>
    <t>รพ.ค่ายวชิรปราการ</t>
  </si>
  <si>
    <t>รพ.ค่ายพิชัยดาบหัก</t>
  </si>
  <si>
    <t>Fort Surasakmontri Hospital</t>
  </si>
  <si>
    <t>รพ.ค่ายสุริยพงษ์</t>
  </si>
  <si>
    <t>รพ.ค่ายกาวิละ</t>
  </si>
  <si>
    <t>รพ.ค่ายเม็งรายมหาราช</t>
  </si>
  <si>
    <t>รพ.ค่ายเขตอุดมศักดิ์</t>
  </si>
  <si>
    <t>รพ.ค่ายวิภาวดีรังสิต</t>
  </si>
  <si>
    <t>รพ.ค่ายวชิราวุธ</t>
  </si>
  <si>
    <t>รพ.ค่ายเทพสตรีศรีสุนทร</t>
  </si>
  <si>
    <t>รพ.ค่ายเสนาณรงค์</t>
  </si>
  <si>
    <t>รพ.ค่ายอิงคยุทธบริหาร</t>
  </si>
  <si>
    <t>พัน.สร.1</t>
  </si>
  <si>
    <t>พัน.สร.2</t>
  </si>
  <si>
    <t>พัน.สร.3</t>
  </si>
  <si>
    <t>พัน.สร.4</t>
  </si>
  <si>
    <t>พัน.สร.5</t>
  </si>
  <si>
    <t>พัน.สร.6</t>
  </si>
  <si>
    <t>พัน.สร.8</t>
  </si>
  <si>
    <t>พัน.สร.กรม สน.พล.ร.9</t>
  </si>
  <si>
    <t>พัน.สร.13</t>
  </si>
  <si>
    <t>พัน.สร.กรม สน.พล.ร.15</t>
  </si>
  <si>
    <t>พัน.สร.22 บชร.2</t>
  </si>
  <si>
    <t>พัน.สร.23 บชร.3</t>
  </si>
  <si>
    <t>ควภ.บชร.4</t>
  </si>
  <si>
    <t>Temperature indicator with Resistance thermometer</t>
  </si>
  <si>
    <t>Col.</t>
  </si>
  <si>
    <t>Lt.Col.</t>
  </si>
  <si>
    <t>SubLt.</t>
  </si>
  <si>
    <t>SM1</t>
  </si>
  <si>
    <t>Sgt.</t>
  </si>
  <si>
    <t>Miss</t>
  </si>
  <si>
    <t>Phramongkutklao Hospital</t>
  </si>
  <si>
    <t>Bangkok</t>
  </si>
  <si>
    <t>Freezer</t>
  </si>
  <si>
    <t>Refrigerator</t>
  </si>
  <si>
    <t>Incubator</t>
  </si>
  <si>
    <t>Oven</t>
  </si>
  <si>
    <t>True RMS Logging Multimeters</t>
  </si>
  <si>
    <t>289</t>
  </si>
  <si>
    <t>50310144</t>
  </si>
  <si>
    <t>48620135</t>
  </si>
  <si>
    <t>Cer No.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</si>
  <si>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</si>
  <si>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</si>
  <si>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</si>
  <si>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</si>
  <si>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</si>
  <si>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</si>
  <si>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</si>
  <si>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</si>
  <si>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</si>
  <si>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</si>
  <si>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หน่วยรับบริการ</t>
  </si>
  <si>
    <t>ZIP code</t>
  </si>
  <si>
    <t>8 Phayathai, Thung phayathai, Ratchathewi</t>
  </si>
  <si>
    <t>รพ.พระมงกุฏเกล้า</t>
  </si>
  <si>
    <t>315 Ratchawithi, Thung phayathai, Ratchathewi</t>
  </si>
  <si>
    <t>Institute of Pathology</t>
  </si>
  <si>
    <t>2/2 Phayathai , Thung phayathai, Ratchathewi</t>
  </si>
  <si>
    <t>Fort Thanarat Hospital</t>
  </si>
  <si>
    <t>รพ.รร.นายร้อยพระจุลจอมเกล้า</t>
  </si>
  <si>
    <t>Chulachomklao Royal Military Academy Hospital</t>
  </si>
  <si>
    <t>Nakhon Nayok</t>
  </si>
  <si>
    <t>Fort Chakkraphong Hospital</t>
  </si>
  <si>
    <t>779 Na Mueang, Muang Prachinburi</t>
  </si>
  <si>
    <t>Fort Surasi Hospital</t>
  </si>
  <si>
    <t>281 Lat Ya, Muang Kanchanaburi</t>
  </si>
  <si>
    <t>Kanchanaburi</t>
  </si>
  <si>
    <t>Fort Surasinghanart Hospital</t>
  </si>
  <si>
    <t>Sa Kaeo</t>
  </si>
  <si>
    <t>Fort Panurangsi Hospital</t>
  </si>
  <si>
    <t>Ratchaburi</t>
  </si>
  <si>
    <t>Saraburi</t>
  </si>
  <si>
    <t>301 Ban Suan, Mueang Chon Buri</t>
  </si>
  <si>
    <t>Fort Ramratchaniwet Hospital</t>
  </si>
  <si>
    <t>Fort Suranari Hospital</t>
  </si>
  <si>
    <t>211 pibul la-aied, Nong Phai lom, Muang Nakhon Ratchasima</t>
  </si>
  <si>
    <t>Fort Sunpasitthiprasong Hospital</t>
  </si>
  <si>
    <t>Fort Prackaksinlapakhom Hospital</t>
  </si>
  <si>
    <t>550 Thahan, Mak Khaeng, Muang Udon Thani</t>
  </si>
  <si>
    <t>Udon Thani</t>
  </si>
  <si>
    <t>Fort Somdej Phrabuddha Yodfachulaloke Maharaja Hospital</t>
  </si>
  <si>
    <t>Roi Et</t>
  </si>
  <si>
    <t>Fort Krit Siwara Hospital</t>
  </si>
  <si>
    <t>Fort Srisongrak Hospital</t>
  </si>
  <si>
    <t>Loei</t>
  </si>
  <si>
    <t>Fort Somdej Phranaresuan Maharaj Hospital</t>
  </si>
  <si>
    <t>9 Ban Khlong, Muang Phitsanulok</t>
  </si>
  <si>
    <t>Nakhon Sawan</t>
  </si>
  <si>
    <t>285 Chiangmai-lamphun, Wat Ket , Mueang Chiang Mai</t>
  </si>
  <si>
    <t>Chiang Mai</t>
  </si>
  <si>
    <t>Fort Mengraimaharaj Hospital</t>
  </si>
  <si>
    <t>Fort Pichai Dap Hak Hospital</t>
  </si>
  <si>
    <t>102 Samranruen, Tha Sao, Mueang Uttaradit</t>
  </si>
  <si>
    <t>Uttaradit</t>
  </si>
  <si>
    <t>รพ.ค่ายสุรศักดิ์มนตรี</t>
  </si>
  <si>
    <t>1 Phaholyothin, Phicha, Mueang Lampang</t>
  </si>
  <si>
    <t>Lampang</t>
  </si>
  <si>
    <t>Fort Phokhunphamueang Hospital</t>
  </si>
  <si>
    <t>99/2329 Saraburi-Lomsak, Satang , Mueang Phetchabun</t>
  </si>
  <si>
    <t>Fort Wachiraprakan Hospital</t>
  </si>
  <si>
    <t xml:space="preserve">รพ.ค่ายขุนเจืองธรรมิกราช </t>
  </si>
  <si>
    <t>200 Thawangthong, Muang Phayao</t>
  </si>
  <si>
    <t>Phayao</t>
  </si>
  <si>
    <t>Fort Suriyaphong Hospital</t>
  </si>
  <si>
    <t>330 Nan-Santisuk, fai-kaeo, Phu Phiang</t>
  </si>
  <si>
    <t>Nan</t>
  </si>
  <si>
    <t>Fort Wachirawut Hospital</t>
  </si>
  <si>
    <t>283 Ratchadamnoen, Pakpoon, Mueang Nakhon Si Thammarat</t>
  </si>
  <si>
    <t>191 Kanchanavanich, Kho Hong, Hat Yai</t>
  </si>
  <si>
    <t>Songkhla</t>
  </si>
  <si>
    <t>Fort Wiphavadirangsit Hospital</t>
  </si>
  <si>
    <t>233 Makham Tia, Muang Surat Thani</t>
  </si>
  <si>
    <t>Surat Thani</t>
  </si>
  <si>
    <t>Fort Thepsatsrisunthon Hospital</t>
  </si>
  <si>
    <t>181 Kapang, Thungsong</t>
  </si>
  <si>
    <t>Fort Ingkhayutthaborihan Hospital</t>
  </si>
  <si>
    <t>2 Bo Thong, Nong Chik</t>
  </si>
  <si>
    <t>Pattani</t>
  </si>
  <si>
    <t>Fort Khetudomsak Hospital</t>
  </si>
  <si>
    <t>1st Combat Medical Battalion</t>
  </si>
  <si>
    <t>2nd Combat Medical Battalion</t>
  </si>
  <si>
    <t>Mai ked, Muang Prachinburi</t>
  </si>
  <si>
    <t>3rd Combat Medical Battalion</t>
  </si>
  <si>
    <t>Pho glang, Muang Nakhon Ratchasima</t>
  </si>
  <si>
    <t>4th Combat Medical Battalion</t>
  </si>
  <si>
    <t>Ban Khlong, Muang Phitsanulok</t>
  </si>
  <si>
    <t>Phitsanulok</t>
  </si>
  <si>
    <t>5th Combat Medical Battalion</t>
  </si>
  <si>
    <t>6th Combat Medical Battalion</t>
  </si>
  <si>
    <t>119 , Phosai, Srisomdet</t>
  </si>
  <si>
    <t>8th Combat Medical Battalion</t>
  </si>
  <si>
    <t>Sadiang, Mueang Phetchabun</t>
  </si>
  <si>
    <t>Phetchabun</t>
  </si>
  <si>
    <t>Combat Medical Battalion, 9th Service Support Regiment</t>
  </si>
  <si>
    <t>13th Combat Medical Battalion</t>
  </si>
  <si>
    <t>Combat Medical Battalion, 15th Service Support Regiment</t>
  </si>
  <si>
    <t>108 Koh sa bha, Thepha</t>
  </si>
  <si>
    <t>22nd Combat Medical Battalion</t>
  </si>
  <si>
    <t>Nong Phai lom, Muang Nakhon Ratchasima</t>
  </si>
  <si>
    <t>23rd Combat Medical Battalion</t>
  </si>
  <si>
    <t>Aranyik, Mueang Phitsanulok</t>
  </si>
  <si>
    <t>4th Army Support Command</t>
  </si>
  <si>
    <t>Address</t>
  </si>
  <si>
    <t>City</t>
  </si>
  <si>
    <t>Service Unit</t>
  </si>
  <si>
    <t>Personnel</t>
  </si>
  <si>
    <t>Number :</t>
  </si>
  <si>
    <t>44990026</t>
  </si>
  <si>
    <t>47305009</t>
  </si>
  <si>
    <t>Rank</t>
  </si>
  <si>
    <t>Working Standard</t>
  </si>
  <si>
    <t>Cal. Date</t>
  </si>
  <si>
    <t>Equipment</t>
  </si>
  <si>
    <t>Tool Code</t>
  </si>
  <si>
    <t>Brand</t>
  </si>
  <si>
    <t>Super-DAQ Precision Temperature Scanner</t>
  </si>
  <si>
    <t>1586-2586</t>
  </si>
  <si>
    <t>1586-2588</t>
  </si>
  <si>
    <t>High-Capacity Module with RTD ID.No. 101-110</t>
  </si>
  <si>
    <t>High-Capacity Module with RTD ID.No. 201-210</t>
  </si>
  <si>
    <t>Module</t>
  </si>
  <si>
    <t>Equiment Module</t>
  </si>
  <si>
    <t>51/8 Thahan, Nakhonchaisri, Dusit</t>
  </si>
  <si>
    <t>Defective</t>
  </si>
  <si>
    <t>Condition of unit under calibration</t>
  </si>
  <si>
    <t>Nakhon Si Thammarat</t>
  </si>
  <si>
    <t xml:space="preserve"> Lopburi</t>
  </si>
  <si>
    <t>Prachuap Khiri Khan</t>
  </si>
  <si>
    <t>Prachinburi</t>
  </si>
  <si>
    <t>Chon Buri</t>
  </si>
  <si>
    <t>Phetchaburi</t>
  </si>
  <si>
    <t>Nakhon Ratchasima</t>
  </si>
  <si>
    <t>Surin</t>
  </si>
  <si>
    <t>Sakon Nakhon</t>
  </si>
  <si>
    <t>Khon Kaen</t>
  </si>
  <si>
    <t>Buriram</t>
  </si>
  <si>
    <t>Chiang Rai</t>
  </si>
  <si>
    <t>Tak</t>
  </si>
  <si>
    <t>Chumphon</t>
  </si>
  <si>
    <t>286 Lat Ya, Mueang Kanchanaburi</t>
  </si>
  <si>
    <t>35 Phichaidadhak, Khao Sam Yot, Mueang Lopburi</t>
  </si>
  <si>
    <t>35 Khao Sam Yot , Mueang Lopburi</t>
  </si>
  <si>
    <t>125 Phetkasem, Khao Noi, Pranburi</t>
  </si>
  <si>
    <t>54 Pak Sleao, Mitraphap, Mueang Saraburi</t>
  </si>
  <si>
    <t>121 Khlong Krasang, Mueang Phetchaburi</t>
  </si>
  <si>
    <t>100/123 Thatnaweng, Muang Sakon Nakhon</t>
  </si>
  <si>
    <t>147 Buriram Prakhonchai,  Samet , Mueang Buriram</t>
  </si>
  <si>
    <t>161 Phaholyothin, Klangsaeng, Muang Nakhon Sawan</t>
  </si>
  <si>
    <t>256 Rob Wiang, Mueang Chiang Rai</t>
  </si>
  <si>
    <t>337 Mai Ngam, Mueang Tak</t>
  </si>
  <si>
    <t>Ananda Mahidol Hospital</t>
  </si>
  <si>
    <t>Fort Weerawatyothin Hospital</t>
  </si>
  <si>
    <t>Fort Kawila Hospital</t>
  </si>
  <si>
    <t>43930196</t>
  </si>
  <si>
    <t>UUC Resolution:</t>
  </si>
  <si>
    <t>Data from</t>
  </si>
  <si>
    <t>Data from Indicator data logging</t>
  </si>
  <si>
    <t>Data from Reading</t>
  </si>
  <si>
    <t>STD</t>
  </si>
  <si>
    <t>Repeat 0 ºC</t>
  </si>
  <si>
    <t>Shortterm ability</t>
  </si>
  <si>
    <t>Data logging</t>
  </si>
  <si>
    <t>Uncertainty Budget for Calibration</t>
  </si>
  <si>
    <t>Symbol</t>
  </si>
  <si>
    <t>Source of uncertainty</t>
  </si>
  <si>
    <t>Divisor</t>
  </si>
  <si>
    <t>Ci</t>
  </si>
  <si>
    <t>Calibration uncertainty of standard probe</t>
  </si>
  <si>
    <t>Drift of standard probe</t>
  </si>
  <si>
    <t>Ω</t>
  </si>
  <si>
    <t>Rectangular</t>
  </si>
  <si>
    <t>√3</t>
  </si>
  <si>
    <t>Calibration uncertainty of standard indicator</t>
  </si>
  <si>
    <t>Drift of standard standard indicator</t>
  </si>
  <si>
    <t>Resolution of standard indicator</t>
  </si>
  <si>
    <t>Uniformity of bath</t>
  </si>
  <si>
    <t>stability of bath</t>
  </si>
  <si>
    <t>Resolution of UUC</t>
  </si>
  <si>
    <t>short term ability of UUC</t>
  </si>
  <si>
    <t>Heat Conduction of UUC</t>
  </si>
  <si>
    <t>Repeatability of STD</t>
  </si>
  <si>
    <t>Repeatability of UUC</t>
  </si>
  <si>
    <t>Combined standard uncertainty</t>
  </si>
  <si>
    <t>∞</t>
  </si>
  <si>
    <t>U</t>
  </si>
  <si>
    <t>Expanded uncertainty</t>
  </si>
  <si>
    <t>kp =</t>
  </si>
  <si>
    <t>CMC</t>
  </si>
  <si>
    <t>Report</t>
  </si>
  <si>
    <t xml:space="preserve">This equipment was connected with </t>
  </si>
  <si>
    <t>connect with</t>
  </si>
  <si>
    <t>Immersion Depth =</t>
  </si>
  <si>
    <t>This equipment was connected with</t>
  </si>
  <si>
    <t>Standard</t>
  </si>
  <si>
    <t>Unit Under Calibration</t>
  </si>
  <si>
    <t>Correction</t>
  </si>
  <si>
    <t>Temperature (ºC)</t>
  </si>
  <si>
    <t>Channel No.:</t>
  </si>
  <si>
    <t>Sensor Serial No.:</t>
  </si>
  <si>
    <t>(ºC )</t>
  </si>
  <si>
    <t>44000189</t>
  </si>
  <si>
    <t>-</t>
  </si>
  <si>
    <r>
      <t xml:space="preserve">Calibration Method Used : </t>
    </r>
    <r>
      <rPr>
        <sz val="12"/>
        <rFont val="Times New Roman"/>
        <family val="1"/>
      </rPr>
      <t>WI-09-TEM-003 by comparison with standard thermometer</t>
    </r>
  </si>
  <si>
    <t>into liquid bath temperature controller. The sensor were placed on the geometric center of the bath.</t>
  </si>
  <si>
    <t>This Instrument was calibration by comparison with calibrated Standard Platinum Resistance Thermometer (SPRT)</t>
  </si>
  <si>
    <t>No. Point</t>
  </si>
  <si>
    <t>Cal. Point</t>
  </si>
  <si>
    <t>Complete</t>
  </si>
  <si>
    <t>เพิ่มจุดสอบเทียบ</t>
  </si>
  <si>
    <t>1.ใส่ No.Point ทุกลำดับ</t>
  </si>
  <si>
    <t>2.ใส่ Cal. Point ทุกลำดับ (ถ้ามีอันไหนขึ้น Complete ให้ลบก่อน)</t>
  </si>
  <si>
    <t>3.กดปุ่ม กดเพื่อเพิ่ม</t>
  </si>
  <si>
    <t>4.รอจนขึ้นคำว่า Complete ทุกอัน</t>
  </si>
  <si>
    <t xml:space="preserve">value ± </t>
  </si>
  <si>
    <t>Probability
distribution</t>
  </si>
  <si>
    <t xml:space="preserve">ui 
± °C 
</t>
  </si>
  <si>
    <t>Vi or
Veff</t>
  </si>
  <si>
    <r>
      <t>d</t>
    </r>
    <r>
      <rPr>
        <b/>
        <i/>
        <sz val="11"/>
        <rFont val="Times New Roman"/>
        <family val="1"/>
      </rPr>
      <t>T</t>
    </r>
    <r>
      <rPr>
        <b/>
        <i/>
        <vertAlign val="subscript"/>
        <sz val="11"/>
        <rFont val="Times New Roman"/>
        <family val="1"/>
      </rPr>
      <t>Sp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</si>
  <si>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Drift_Std</t>
    </r>
  </si>
  <si>
    <r>
      <t>d</t>
    </r>
    <r>
      <rPr>
        <b/>
        <i/>
        <sz val="11"/>
        <rFont val="Times New Roman"/>
        <family val="1"/>
      </rPr>
      <t>T</t>
    </r>
    <r>
      <rPr>
        <b/>
        <i/>
        <vertAlign val="subscript"/>
        <sz val="11"/>
        <rFont val="Times New Roman"/>
        <family val="1"/>
      </rPr>
      <t>In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</si>
  <si>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Sp,DS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</si>
  <si>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Res.std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</si>
  <si>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Uni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</si>
  <si>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Sta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</si>
  <si>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Res,UUC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</si>
  <si>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STS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</si>
  <si>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Stem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</si>
  <si>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Rep,Std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</si>
  <si>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Rep,UUC</t>
    </r>
  </si>
  <si>
    <t>Uc</t>
  </si>
  <si>
    <t xml:space="preserve">°C </t>
  </si>
  <si>
    <t>Result of calibration</t>
  </si>
  <si>
    <t>Average</t>
  </si>
  <si>
    <t>Stdev</t>
  </si>
  <si>
    <t>UUC Probe:</t>
  </si>
  <si>
    <t>New (สายใหม่)</t>
  </si>
  <si>
    <t>Used (สายเก่า)</t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</si>
  <si>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IRJ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</si>
  <si>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Inh</t>
    </r>
  </si>
  <si>
    <t>Internal Reference Junction Error</t>
  </si>
  <si>
    <t xml:space="preserve">Inhomogeneity of Thermocouple </t>
  </si>
  <si>
    <t>สภาวะแวดล้อม</t>
  </si>
  <si>
    <t>ºC</t>
  </si>
  <si>
    <t>error</t>
  </si>
  <si>
    <t>Juction</t>
  </si>
  <si>
    <t>Type K</t>
  </si>
  <si>
    <t>Sensor S/N:</t>
  </si>
  <si>
    <t xml:space="preserve">Medical Equipment Calibration Laboratory, </t>
  </si>
  <si>
    <t xml:space="preserve">Medical Supplies Maintenance Section of Medical Depot Division of </t>
  </si>
  <si>
    <t>Royal Thai Army Medical Department</t>
  </si>
  <si>
    <t xml:space="preserve">8/1 Phaya Thai Road, Thung Phaya Thai, Ratchathewi, </t>
  </si>
  <si>
    <t>Fort Adison Hospital</t>
  </si>
  <si>
    <t>Fort Nawamintharachini Hospital</t>
  </si>
  <si>
    <t>Fort Sri-patcharinthorn Hospital</t>
  </si>
  <si>
    <t>Fort Somdet Chao Phraya Mahakasatsuek Hospital</t>
  </si>
  <si>
    <t>รพ.ค่ายพระยอดเมืองขวาง</t>
  </si>
  <si>
    <t>Fort Phrayotmueangkhwang Hospital</t>
  </si>
  <si>
    <t>Kurukhu, Mueang Nakhon Phanom</t>
  </si>
  <si>
    <t>Nakhon Phanom</t>
  </si>
  <si>
    <t>รพ.ค่ายสมเด็จพระนเรศวรมหาราช</t>
  </si>
  <si>
    <t>Fort Chiraprawat Hospital</t>
  </si>
  <si>
    <t>Fort Khunchueangthammikkarat Hospital</t>
  </si>
  <si>
    <t>Fort Senanarong Hospital</t>
  </si>
  <si>
    <t>W_TEM_007</t>
  </si>
  <si>
    <t>W_TEM_005</t>
  </si>
  <si>
    <t>W_TEM_006</t>
  </si>
  <si>
    <t>W_TEM_007/1</t>
  </si>
  <si>
    <t>W_TEM_005/1</t>
  </si>
  <si>
    <t>W_TEM_006/1</t>
  </si>
  <si>
    <t>W_TEM_007/2</t>
  </si>
  <si>
    <t>W_TEM_005/2</t>
  </si>
  <si>
    <t>W-ETC-006</t>
  </si>
  <si>
    <t>47305007</t>
  </si>
  <si>
    <t>47305008</t>
  </si>
  <si>
    <t>23 °C ± 5 °C</t>
  </si>
  <si>
    <t>124 Chaeng Sanit Rd, Pho Sai, Mueang Roi Et</t>
  </si>
  <si>
    <t>Kritdanai  Rergwitee</t>
  </si>
  <si>
    <t>Ramesh  Autsadayuth</t>
  </si>
  <si>
    <t>Anotai  Kloekratok</t>
  </si>
  <si>
    <t>W-ETC-001</t>
  </si>
  <si>
    <t>W-ETC-002</t>
  </si>
  <si>
    <t>W-ETC-003</t>
  </si>
  <si>
    <t>W-ETC-011</t>
  </si>
  <si>
    <t>50195015</t>
  </si>
  <si>
    <t>W_TEM_006/2</t>
  </si>
  <si>
    <t>Satit  Tipmanee</t>
  </si>
  <si>
    <t>Totsaphon  Alunpipatthanachai</t>
  </si>
  <si>
    <t>Tawatchai  Inhom</t>
  </si>
  <si>
    <t>Kriangkrai  Taisawang</t>
  </si>
  <si>
    <t>Sarayut  Ek-onsang</t>
  </si>
  <si>
    <t>Songkiet  Yamaumpon</t>
  </si>
  <si>
    <t>Thawadchai  Pruksarattananon</t>
  </si>
  <si>
    <t>Nattapong  Yubram</t>
  </si>
  <si>
    <t>Cal Date</t>
  </si>
  <si>
    <t>W-ETC-007</t>
  </si>
  <si>
    <t>A18061028</t>
  </si>
  <si>
    <t>59895012</t>
  </si>
  <si>
    <t>S_TEM_001</t>
  </si>
  <si>
    <t>Reference Thermometer Readout</t>
  </si>
  <si>
    <t>Additel</t>
  </si>
  <si>
    <t>286</t>
  </si>
  <si>
    <t>685020010017</t>
  </si>
  <si>
    <t>S_TEM_002</t>
  </si>
  <si>
    <t>Standard Platinum Resistance Thermometer</t>
  </si>
  <si>
    <t>5699</t>
  </si>
  <si>
    <t>1400</t>
  </si>
  <si>
    <t>S_TEM_005</t>
  </si>
  <si>
    <t>1449</t>
  </si>
  <si>
    <t>Thermocouple type K</t>
  </si>
  <si>
    <t>Sensor Thermocouple Type K</t>
  </si>
  <si>
    <t>Maj.</t>
  </si>
  <si>
    <t>Lt.</t>
  </si>
  <si>
    <t>Sataporn Rakjaroen</t>
  </si>
  <si>
    <t>Chombhunut  Thanatphonphakdee</t>
  </si>
  <si>
    <t>Column2</t>
  </si>
  <si>
    <t>Column3</t>
  </si>
  <si>
    <t>Column4</t>
  </si>
  <si>
    <t>Column5</t>
  </si>
  <si>
    <t>Column6</t>
  </si>
  <si>
    <t>Column7</t>
  </si>
  <si>
    <t>Column9</t>
  </si>
  <si>
    <t>Column10</t>
  </si>
  <si>
    <t>99 Suwansorn , Brahmani, Muang Nakhon Nayok</t>
  </si>
  <si>
    <t>1/30 Phak Huai , Aranyaprathet</t>
  </si>
  <si>
    <t>285/1 Khok Mo , Muang Ratchaburi</t>
  </si>
  <si>
    <t>383 Warin-Pibul , Saensuk, Warin Chamrap</t>
  </si>
  <si>
    <t>Ratchathani</t>
  </si>
  <si>
    <t>777 Surin-Prasat , Nong Muang , Mueang Surin</t>
  </si>
  <si>
    <t>100 Kasikorn ThungSang , Sila , Mueang Khon Kaen</t>
  </si>
  <si>
    <t>68 Loei-Chiang Khan , Srisamrak, Muang Loei</t>
  </si>
  <si>
    <t>Column1</t>
  </si>
  <si>
    <t>Column8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</si>
  <si>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</si>
  <si>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</si>
  <si>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</si>
  <si>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</si>
  <si>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</si>
  <si>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</si>
  <si>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</si>
  <si>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</si>
  <si>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</si>
  <si>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</si>
  <si>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1586-2586(026)-1</t>
  </si>
  <si>
    <t>026-1</t>
  </si>
  <si>
    <t>1586-2586 High-Capacity Module</t>
  </si>
  <si>
    <t>1586-2586(026)-2</t>
  </si>
  <si>
    <t>026-2</t>
  </si>
  <si>
    <t>1586-2586(022)-1</t>
  </si>
  <si>
    <t>022-1</t>
  </si>
  <si>
    <t>1586-2586(022)-2</t>
  </si>
  <si>
    <t>022-2</t>
  </si>
  <si>
    <t>1586-2588(009)</t>
  </si>
  <si>
    <t>Daq Staq</t>
  </si>
  <si>
    <t>1586-2588 DAQ-STAQ Multiplexer</t>
  </si>
  <si>
    <t>Channel: 001</t>
  </si>
  <si>
    <t>ช่องหน้า</t>
  </si>
  <si>
    <t>PRT-CVD</t>
  </si>
  <si>
    <t>PRT</t>
  </si>
  <si>
    <t>ใส่ S/N ในหน้า Cal Ref</t>
  </si>
  <si>
    <t>RTD Sensor</t>
  </si>
  <si>
    <t>RTD</t>
  </si>
  <si>
    <t>ใส่ S/N ในหน้า Cal Ref ไม่มีก็ใส่ -</t>
  </si>
  <si>
    <t>Resistance Thermometer Detector</t>
  </si>
  <si>
    <t>Thermocouple Type K</t>
  </si>
  <si>
    <t>TC Type K</t>
  </si>
  <si>
    <t>Platinum Resistance Thermometer</t>
  </si>
  <si>
    <t>193 Moo 1, Wang Mai, Mueang Chumphon</t>
  </si>
  <si>
    <t>Calibration place:</t>
  </si>
  <si>
    <t>Calibration place</t>
  </si>
  <si>
    <t>8-13 Aug 2025</t>
  </si>
  <si>
    <t>25H1571</t>
  </si>
  <si>
    <t>23-31 Jul 2025</t>
  </si>
  <si>
    <t>25H1490</t>
  </si>
  <si>
    <t>25H1572</t>
  </si>
  <si>
    <t>25E2622</t>
  </si>
  <si>
    <t>ER-0109-25</t>
  </si>
  <si>
    <t>25E3134</t>
  </si>
  <si>
    <t>TC-0039-25</t>
  </si>
  <si>
    <t>/69</t>
  </si>
  <si>
    <t>30 Sep - 2 Oct 2025</t>
  </si>
  <si>
    <t>25H1893</t>
  </si>
  <si>
    <t>TC-0044-25</t>
  </si>
  <si>
    <t>21-25 April 2026</t>
  </si>
  <si>
    <t>5397/69</t>
  </si>
  <si>
    <t>SM2</t>
  </si>
  <si>
    <t>วิทยาลัยแพทยศาสตร์พระมงกุฎเกล้า</t>
  </si>
  <si>
    <t>Phramongkutklao College of Medicine</t>
  </si>
  <si>
    <t>317 Ratchawithi, Thung phayathai, Ratchathewi</t>
  </si>
  <si>
    <t>วิทยาลัยพยาบาลกองทัพบก</t>
  </si>
  <si>
    <t>The Royal Thai Army Nursing College</t>
  </si>
  <si>
    <t>317/6 Ratchawithi, Thung phayathai, Ratchathewi</t>
  </si>
  <si>
    <t>สถาบันวิจัยวิทยาศาสตร์การแพทย์ทหาร</t>
  </si>
  <si>
    <t>Armed Forces Research Institute of Medical Sciences</t>
  </si>
  <si>
    <t>315/6 Ratchawithi, Thung phayathai, Ratchathewi</t>
  </si>
  <si>
    <t>24-26 March 2026</t>
  </si>
  <si>
    <t>4920/69</t>
  </si>
  <si>
    <t>26-28 April 2026</t>
  </si>
  <si>
    <t>5065/69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</si>
</sst>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87" formatCode="0.000"/>
    <numFmt numFmtId="188" formatCode="0.0000"/>
    <numFmt numFmtId="189" formatCode="0.0"/>
    <numFmt numFmtId="190" formatCode="dd/m/yyyy"/>
    <numFmt numFmtId="191" formatCode="0.000000"/>
    <numFmt numFmtId="192" formatCode="[$-1000000]h:mm:ss;@"/>
    <numFmt numFmtId="193" formatCode="d/mmmm/yyyy"/>
    <numFmt numFmtId="194" formatCode="[$-1010409]d\ mmmm\ yyyy;@"/>
    <numFmt numFmtId="195" formatCode="[$-1010000]d/m/yyyy;@"/>
    <numFmt numFmtId="196" formatCode="0.00000"/>
    <numFmt numFmtId="197" formatCode="[$-1010409]d\ mmm\ yy;@"/>
    <numFmt numFmtId="198" formatCode="0.0000000"/>
    <numFmt numFmtId="199" formatCode="0.00000000"/>
    <numFmt numFmtId="200" formatCode="[$-1010409]d\ mmm\ yyyy;@"/>
    <numFmt numFmtId="201" formatCode="#,##0.0000"/>
  </numFmts>
  <fonts count="68">
    <font>
      <sz val="10"/>
      <name val="Arial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1"/>
      <name val="Times New Roman"/>
      <family val="1"/>
    </font>
    <font>
      <b/>
      <sz val="11"/>
      <name val="Times New Roman"/>
      <family val="1"/>
    </font>
    <font>
      <b/>
      <i/>
      <vertAlign val="subscript"/>
      <sz val="11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2"/>
      <name val="TH Sarabun New"/>
      <family val="2"/>
    </font>
    <font>
      <sz val="14"/>
      <name val="TH Sarabun New"/>
      <family val="2"/>
      <charset val="222"/>
    </font>
    <font>
      <sz val="14"/>
      <name val="TH Sarabun New"/>
      <family val="2"/>
    </font>
    <font>
      <b/>
      <sz val="14"/>
      <color indexed="8"/>
      <name val="TH Sarabun New"/>
      <family val="2"/>
    </font>
    <font>
      <b/>
      <vertAlign val="superscript"/>
      <sz val="11"/>
      <name val="Times New Roman"/>
      <family val="1"/>
    </font>
    <font>
      <i/>
      <sz val="11"/>
      <name val="Times New Roman"/>
      <family val="1"/>
    </font>
    <font>
      <sz val="12"/>
      <name val="TH Sarabun New"/>
      <family val="2"/>
      <charset val="222"/>
    </font>
    <font>
      <sz val="12"/>
      <name val="Times New Roman"/>
      <family val="1"/>
    </font>
    <font>
      <b/>
      <sz val="12"/>
      <name val="Times New Roman"/>
      <family val="1"/>
    </font>
    <font>
      <sz val="14"/>
      <name val="Times New Roman"/>
      <family val="1"/>
    </font>
    <font>
      <b/>
      <sz val="14"/>
      <color indexed="30"/>
      <name val="Times New Roman"/>
      <family val="1"/>
    </font>
    <font>
      <b/>
      <sz val="12"/>
      <color indexed="30"/>
      <name val="Times New Roman"/>
      <family val="1"/>
    </font>
    <font>
      <b/>
      <sz val="14"/>
      <name val="Times New Roman"/>
      <family val="1"/>
    </font>
    <font>
      <b/>
      <sz val="20"/>
      <name val="Times New Roman"/>
      <family val="1"/>
    </font>
    <font>
      <sz val="12"/>
      <color indexed="8"/>
      <name val="Times New Roman"/>
      <family val="1"/>
    </font>
    <font>
      <u/>
      <sz val="11"/>
      <name val="Times New Roman"/>
      <family val="1"/>
    </font>
    <font>
      <sz val="12"/>
      <name val="Times New Roman"/>
      <family val="1"/>
      <charset val="222"/>
    </font>
    <font>
      <b/>
      <sz val="14"/>
      <name val="Times New Roman"/>
      <family val="1"/>
      <charset val="222"/>
    </font>
    <font>
      <b/>
      <u/>
      <sz val="12"/>
      <name val="Times New Roman"/>
      <family val="1"/>
    </font>
    <font>
      <u/>
      <sz val="12"/>
      <name val="Times New Roman"/>
      <family val="1"/>
    </font>
    <font>
      <sz val="12"/>
      <color indexed="48"/>
      <name val="Times New Roman"/>
      <family val="1"/>
    </font>
    <font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4"/>
      <name val="TH SarabunPSK"/>
      <family val="2"/>
      <charset val="222"/>
    </font>
    <font>
      <b/>
      <sz val="12"/>
      <color theme="0"/>
      <name val="Times New Roman"/>
      <family val="1"/>
    </font>
    <font>
      <sz val="12"/>
      <color theme="1"/>
      <name val="Times New Roman"/>
      <family val="1"/>
    </font>
    <font>
      <sz val="11"/>
      <color indexed="8"/>
      <name val="Times New Roman"/>
      <family val="1"/>
    </font>
    <font>
      <sz val="10"/>
      <name val="Times New Roman"/>
      <family val="1"/>
    </font>
    <font>
      <sz val="11"/>
      <color theme="1"/>
      <name val="Tahoma"/>
      <family val="2"/>
      <scheme val="minor"/>
    </font>
    <font>
      <b/>
      <i/>
      <sz val="12"/>
      <name val="Symbol"/>
      <family val="1"/>
      <charset val="222"/>
    </font>
    <font>
      <b/>
      <sz val="14"/>
      <name val="TH Sarabun New"/>
      <family val="2"/>
    </font>
    <font>
      <sz val="11"/>
      <name val="Times New Roman"/>
      <family val="1"/>
      <charset val="222"/>
    </font>
    <font>
      <b/>
      <sz val="11"/>
      <name val="Times New Roman"/>
      <family val="1"/>
      <charset val="222"/>
    </font>
    <font>
      <sz val="10"/>
      <name val="Times New Roman"/>
      <family val="1"/>
      <charset val="222"/>
    </font>
    <font>
      <sz val="14"/>
      <name val="Times New Roman"/>
      <family val="1"/>
      <charset val="222"/>
    </font>
    <font>
      <sz val="11"/>
      <name val="Wingdings 2"/>
      <family val="1"/>
      <charset val="222"/>
    </font>
    <font>
      <b/>
      <sz val="20"/>
      <name val="Times New Roman"/>
      <family val="1"/>
      <charset val="222"/>
    </font>
    <font>
      <b/>
      <vertAlign val="superscript"/>
      <sz val="11"/>
      <name val="Times New Roman"/>
      <family val="1"/>
      <charset val="222"/>
    </font>
    <font>
      <b/>
      <vertAlign val="superscript"/>
      <sz val="14"/>
      <name val="Times New Roman"/>
      <family val="1"/>
      <charset val="222"/>
    </font>
    <font>
      <i/>
      <sz val="11"/>
      <name val="Times New Roman"/>
      <family val="1"/>
      <charset val="222"/>
    </font>
    <font>
      <b/>
      <i/>
      <sz val="11"/>
      <name val="Times New Roman"/>
      <family val="1"/>
      <charset val="222"/>
    </font>
    <font>
      <sz val="9"/>
      <name val="Times New Roman"/>
      <family val="1"/>
      <charset val="222"/>
    </font>
    <font>
      <sz val="10"/>
      <name val="Arial"/>
      <family val="2"/>
      <charset val="222"/>
    </font>
    <font>
      <sz val="11"/>
      <name val="Arial"/>
      <family val="2"/>
      <charset val="222"/>
    </font>
    <font>
      <b/>
      <sz val="12"/>
      <name val="Times New Roman"/>
      <family val="1"/>
      <charset val="222"/>
    </font>
    <font>
      <sz val="8"/>
      <name val="Times New Roman"/>
      <family val="1"/>
      <charset val="222"/>
    </font>
    <font>
      <b/>
      <sz val="18"/>
      <color rgb="FF000000"/>
      <name val="TH Sarabun New"/>
      <family val="2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10"/>
      <name val="Times New Roman"/>
      <family val="1"/>
    </font>
    <font>
      <b/>
      <i/>
      <sz val="11"/>
      <name val="Symbol"/>
      <family val="1"/>
      <charset val="222"/>
    </font>
    <font>
      <b/>
      <i/>
      <sz val="14"/>
      <name val="TH Sarabun New"/>
      <family val="2"/>
    </font>
    <font>
      <sz val="8"/>
      <name val="Times New Roman"/>
      <family val="1"/>
    </font>
    <font>
      <b/>
      <sz val="48"/>
      <name val="Times New Roman"/>
      <family val="1"/>
    </font>
    <font>
      <b/>
      <sz val="9"/>
      <name val="Times New Roman"/>
      <family val="1"/>
    </font>
    <font>
      <i/>
      <sz val="10"/>
      <name val="Times New Roman"/>
      <family val="1"/>
    </font>
    <font>
      <sz val="14"/>
      <name val="Cordia New"/>
      <family val="2"/>
    </font>
    <font>
      <sz val="9"/>
      <name val="Times New Roman"/>
      <family val="1"/>
    </font>
    <font>
      <sz val="8"/>
      <color theme="0"/>
      <name val="Times New Roman"/>
      <family val="1"/>
      <charset val="22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</fills>
  <borders count="95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0" borderId="0"/>
    <xf numFmtId="0" fontId="7" fillId="0" borderId="0"/>
    <xf numFmtId="0" fontId="37" fillId="0" borderId="0"/>
    <xf numFmtId="0" fontId="2" fillId="0" borderId="0"/>
    <xf numFmtId="0" fontId="65" fillId="0" borderId="0"/>
    <xf numFmtId="0" fontId="1" fillId="0" borderId="0"/>
  </cellStyleXfs>
  <cellXfs count="585">
    <xf numFmtId="0" fontId="0" fillId="0" borderId="0" xfId="0"/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190" fontId="9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6" fillId="0" borderId="15" xfId="0" applyFont="1" applyBorder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15" xfId="0" applyFont="1" applyBorder="1" applyAlignment="1">
      <alignment vertical="center"/>
    </xf>
    <xf numFmtId="0" fontId="18" fillId="0" borderId="15" xfId="0" applyFont="1" applyBorder="1" applyAlignment="1">
      <alignment horizontal="left" vertical="center"/>
    </xf>
    <xf numFmtId="9" fontId="18" fillId="0" borderId="15" xfId="0" applyNumberFormat="1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9" fontId="16" fillId="0" borderId="0" xfId="0" applyNumberFormat="1" applyFont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15" xfId="0" quotePrefix="1" applyFont="1" applyBorder="1" applyAlignment="1">
      <alignment vertical="center"/>
    </xf>
    <xf numFmtId="0" fontId="18" fillId="0" borderId="15" xfId="0" applyFont="1" applyBorder="1" applyAlignment="1">
      <alignment horizontal="center" vertical="center"/>
    </xf>
    <xf numFmtId="187" fontId="16" fillId="0" borderId="0" xfId="0" applyNumberFormat="1" applyFont="1" applyAlignment="1">
      <alignment vertical="center"/>
    </xf>
    <xf numFmtId="0" fontId="4" fillId="0" borderId="0" xfId="0" quotePrefix="1" applyFont="1" applyAlignment="1">
      <alignment vertical="center"/>
    </xf>
    <xf numFmtId="0" fontId="17" fillId="0" borderId="0" xfId="0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9" fontId="16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/>
    <xf numFmtId="0" fontId="16" fillId="0" borderId="28" xfId="0" applyFont="1" applyBorder="1" applyAlignment="1">
      <alignment vertical="center"/>
    </xf>
    <xf numFmtId="0" fontId="16" fillId="0" borderId="45" xfId="0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5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0" fontId="16" fillId="0" borderId="5" xfId="0" applyFont="1" applyBorder="1" applyAlignment="1">
      <alignment horizontal="center" vertical="center"/>
    </xf>
    <xf numFmtId="14" fontId="16" fillId="0" borderId="0" xfId="0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4" fontId="16" fillId="0" borderId="0" xfId="0" applyNumberFormat="1" applyFont="1" applyAlignment="1">
      <alignment horizontal="left" vertical="center"/>
    </xf>
    <xf numFmtId="0" fontId="23" fillId="0" borderId="44" xfId="0" applyFont="1" applyBorder="1" applyAlignment="1">
      <alignment vertical="center"/>
    </xf>
    <xf numFmtId="14" fontId="17" fillId="0" borderId="0" xfId="0" applyNumberFormat="1" applyFont="1" applyAlignment="1">
      <alignment vertical="center"/>
    </xf>
    <xf numFmtId="189" fontId="16" fillId="0" borderId="5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vertical="center"/>
    </xf>
    <xf numFmtId="190" fontId="29" fillId="0" borderId="0" xfId="0" applyNumberFormat="1" applyFont="1" applyAlignment="1">
      <alignment vertical="center"/>
    </xf>
    <xf numFmtId="22" fontId="17" fillId="0" borderId="0" xfId="0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193" fontId="29" fillId="0" borderId="0" xfId="0" quotePrefix="1" applyNumberFormat="1" applyFont="1" applyAlignment="1">
      <alignment vertical="center"/>
    </xf>
    <xf numFmtId="20" fontId="29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7" borderId="5" xfId="0" applyFont="1" applyFill="1" applyBorder="1" applyAlignment="1">
      <alignment horizontal="center" vertical="center"/>
    </xf>
    <xf numFmtId="0" fontId="31" fillId="6" borderId="16" xfId="0" applyFont="1" applyFill="1" applyBorder="1" applyAlignment="1">
      <alignment horizontal="center" vertical="center"/>
    </xf>
    <xf numFmtId="0" fontId="31" fillId="6" borderId="48" xfId="0" applyFont="1" applyFill="1" applyBorder="1" applyAlignment="1">
      <alignment horizontal="center" vertical="center"/>
    </xf>
    <xf numFmtId="0" fontId="31" fillId="6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16" fillId="3" borderId="5" xfId="0" applyFont="1" applyFill="1" applyBorder="1" applyAlignment="1">
      <alignment horizontal="center" vertical="center"/>
    </xf>
    <xf numFmtId="0" fontId="16" fillId="0" borderId="47" xfId="0" applyFont="1" applyBorder="1"/>
    <xf numFmtId="0" fontId="16" fillId="0" borderId="8" xfId="0" applyFont="1" applyBorder="1"/>
    <xf numFmtId="0" fontId="16" fillId="0" borderId="48" xfId="0" applyFont="1" applyBorder="1"/>
    <xf numFmtId="0" fontId="16" fillId="0" borderId="46" xfId="0" applyFont="1" applyBorder="1"/>
    <xf numFmtId="0" fontId="16" fillId="0" borderId="3" xfId="0" applyFont="1" applyBorder="1"/>
    <xf numFmtId="0" fontId="16" fillId="0" borderId="49" xfId="0" applyFont="1" applyBorder="1"/>
    <xf numFmtId="14" fontId="16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right" vertical="center"/>
    </xf>
    <xf numFmtId="0" fontId="16" fillId="0" borderId="50" xfId="0" applyFont="1" applyBorder="1" applyAlignment="1">
      <alignment horizontal="center" vertical="top" wrapText="1"/>
    </xf>
    <xf numFmtId="0" fontId="16" fillId="0" borderId="51" xfId="0" applyFont="1" applyBorder="1" applyAlignment="1">
      <alignment horizontal="center" vertical="top" wrapText="1"/>
    </xf>
    <xf numFmtId="0" fontId="16" fillId="5" borderId="16" xfId="0" applyFont="1" applyFill="1" applyBorder="1" applyAlignment="1">
      <alignment horizontal="center" vertical="center"/>
    </xf>
    <xf numFmtId="0" fontId="16" fillId="5" borderId="48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/>
    </xf>
    <xf numFmtId="0" fontId="16" fillId="8" borderId="48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0" fontId="18" fillId="0" borderId="0" xfId="0" applyFont="1"/>
    <xf numFmtId="0" fontId="30" fillId="2" borderId="5" xfId="0" applyFont="1" applyFill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3" fillId="0" borderId="48" xfId="0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top" wrapText="1"/>
    </xf>
    <xf numFmtId="0" fontId="34" fillId="4" borderId="47" xfId="0" applyFont="1" applyFill="1" applyBorder="1" applyAlignment="1">
      <alignment horizontal="center" vertical="top" wrapText="1"/>
    </xf>
    <xf numFmtId="0" fontId="34" fillId="9" borderId="8" xfId="0" applyFont="1" applyFill="1" applyBorder="1" applyAlignment="1">
      <alignment horizontal="center" vertical="top" wrapText="1"/>
    </xf>
    <xf numFmtId="0" fontId="17" fillId="0" borderId="30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52" xfId="0" applyFont="1" applyBorder="1" applyAlignment="1">
      <alignment vertical="center"/>
    </xf>
    <xf numFmtId="49" fontId="16" fillId="0" borderId="0" xfId="0" applyNumberFormat="1" applyFont="1" applyAlignment="1">
      <alignment vertical="center"/>
    </xf>
    <xf numFmtId="0" fontId="0" fillId="0" borderId="15" xfId="0" applyBorder="1"/>
    <xf numFmtId="0" fontId="28" fillId="0" borderId="5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6" fillId="0" borderId="0" xfId="2" applyFont="1" applyAlignment="1">
      <alignment vertical="center"/>
    </xf>
    <xf numFmtId="0" fontId="27" fillId="0" borderId="0" xfId="2" applyFont="1" applyAlignment="1">
      <alignment vertical="center"/>
    </xf>
    <xf numFmtId="0" fontId="17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39" fillId="0" borderId="0" xfId="0" applyFont="1" applyAlignment="1">
      <alignment vertical="center"/>
    </xf>
    <xf numFmtId="190" fontId="29" fillId="0" borderId="0" xfId="0" applyNumberFormat="1" applyFont="1" applyAlignment="1">
      <alignment vertical="center" wrapText="1"/>
    </xf>
    <xf numFmtId="14" fontId="11" fillId="0" borderId="0" xfId="0" applyNumberFormat="1" applyFont="1" applyAlignment="1">
      <alignment vertical="center"/>
    </xf>
    <xf numFmtId="0" fontId="40" fillId="0" borderId="0" xfId="2" applyFont="1" applyAlignment="1">
      <alignment vertical="center"/>
    </xf>
    <xf numFmtId="0" fontId="41" fillId="0" borderId="0" xfId="2" applyFont="1" applyAlignment="1">
      <alignment horizontal="left" vertical="center"/>
    </xf>
    <xf numFmtId="0" fontId="40" fillId="0" borderId="0" xfId="2" applyFont="1" applyAlignment="1">
      <alignment horizontal="right" vertical="center"/>
    </xf>
    <xf numFmtId="0" fontId="41" fillId="0" borderId="0" xfId="2" applyFont="1" applyAlignment="1">
      <alignment horizontal="center" vertical="center"/>
    </xf>
    <xf numFmtId="0" fontId="42" fillId="0" borderId="0" xfId="2" applyFont="1" applyAlignment="1">
      <alignment horizontal="center" vertical="center"/>
    </xf>
    <xf numFmtId="0" fontId="42" fillId="0" borderId="0" xfId="2" applyFont="1" applyAlignment="1">
      <alignment vertical="center"/>
    </xf>
    <xf numFmtId="0" fontId="43" fillId="0" borderId="0" xfId="2" applyFont="1" applyAlignment="1">
      <alignment vertical="center"/>
    </xf>
    <xf numFmtId="1" fontId="40" fillId="0" borderId="0" xfId="2" applyNumberFormat="1" applyFont="1" applyAlignment="1">
      <alignment vertical="center"/>
    </xf>
    <xf numFmtId="11" fontId="42" fillId="0" borderId="0" xfId="2" applyNumberFormat="1" applyFont="1" applyAlignment="1">
      <alignment vertical="center"/>
    </xf>
    <xf numFmtId="0" fontId="40" fillId="0" borderId="0" xfId="2" applyFont="1" applyAlignment="1">
      <alignment horizontal="center" vertical="center"/>
    </xf>
    <xf numFmtId="0" fontId="41" fillId="0" borderId="0" xfId="2" applyFont="1" applyAlignment="1">
      <alignment vertical="center"/>
    </xf>
    <xf numFmtId="0" fontId="40" fillId="0" borderId="0" xfId="2" applyFont="1" applyAlignment="1">
      <alignment horizontal="left" vertical="center"/>
    </xf>
    <xf numFmtId="14" fontId="40" fillId="0" borderId="0" xfId="2" applyNumberFormat="1" applyFont="1" applyAlignment="1">
      <alignment horizontal="left" vertical="center"/>
    </xf>
    <xf numFmtId="14" fontId="41" fillId="0" borderId="0" xfId="2" applyNumberFormat="1" applyFont="1" applyAlignment="1">
      <alignment horizontal="right" vertical="center"/>
    </xf>
    <xf numFmtId="190" fontId="40" fillId="0" borderId="0" xfId="2" applyNumberFormat="1" applyFont="1" applyAlignment="1">
      <alignment horizontal="left" vertical="center"/>
    </xf>
    <xf numFmtId="14" fontId="41" fillId="0" borderId="1" xfId="2" applyNumberFormat="1" applyFont="1" applyBorder="1" applyAlignment="1">
      <alignment horizontal="center" vertical="center"/>
    </xf>
    <xf numFmtId="0" fontId="41" fillId="0" borderId="1" xfId="2" applyFont="1" applyBorder="1" applyAlignment="1">
      <alignment horizontal="center" vertical="center"/>
    </xf>
    <xf numFmtId="0" fontId="47" fillId="0" borderId="0" xfId="2" applyFont="1" applyAlignment="1">
      <alignment horizontal="center" vertical="top"/>
    </xf>
    <xf numFmtId="0" fontId="48" fillId="0" borderId="1" xfId="2" applyFont="1" applyBorder="1" applyAlignment="1">
      <alignment horizontal="center" vertical="center"/>
    </xf>
    <xf numFmtId="0" fontId="48" fillId="0" borderId="0" xfId="2" applyFont="1" applyAlignment="1">
      <alignment horizontal="center" vertical="center"/>
    </xf>
    <xf numFmtId="0" fontId="49" fillId="0" borderId="0" xfId="2" applyFont="1" applyAlignment="1">
      <alignment horizontal="center" vertical="center"/>
    </xf>
    <xf numFmtId="0" fontId="51" fillId="0" borderId="0" xfId="2" applyFont="1"/>
    <xf numFmtId="0" fontId="52" fillId="0" borderId="0" xfId="2" applyFont="1"/>
    <xf numFmtId="0" fontId="53" fillId="0" borderId="0" xfId="2" applyFont="1" applyAlignment="1">
      <alignment vertical="center"/>
    </xf>
    <xf numFmtId="0" fontId="40" fillId="0" borderId="0" xfId="2" applyFont="1" applyAlignment="1" applyProtection="1">
      <alignment vertical="center"/>
      <protection locked="0"/>
    </xf>
    <xf numFmtId="187" fontId="51" fillId="0" borderId="0" xfId="2" applyNumberFormat="1" applyFont="1"/>
    <xf numFmtId="187" fontId="43" fillId="0" borderId="0" xfId="2" applyNumberFormat="1" applyFont="1" applyAlignment="1">
      <alignment vertical="center"/>
    </xf>
    <xf numFmtId="2" fontId="40" fillId="0" borderId="0" xfId="2" applyNumberFormat="1" applyFont="1" applyAlignment="1">
      <alignment horizontal="center" vertical="center"/>
    </xf>
    <xf numFmtId="0" fontId="41" fillId="0" borderId="0" xfId="2" applyFont="1" applyAlignment="1" applyProtection="1">
      <alignment horizontal="left" vertical="center"/>
      <protection locked="0"/>
    </xf>
    <xf numFmtId="0" fontId="40" fillId="0" borderId="0" xfId="2" applyFont="1" applyAlignment="1" applyProtection="1">
      <alignment horizontal="center" vertical="center"/>
      <protection locked="0"/>
    </xf>
    <xf numFmtId="0" fontId="43" fillId="0" borderId="0" xfId="2" applyFont="1" applyAlignment="1" applyProtection="1">
      <alignment vertical="center"/>
      <protection locked="0"/>
    </xf>
    <xf numFmtId="0" fontId="41" fillId="0" borderId="0" xfId="2" applyFont="1" applyAlignment="1" applyProtection="1">
      <alignment vertical="center"/>
      <protection locked="0"/>
    </xf>
    <xf numFmtId="187" fontId="16" fillId="0" borderId="0" xfId="0" applyNumberFormat="1" applyFont="1" applyAlignment="1">
      <alignment horizontal="center" vertical="center"/>
    </xf>
    <xf numFmtId="199" fontId="50" fillId="0" borderId="0" xfId="2" applyNumberFormat="1" applyFont="1" applyAlignment="1">
      <alignment horizontal="center" vertical="center"/>
    </xf>
    <xf numFmtId="196" fontId="50" fillId="0" borderId="0" xfId="2" applyNumberFormat="1" applyFont="1" applyAlignment="1">
      <alignment horizontal="center" vertical="center"/>
    </xf>
    <xf numFmtId="2" fontId="42" fillId="0" borderId="0" xfId="2" applyNumberFormat="1" applyFont="1" applyAlignment="1">
      <alignment horizontal="left" vertical="center"/>
    </xf>
    <xf numFmtId="0" fontId="57" fillId="0" borderId="0" xfId="2" applyFont="1" applyAlignment="1">
      <alignment vertical="center"/>
    </xf>
    <xf numFmtId="189" fontId="10" fillId="0" borderId="0" xfId="2" applyNumberFormat="1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1" fontId="10" fillId="0" borderId="0" xfId="2" applyNumberFormat="1" applyFont="1" applyAlignment="1">
      <alignment horizontal="center" vertical="center"/>
    </xf>
    <xf numFmtId="0" fontId="44" fillId="11" borderId="0" xfId="2" applyFont="1" applyFill="1" applyAlignment="1">
      <alignment horizontal="center" vertical="center"/>
    </xf>
    <xf numFmtId="0" fontId="40" fillId="11" borderId="0" xfId="2" applyFont="1" applyFill="1" applyAlignment="1">
      <alignment vertical="center"/>
    </xf>
    <xf numFmtId="2" fontId="36" fillId="0" borderId="0" xfId="2" applyNumberFormat="1" applyFont="1" applyAlignment="1">
      <alignment horizontal="left" vertical="center"/>
    </xf>
    <xf numFmtId="189" fontId="36" fillId="4" borderId="64" xfId="2" applyNumberFormat="1" applyFont="1" applyFill="1" applyBorder="1" applyAlignment="1">
      <alignment horizontal="center" vertical="center"/>
    </xf>
    <xf numFmtId="189" fontId="36" fillId="4" borderId="7" xfId="2" applyNumberFormat="1" applyFont="1" applyFill="1" applyBorder="1" applyAlignment="1">
      <alignment horizontal="center" vertical="center"/>
    </xf>
    <xf numFmtId="189" fontId="36" fillId="4" borderId="76" xfId="2" applyNumberFormat="1" applyFont="1" applyFill="1" applyBorder="1" applyAlignment="1">
      <alignment horizontal="center" vertical="center"/>
    </xf>
    <xf numFmtId="189" fontId="36" fillId="10" borderId="61" xfId="2" applyNumberFormat="1" applyFont="1" applyFill="1" applyBorder="1" applyAlignment="1">
      <alignment horizontal="center" vertical="center"/>
    </xf>
    <xf numFmtId="189" fontId="36" fillId="10" borderId="66" xfId="2" applyNumberFormat="1" applyFont="1" applyFill="1" applyBorder="1" applyAlignment="1">
      <alignment horizontal="center" vertical="center"/>
    </xf>
    <xf numFmtId="2" fontId="36" fillId="0" borderId="0" xfId="2" applyNumberFormat="1" applyFont="1" applyAlignment="1">
      <alignment horizontal="center" vertical="center"/>
    </xf>
    <xf numFmtId="189" fontId="36" fillId="0" borderId="0" xfId="2" applyNumberFormat="1" applyFont="1" applyAlignment="1">
      <alignment horizontal="center" vertical="center"/>
    </xf>
    <xf numFmtId="0" fontId="36" fillId="0" borderId="0" xfId="2" applyFont="1" applyAlignment="1">
      <alignment horizontal="center" vertical="center"/>
    </xf>
    <xf numFmtId="188" fontId="49" fillId="0" borderId="0" xfId="2" applyNumberFormat="1" applyFont="1" applyAlignment="1">
      <alignment horizontal="center" vertical="center"/>
    </xf>
    <xf numFmtId="188" fontId="42" fillId="0" borderId="0" xfId="2" applyNumberFormat="1" applyFont="1" applyAlignment="1">
      <alignment horizontal="center" vertical="center"/>
    </xf>
    <xf numFmtId="191" fontId="40" fillId="0" borderId="39" xfId="2" applyNumberFormat="1" applyFont="1" applyBorder="1" applyAlignment="1">
      <alignment vertical="center"/>
    </xf>
    <xf numFmtId="0" fontId="40" fillId="0" borderId="39" xfId="2" applyFont="1" applyBorder="1" applyAlignment="1">
      <alignment vertical="center"/>
    </xf>
    <xf numFmtId="0" fontId="38" fillId="0" borderId="0" xfId="2" applyFont="1" applyAlignment="1">
      <alignment horizontal="left" vertical="center"/>
    </xf>
    <xf numFmtId="188" fontId="49" fillId="0" borderId="0" xfId="2" applyNumberFormat="1" applyFont="1" applyAlignment="1">
      <alignment horizontal="left" vertical="center"/>
    </xf>
    <xf numFmtId="49" fontId="16" fillId="11" borderId="0" xfId="0" applyNumberFormat="1" applyFont="1" applyFill="1" applyAlignment="1">
      <alignment vertical="center"/>
    </xf>
    <xf numFmtId="14" fontId="16" fillId="11" borderId="0" xfId="0" applyNumberFormat="1" applyFont="1" applyFill="1" applyAlignment="1">
      <alignment vertical="center"/>
    </xf>
    <xf numFmtId="0" fontId="41" fillId="0" borderId="12" xfId="2" applyFont="1" applyBorder="1" applyAlignment="1" applyProtection="1">
      <alignment vertical="center"/>
      <protection locked="0"/>
    </xf>
    <xf numFmtId="0" fontId="47" fillId="0" borderId="5" xfId="2" applyFont="1" applyBorder="1" applyAlignment="1">
      <alignment horizontal="center" vertical="top"/>
    </xf>
    <xf numFmtId="0" fontId="47" fillId="0" borderId="6" xfId="2" applyFont="1" applyBorder="1" applyAlignment="1">
      <alignment horizontal="center" vertical="top"/>
    </xf>
    <xf numFmtId="0" fontId="47" fillId="0" borderId="30" xfId="2" applyFont="1" applyBorder="1" applyAlignment="1">
      <alignment horizontal="center" vertical="top"/>
    </xf>
    <xf numFmtId="0" fontId="47" fillId="0" borderId="7" xfId="2" applyFont="1" applyBorder="1" applyAlignment="1">
      <alignment horizontal="center" vertical="top"/>
    </xf>
    <xf numFmtId="0" fontId="40" fillId="0" borderId="12" xfId="2" applyFont="1" applyBorder="1" applyAlignment="1" applyProtection="1">
      <alignment horizontal="center" vertical="center"/>
      <protection locked="0"/>
    </xf>
    <xf numFmtId="0" fontId="42" fillId="4" borderId="0" xfId="2" applyFont="1" applyFill="1" applyAlignment="1">
      <alignment horizontal="center" vertical="center"/>
    </xf>
    <xf numFmtId="2" fontId="42" fillId="4" borderId="0" xfId="2" applyNumberFormat="1" applyFont="1" applyFill="1" applyAlignment="1">
      <alignment vertical="center"/>
    </xf>
    <xf numFmtId="0" fontId="43" fillId="4" borderId="0" xfId="2" applyFont="1" applyFill="1" applyAlignment="1">
      <alignment horizontal="center" vertical="center"/>
    </xf>
    <xf numFmtId="0" fontId="42" fillId="4" borderId="0" xfId="2" applyFont="1" applyFill="1" applyAlignment="1">
      <alignment vertical="center"/>
    </xf>
    <xf numFmtId="2" fontId="42" fillId="4" borderId="0" xfId="2" applyNumberFormat="1" applyFont="1" applyFill="1" applyAlignment="1">
      <alignment horizontal="center" vertical="center"/>
    </xf>
    <xf numFmtId="0" fontId="43" fillId="4" borderId="0" xfId="2" applyFont="1" applyFill="1" applyAlignment="1">
      <alignment vertical="center"/>
    </xf>
    <xf numFmtId="0" fontId="42" fillId="4" borderId="0" xfId="0" applyFont="1" applyFill="1" applyAlignment="1">
      <alignment horizontal="right"/>
    </xf>
    <xf numFmtId="0" fontId="42" fillId="4" borderId="0" xfId="0" applyFont="1" applyFill="1"/>
    <xf numFmtId="189" fontId="42" fillId="4" borderId="0" xfId="0" applyNumberFormat="1" applyFont="1" applyFill="1"/>
    <xf numFmtId="0" fontId="36" fillId="11" borderId="84" xfId="0" applyFont="1" applyFill="1" applyBorder="1" applyAlignment="1" applyProtection="1">
      <alignment horizontal="center" vertical="center" wrapText="1"/>
      <protection locked="0"/>
    </xf>
    <xf numFmtId="0" fontId="63" fillId="4" borderId="84" xfId="0" applyFont="1" applyFill="1" applyBorder="1" applyAlignment="1">
      <alignment horizontal="center" vertical="center" wrapText="1"/>
    </xf>
    <xf numFmtId="0" fontId="54" fillId="0" borderId="0" xfId="2" applyFont="1" applyAlignment="1">
      <alignment vertical="center"/>
    </xf>
    <xf numFmtId="0" fontId="40" fillId="4" borderId="0" xfId="2" applyFont="1" applyFill="1" applyAlignment="1">
      <alignment vertical="center"/>
    </xf>
    <xf numFmtId="0" fontId="44" fillId="4" borderId="0" xfId="2" applyFont="1" applyFill="1" applyAlignment="1">
      <alignment horizontal="center" vertical="center"/>
    </xf>
    <xf numFmtId="0" fontId="42" fillId="11" borderId="5" xfId="0" applyFont="1" applyFill="1" applyBorder="1" applyAlignment="1" applyProtection="1">
      <alignment horizontal="center" vertical="center"/>
      <protection locked="0"/>
    </xf>
    <xf numFmtId="196" fontId="64" fillId="6" borderId="91" xfId="2" applyNumberFormat="1" applyFont="1" applyFill="1" applyBorder="1" applyAlignment="1">
      <alignment horizontal="center" vertical="center"/>
    </xf>
    <xf numFmtId="196" fontId="64" fillId="6" borderId="88" xfId="2" applyNumberFormat="1" applyFont="1" applyFill="1" applyBorder="1" applyAlignment="1">
      <alignment horizontal="center" vertical="center"/>
    </xf>
    <xf numFmtId="189" fontId="23" fillId="0" borderId="28" xfId="0" applyNumberFormat="1" applyFont="1" applyBorder="1" applyAlignment="1">
      <alignment vertical="center"/>
    </xf>
    <xf numFmtId="0" fontId="23" fillId="0" borderId="28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6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1" fontId="15" fillId="0" borderId="5" xfId="0" applyNumberFormat="1" applyFont="1" applyBorder="1" applyAlignment="1">
      <alignment vertical="center"/>
    </xf>
    <xf numFmtId="0" fontId="0" fillId="0" borderId="49" xfId="0" applyBorder="1"/>
    <xf numFmtId="0" fontId="0" fillId="0" borderId="46" xfId="0" applyBorder="1"/>
    <xf numFmtId="0" fontId="0" fillId="0" borderId="47" xfId="0" applyBorder="1"/>
    <xf numFmtId="188" fontId="49" fillId="0" borderId="0" xfId="2" applyNumberFormat="1" applyFont="1" applyAlignment="1" applyProtection="1">
      <alignment horizontal="left" vertical="center"/>
      <protection locked="0"/>
    </xf>
    <xf numFmtId="188" fontId="49" fillId="0" borderId="0" xfId="2" applyNumberFormat="1" applyFont="1" applyAlignment="1" applyProtection="1">
      <alignment horizontal="center" vertical="center"/>
      <protection locked="0"/>
    </xf>
    <xf numFmtId="188" fontId="42" fillId="0" borderId="0" xfId="2" applyNumberFormat="1" applyFont="1" applyAlignment="1" applyProtection="1">
      <alignment horizontal="center" vertical="center"/>
      <protection locked="0"/>
    </xf>
    <xf numFmtId="0" fontId="42" fillId="4" borderId="0" xfId="2" applyFont="1" applyFill="1" applyAlignment="1" applyProtection="1">
      <alignment horizontal="center" vertical="center"/>
      <protection locked="0"/>
    </xf>
    <xf numFmtId="2" fontId="42" fillId="4" borderId="0" xfId="2" applyNumberFormat="1" applyFont="1" applyFill="1" applyAlignment="1" applyProtection="1">
      <alignment vertical="center"/>
      <protection locked="0"/>
    </xf>
    <xf numFmtId="0" fontId="43" fillId="4" borderId="0" xfId="2" applyFont="1" applyFill="1" applyAlignment="1" applyProtection="1">
      <alignment horizontal="center" vertical="center"/>
      <protection locked="0"/>
    </xf>
    <xf numFmtId="0" fontId="42" fillId="4" borderId="0" xfId="2" applyFont="1" applyFill="1" applyAlignment="1" applyProtection="1">
      <alignment vertical="center"/>
      <protection locked="0"/>
    </xf>
    <xf numFmtId="2" fontId="42" fillId="4" borderId="0" xfId="2" applyNumberFormat="1" applyFont="1" applyFill="1" applyAlignment="1" applyProtection="1">
      <alignment horizontal="center" vertical="center"/>
      <protection locked="0"/>
    </xf>
    <xf numFmtId="0" fontId="43" fillId="4" borderId="0" xfId="2" applyFont="1" applyFill="1" applyAlignment="1" applyProtection="1">
      <alignment vertical="center"/>
      <protection locked="0"/>
    </xf>
    <xf numFmtId="0" fontId="42" fillId="4" borderId="0" xfId="0" applyFont="1" applyFill="1" applyAlignment="1" applyProtection="1">
      <alignment horizontal="right"/>
      <protection locked="0"/>
    </xf>
    <xf numFmtId="189" fontId="42" fillId="4" borderId="0" xfId="0" applyNumberFormat="1" applyFont="1" applyFill="1" applyAlignment="1" applyProtection="1">
      <alignment vertical="center"/>
      <protection locked="0"/>
    </xf>
    <xf numFmtId="189" fontId="42" fillId="4" borderId="0" xfId="0" applyNumberFormat="1" applyFont="1" applyFill="1" applyProtection="1">
      <protection locked="0"/>
    </xf>
    <xf numFmtId="0" fontId="42" fillId="4" borderId="0" xfId="0" applyFont="1" applyFill="1" applyProtection="1">
      <protection locked="0"/>
    </xf>
    <xf numFmtId="0" fontId="42" fillId="0" borderId="0" xfId="2" applyFont="1" applyAlignment="1" applyProtection="1">
      <alignment vertical="center"/>
      <protection locked="0"/>
    </xf>
    <xf numFmtId="187" fontId="43" fillId="0" borderId="0" xfId="2" applyNumberFormat="1" applyFont="1" applyAlignment="1" applyProtection="1">
      <alignment vertical="center"/>
      <protection locked="0"/>
    </xf>
    <xf numFmtId="0" fontId="41" fillId="0" borderId="0" xfId="2" applyFont="1" applyAlignment="1" applyProtection="1">
      <alignment horizontal="center" vertical="center"/>
      <protection locked="0"/>
    </xf>
    <xf numFmtId="1" fontId="40" fillId="0" borderId="0" xfId="2" applyNumberFormat="1" applyFont="1" applyAlignment="1" applyProtection="1">
      <alignment vertical="center"/>
      <protection locked="0"/>
    </xf>
    <xf numFmtId="14" fontId="40" fillId="0" borderId="0" xfId="2" applyNumberFormat="1" applyFont="1" applyAlignment="1" applyProtection="1">
      <alignment horizontal="left" vertical="center"/>
      <protection locked="0"/>
    </xf>
    <xf numFmtId="191" fontId="40" fillId="0" borderId="39" xfId="2" applyNumberFormat="1" applyFont="1" applyBorder="1" applyAlignment="1" applyProtection="1">
      <alignment vertical="center"/>
      <protection locked="0"/>
    </xf>
    <xf numFmtId="0" fontId="40" fillId="0" borderId="39" xfId="2" applyFont="1" applyBorder="1" applyAlignment="1" applyProtection="1">
      <alignment vertical="center"/>
      <protection locked="0"/>
    </xf>
    <xf numFmtId="0" fontId="66" fillId="0" borderId="0" xfId="0" applyFont="1" applyAlignment="1">
      <alignment horizontal="left" vertical="top"/>
    </xf>
    <xf numFmtId="0" fontId="5" fillId="0" borderId="0" xfId="2" applyFont="1" applyAlignment="1">
      <alignment horizontal="right" vertical="center"/>
    </xf>
    <xf numFmtId="200" fontId="16" fillId="0" borderId="50" xfId="0" applyNumberFormat="1" applyFont="1" applyBorder="1" applyAlignment="1">
      <alignment horizontal="center" vertical="top" wrapText="1"/>
    </xf>
    <xf numFmtId="201" fontId="42" fillId="11" borderId="5" xfId="0" applyNumberFormat="1" applyFont="1" applyFill="1" applyBorder="1" applyAlignment="1" applyProtection="1">
      <alignment horizontal="center" vertical="center"/>
      <protection locked="0"/>
    </xf>
    <xf numFmtId="201" fontId="40" fillId="11" borderId="5" xfId="2" applyNumberFormat="1" applyFont="1" applyFill="1" applyBorder="1" applyProtection="1">
      <protection locked="0"/>
    </xf>
    <xf numFmtId="201" fontId="42" fillId="0" borderId="0" xfId="2" applyNumberFormat="1" applyFont="1" applyAlignment="1">
      <alignment vertical="center"/>
    </xf>
    <xf numFmtId="194" fontId="16" fillId="0" borderId="0" xfId="0" applyNumberFormat="1" applyFont="1" applyAlignment="1">
      <alignment vertical="center"/>
    </xf>
    <xf numFmtId="190" fontId="23" fillId="0" borderId="44" xfId="0" applyNumberFormat="1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200" fontId="0" fillId="0" borderId="0" xfId="0" applyNumberFormat="1" applyAlignment="1">
      <alignment horizontal="left"/>
    </xf>
    <xf numFmtId="0" fontId="0" fillId="0" borderId="30" xfId="0" applyBorder="1" applyAlignment="1">
      <alignment horizontal="left" vertical="center"/>
    </xf>
    <xf numFmtId="0" fontId="24" fillId="0" borderId="30" xfId="0" applyFont="1" applyBorder="1" applyAlignment="1">
      <alignment horizontal="left" vertical="center"/>
    </xf>
    <xf numFmtId="0" fontId="24" fillId="0" borderId="7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" fontId="23" fillId="11" borderId="13" xfId="0" applyNumberFormat="1" applyFont="1" applyFill="1" applyBorder="1" applyAlignment="1">
      <alignment horizontal="center" vertical="center"/>
    </xf>
    <xf numFmtId="1" fontId="23" fillId="11" borderId="0" xfId="0" applyNumberFormat="1" applyFont="1" applyFill="1" applyAlignment="1">
      <alignment horizontal="center" vertical="center"/>
    </xf>
    <xf numFmtId="189" fontId="23" fillId="11" borderId="9" xfId="0" applyNumberFormat="1" applyFont="1" applyFill="1" applyBorder="1" applyAlignment="1">
      <alignment horizontal="center" vertical="center"/>
    </xf>
    <xf numFmtId="189" fontId="23" fillId="11" borderId="28" xfId="0" applyNumberFormat="1" applyFont="1" applyFill="1" applyBorder="1" applyAlignment="1">
      <alignment horizontal="center" vertical="center"/>
    </xf>
    <xf numFmtId="189" fontId="23" fillId="11" borderId="13" xfId="0" applyNumberFormat="1" applyFont="1" applyFill="1" applyBorder="1" applyAlignment="1">
      <alignment horizontal="center" vertical="center"/>
    </xf>
    <xf numFmtId="189" fontId="23" fillId="11" borderId="0" xfId="0" applyNumberFormat="1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4" fontId="16" fillId="11" borderId="0" xfId="0" applyNumberFormat="1" applyFont="1" applyFill="1" applyAlignment="1">
      <alignment horizontal="left" vertical="center"/>
    </xf>
    <xf numFmtId="14" fontId="16" fillId="11" borderId="0" xfId="0" applyNumberFormat="1" applyFont="1" applyFill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200" fontId="4" fillId="0" borderId="5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195" fontId="0" fillId="0" borderId="5" xfId="0" applyNumberFormat="1" applyBorder="1" applyAlignment="1">
      <alignment horizontal="center" vertical="center"/>
    </xf>
    <xf numFmtId="195" fontId="4" fillId="0" borderId="5" xfId="0" applyNumberFormat="1" applyFont="1" applyBorder="1" applyAlignment="1">
      <alignment horizontal="center" vertical="center"/>
    </xf>
    <xf numFmtId="195" fontId="24" fillId="0" borderId="5" xfId="0" applyNumberFormat="1" applyFont="1" applyBorder="1" applyAlignment="1">
      <alignment horizontal="center" vertical="center"/>
    </xf>
    <xf numFmtId="0" fontId="11" fillId="11" borderId="12" xfId="0" applyFont="1" applyFill="1" applyBorder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1" fontId="36" fillId="0" borderId="5" xfId="0" applyNumberFormat="1" applyFont="1" applyBorder="1" applyAlignment="1">
      <alignment horizontal="center" vertical="center"/>
    </xf>
    <xf numFmtId="195" fontId="36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36" fillId="0" borderId="5" xfId="0" applyFont="1" applyBorder="1" applyAlignment="1">
      <alignment horizontal="left" vertical="center"/>
    </xf>
    <xf numFmtId="0" fontId="4" fillId="11" borderId="5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90" fontId="23" fillId="11" borderId="31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194" fontId="16" fillId="6" borderId="44" xfId="0" applyNumberFormat="1" applyFont="1" applyFill="1" applyBorder="1" applyAlignment="1">
      <alignment horizontal="left" vertical="center"/>
    </xf>
    <xf numFmtId="1" fontId="23" fillId="11" borderId="31" xfId="0" applyNumberFormat="1" applyFont="1" applyFill="1" applyBorder="1" applyAlignment="1">
      <alignment horizontal="left" vertical="center"/>
    </xf>
    <xf numFmtId="49" fontId="23" fillId="11" borderId="31" xfId="0" quotePrefix="1" applyNumberFormat="1" applyFont="1" applyFill="1" applyBorder="1" applyAlignment="1">
      <alignment horizontal="left" vertical="center"/>
    </xf>
    <xf numFmtId="49" fontId="23" fillId="11" borderId="31" xfId="0" applyNumberFormat="1" applyFont="1" applyFill="1" applyBorder="1" applyAlignment="1">
      <alignment horizontal="left" vertical="center"/>
    </xf>
    <xf numFmtId="0" fontId="11" fillId="11" borderId="12" xfId="0" applyFont="1" applyFill="1" applyBorder="1" applyAlignment="1">
      <alignment horizontal="left" vertical="center"/>
    </xf>
    <xf numFmtId="0" fontId="9" fillId="11" borderId="31" xfId="0" applyFont="1" applyFill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6" fillId="11" borderId="12" xfId="0" applyFont="1" applyFill="1" applyBorder="1" applyAlignment="1">
      <alignment horizontal="center" vertical="center"/>
    </xf>
    <xf numFmtId="0" fontId="23" fillId="12" borderId="12" xfId="0" applyFont="1" applyFill="1" applyBorder="1" applyAlignment="1">
      <alignment horizontal="center" vertical="center"/>
    </xf>
    <xf numFmtId="0" fontId="23" fillId="11" borderId="12" xfId="0" applyFont="1" applyFill="1" applyBorder="1" applyAlignment="1">
      <alignment horizontal="center" vertical="center"/>
    </xf>
    <xf numFmtId="0" fontId="35" fillId="0" borderId="31" xfId="0" applyFont="1" applyBorder="1" applyAlignment="1">
      <alignment horizontal="left" vertical="center"/>
    </xf>
    <xf numFmtId="189" fontId="23" fillId="0" borderId="0" xfId="0" applyNumberFormat="1" applyFont="1" applyAlignment="1">
      <alignment horizontal="center" vertical="center"/>
    </xf>
    <xf numFmtId="189" fontId="23" fillId="0" borderId="18" xfId="0" applyNumberFormat="1" applyFont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190" fontId="23" fillId="0" borderId="0" xfId="0" applyNumberFormat="1" applyFont="1" applyAlignment="1">
      <alignment horizontal="left" vertical="center"/>
    </xf>
    <xf numFmtId="0" fontId="16" fillId="0" borderId="30" xfId="0" applyFont="1" applyBorder="1" applyAlignment="1">
      <alignment horizontal="center" vertical="center"/>
    </xf>
    <xf numFmtId="190" fontId="35" fillId="0" borderId="31" xfId="0" applyNumberFormat="1" applyFont="1" applyBorder="1" applyAlignment="1">
      <alignment horizontal="left" vertical="center"/>
    </xf>
    <xf numFmtId="0" fontId="16" fillId="0" borderId="9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7" fillId="0" borderId="15" xfId="0" applyFont="1" applyBorder="1" applyAlignment="1">
      <alignment horizontal="left" vertical="center"/>
    </xf>
    <xf numFmtId="0" fontId="26" fillId="0" borderId="5" xfId="0" applyFont="1" applyBorder="1" applyAlignment="1">
      <alignment horizontal="center" vertical="center"/>
    </xf>
    <xf numFmtId="49" fontId="16" fillId="0" borderId="5" xfId="0" applyNumberFormat="1" applyFont="1" applyBorder="1" applyAlignment="1">
      <alignment horizontal="center" vertical="top" wrapText="1"/>
    </xf>
    <xf numFmtId="0" fontId="16" fillId="3" borderId="5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top" wrapText="1"/>
    </xf>
    <xf numFmtId="0" fontId="36" fillId="11" borderId="12" xfId="2" applyFont="1" applyFill="1" applyBorder="1" applyAlignment="1" applyProtection="1">
      <alignment horizontal="center" vertical="center"/>
      <protection locked="0"/>
    </xf>
    <xf numFmtId="2" fontId="57" fillId="0" borderId="71" xfId="2" applyNumberFormat="1" applyFont="1" applyBorder="1" applyAlignment="1">
      <alignment horizontal="center" vertical="center"/>
    </xf>
    <xf numFmtId="2" fontId="57" fillId="0" borderId="71" xfId="2" applyNumberFormat="1" applyFont="1" applyBorder="1" applyAlignment="1">
      <alignment horizontal="center" vertical="center" wrapText="1"/>
    </xf>
    <xf numFmtId="0" fontId="40" fillId="0" borderId="31" xfId="2" applyFont="1" applyBorder="1" applyAlignment="1" applyProtection="1">
      <alignment horizontal="left" vertical="center"/>
      <protection locked="0"/>
    </xf>
    <xf numFmtId="0" fontId="40" fillId="0" borderId="0" xfId="2" applyFont="1" applyAlignment="1" applyProtection="1">
      <alignment horizontal="center" vertical="center"/>
      <protection locked="0"/>
    </xf>
    <xf numFmtId="197" fontId="40" fillId="0" borderId="31" xfId="2" applyNumberFormat="1" applyFont="1" applyBorder="1" applyAlignment="1" applyProtection="1">
      <alignment horizontal="left" vertical="center"/>
      <protection locked="0"/>
    </xf>
    <xf numFmtId="0" fontId="36" fillId="4" borderId="5" xfId="2" applyFont="1" applyFill="1" applyBorder="1" applyAlignment="1">
      <alignment horizontal="center" vertical="center"/>
    </xf>
    <xf numFmtId="188" fontId="49" fillId="0" borderId="17" xfId="2" applyNumberFormat="1" applyFont="1" applyBorder="1" applyAlignment="1">
      <alignment horizontal="center" vertical="center"/>
    </xf>
    <xf numFmtId="188" fontId="49" fillId="0" borderId="34" xfId="2" applyNumberFormat="1" applyFont="1" applyBorder="1" applyAlignment="1">
      <alignment horizontal="center" vertical="center"/>
    </xf>
    <xf numFmtId="188" fontId="49" fillId="0" borderId="35" xfId="2" applyNumberFormat="1" applyFont="1" applyBorder="1" applyAlignment="1">
      <alignment horizontal="center" vertical="center"/>
    </xf>
    <xf numFmtId="188" fontId="42" fillId="0" borderId="55" xfId="2" applyNumberFormat="1" applyFont="1" applyBorder="1" applyAlignment="1">
      <alignment horizontal="center" vertical="center"/>
    </xf>
    <xf numFmtId="0" fontId="49" fillId="0" borderId="32" xfId="2" applyFont="1" applyBorder="1" applyAlignment="1">
      <alignment horizontal="center" vertical="center"/>
    </xf>
    <xf numFmtId="0" fontId="49" fillId="0" borderId="31" xfId="2" applyFont="1" applyBorder="1" applyAlignment="1">
      <alignment horizontal="center" vertical="center"/>
    </xf>
    <xf numFmtId="0" fontId="49" fillId="0" borderId="33" xfId="2" applyFont="1" applyBorder="1" applyAlignment="1">
      <alignment horizontal="center" vertical="center"/>
    </xf>
    <xf numFmtId="191" fontId="42" fillId="0" borderId="54" xfId="2" applyNumberFormat="1" applyFont="1" applyBorder="1" applyAlignment="1">
      <alignment horizontal="center" vertical="center"/>
    </xf>
    <xf numFmtId="187" fontId="42" fillId="0" borderId="54" xfId="2" applyNumberFormat="1" applyFont="1" applyBorder="1" applyAlignment="1">
      <alignment horizontal="center" vertical="center"/>
    </xf>
    <xf numFmtId="196" fontId="50" fillId="0" borderId="55" xfId="2" applyNumberFormat="1" applyFont="1" applyBorder="1" applyAlignment="1">
      <alignment horizontal="center" vertical="center"/>
    </xf>
    <xf numFmtId="0" fontId="43" fillId="11" borderId="52" xfId="2" applyFont="1" applyFill="1" applyBorder="1" applyAlignment="1" applyProtection="1">
      <alignment horizontal="center" vertical="center"/>
      <protection locked="0"/>
    </xf>
    <xf numFmtId="0" fontId="40" fillId="0" borderId="12" xfId="2" applyFont="1" applyBorder="1" applyAlignment="1" applyProtection="1">
      <alignment horizontal="center" vertical="center"/>
      <protection locked="0"/>
    </xf>
    <xf numFmtId="0" fontId="40" fillId="0" borderId="0" xfId="2" applyFont="1" applyAlignment="1">
      <alignment horizontal="right" vertical="center"/>
    </xf>
    <xf numFmtId="0" fontId="41" fillId="0" borderId="0" xfId="2" applyFont="1" applyAlignment="1" applyProtection="1">
      <alignment horizontal="left" vertical="center"/>
      <protection locked="0"/>
    </xf>
    <xf numFmtId="0" fontId="40" fillId="0" borderId="12" xfId="2" applyFont="1" applyBorder="1" applyAlignment="1" applyProtection="1">
      <alignment horizontal="left" vertical="center"/>
      <protection locked="0"/>
    </xf>
    <xf numFmtId="197" fontId="40" fillId="0" borderId="12" xfId="2" applyNumberFormat="1" applyFont="1" applyBorder="1" applyAlignment="1" applyProtection="1">
      <alignment horizontal="left" vertical="center"/>
      <protection locked="0"/>
    </xf>
    <xf numFmtId="0" fontId="59" fillId="4" borderId="58" xfId="2" applyFont="1" applyFill="1" applyBorder="1" applyAlignment="1">
      <alignment horizontal="left"/>
    </xf>
    <xf numFmtId="0" fontId="59" fillId="4" borderId="59" xfId="2" applyFont="1" applyFill="1" applyBorder="1" applyAlignment="1">
      <alignment horizontal="left"/>
    </xf>
    <xf numFmtId="0" fontId="59" fillId="4" borderId="62" xfId="2" applyFont="1" applyFill="1" applyBorder="1" applyAlignment="1">
      <alignment horizontal="left"/>
    </xf>
    <xf numFmtId="0" fontId="59" fillId="4" borderId="5" xfId="2" applyFont="1" applyFill="1" applyBorder="1" applyAlignment="1">
      <alignment horizontal="left"/>
    </xf>
    <xf numFmtId="0" fontId="36" fillId="4" borderId="59" xfId="2" applyFont="1" applyFill="1" applyBorder="1" applyAlignment="1">
      <alignment horizontal="center" vertical="center"/>
    </xf>
    <xf numFmtId="2" fontId="36" fillId="0" borderId="5" xfId="2" applyNumberFormat="1" applyFont="1" applyBorder="1" applyAlignment="1">
      <alignment horizontal="left" vertical="center"/>
    </xf>
    <xf numFmtId="0" fontId="49" fillId="0" borderId="41" xfId="2" applyFont="1" applyBorder="1" applyAlignment="1">
      <alignment horizontal="center" vertical="center"/>
    </xf>
    <xf numFmtId="0" fontId="49" fillId="0" borderId="42" xfId="2" applyFont="1" applyBorder="1" applyAlignment="1">
      <alignment horizontal="center" vertical="center"/>
    </xf>
    <xf numFmtId="0" fontId="49" fillId="0" borderId="43" xfId="2" applyFont="1" applyBorder="1" applyAlignment="1">
      <alignment horizontal="center" vertical="center"/>
    </xf>
    <xf numFmtId="191" fontId="42" fillId="0" borderId="55" xfId="2" applyNumberFormat="1" applyFont="1" applyBorder="1" applyAlignment="1">
      <alignment horizontal="center" vertical="center"/>
    </xf>
    <xf numFmtId="187" fontId="42" fillId="0" borderId="55" xfId="2" applyNumberFormat="1" applyFont="1" applyBorder="1" applyAlignment="1">
      <alignment horizontal="center" vertical="center"/>
    </xf>
    <xf numFmtId="188" fontId="50" fillId="0" borderId="53" xfId="2" applyNumberFormat="1" applyFont="1" applyBorder="1" applyAlignment="1">
      <alignment horizontal="center" vertical="center"/>
    </xf>
    <xf numFmtId="188" fontId="49" fillId="0" borderId="57" xfId="2" applyNumberFormat="1" applyFont="1" applyBorder="1" applyAlignment="1">
      <alignment horizontal="center" vertical="center"/>
    </xf>
    <xf numFmtId="199" fontId="50" fillId="0" borderId="55" xfId="2" applyNumberFormat="1" applyFont="1" applyBorder="1" applyAlignment="1">
      <alignment horizontal="center" vertical="center"/>
    </xf>
    <xf numFmtId="191" fontId="42" fillId="0" borderId="41" xfId="2" applyNumberFormat="1" applyFont="1" applyBorder="1" applyAlignment="1">
      <alignment horizontal="center" vertical="center"/>
    </xf>
    <xf numFmtId="191" fontId="42" fillId="0" borderId="42" xfId="2" applyNumberFormat="1" applyFont="1" applyBorder="1" applyAlignment="1">
      <alignment horizontal="center" vertical="center"/>
    </xf>
    <xf numFmtId="191" fontId="42" fillId="0" borderId="43" xfId="2" applyNumberFormat="1" applyFont="1" applyBorder="1" applyAlignment="1">
      <alignment horizontal="center" vertical="center"/>
    </xf>
    <xf numFmtId="188" fontId="49" fillId="0" borderId="53" xfId="2" applyNumberFormat="1" applyFont="1" applyBorder="1" applyAlignment="1">
      <alignment horizontal="center" vertical="center"/>
    </xf>
    <xf numFmtId="198" fontId="50" fillId="0" borderId="53" xfId="2" applyNumberFormat="1" applyFont="1" applyBorder="1" applyAlignment="1">
      <alignment horizontal="center" vertical="center"/>
    </xf>
    <xf numFmtId="191" fontId="42" fillId="0" borderId="32" xfId="2" applyNumberFormat="1" applyFont="1" applyBorder="1" applyAlignment="1">
      <alignment horizontal="center" vertical="center"/>
    </xf>
    <xf numFmtId="191" fontId="42" fillId="0" borderId="31" xfId="2" applyNumberFormat="1" applyFont="1" applyBorder="1" applyAlignment="1">
      <alignment horizontal="center" vertical="center"/>
    </xf>
    <xf numFmtId="191" fontId="42" fillId="0" borderId="33" xfId="2" applyNumberFormat="1" applyFont="1" applyBorder="1" applyAlignment="1">
      <alignment horizontal="center" vertical="center"/>
    </xf>
    <xf numFmtId="187" fontId="42" fillId="0" borderId="53" xfId="2" applyNumberFormat="1" applyFont="1" applyBorder="1" applyAlignment="1">
      <alignment horizontal="center" vertical="center"/>
    </xf>
    <xf numFmtId="191" fontId="42" fillId="0" borderId="53" xfId="2" applyNumberFormat="1" applyFont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41" fillId="0" borderId="0" xfId="2" applyFont="1" applyAlignment="1">
      <alignment horizontal="center" vertical="center"/>
    </xf>
    <xf numFmtId="14" fontId="41" fillId="0" borderId="36" xfId="2" applyNumberFormat="1" applyFont="1" applyBorder="1" applyAlignment="1">
      <alignment horizontal="center" vertical="center"/>
    </xf>
    <xf numFmtId="14" fontId="41" fillId="0" borderId="37" xfId="2" applyNumberFormat="1" applyFont="1" applyBorder="1" applyAlignment="1">
      <alignment horizontal="center" vertical="center"/>
    </xf>
    <xf numFmtId="14" fontId="41" fillId="0" borderId="2" xfId="2" applyNumberFormat="1" applyFont="1" applyBorder="1" applyAlignment="1">
      <alignment horizontal="center" vertical="center"/>
    </xf>
    <xf numFmtId="192" fontId="41" fillId="0" borderId="17" xfId="2" applyNumberFormat="1" applyFont="1" applyBorder="1" applyAlignment="1">
      <alignment horizontal="center" vertical="center"/>
    </xf>
    <xf numFmtId="192" fontId="41" fillId="0" borderId="34" xfId="2" applyNumberFormat="1" applyFont="1" applyBorder="1" applyAlignment="1">
      <alignment horizontal="center" vertical="center"/>
    </xf>
    <xf numFmtId="192" fontId="41" fillId="0" borderId="35" xfId="2" applyNumberFormat="1" applyFont="1" applyBorder="1" applyAlignment="1">
      <alignment horizontal="center" vertical="center"/>
    </xf>
    <xf numFmtId="0" fontId="45" fillId="4" borderId="85" xfId="2" applyFont="1" applyFill="1" applyBorder="1" applyAlignment="1">
      <alignment horizontal="center" vertical="center" textRotation="90" wrapText="1"/>
    </xf>
    <xf numFmtId="0" fontId="45" fillId="4" borderId="56" xfId="2" applyFont="1" applyFill="1" applyBorder="1" applyAlignment="1">
      <alignment horizontal="center" vertical="center" textRotation="90" wrapText="1"/>
    </xf>
    <xf numFmtId="0" fontId="45" fillId="4" borderId="86" xfId="2" applyFont="1" applyFill="1" applyBorder="1" applyAlignment="1">
      <alignment horizontal="center" vertical="center" textRotation="90" wrapText="1"/>
    </xf>
    <xf numFmtId="0" fontId="41" fillId="0" borderId="36" xfId="2" quotePrefix="1" applyFont="1" applyBorder="1" applyAlignment="1">
      <alignment horizontal="center" vertical="center"/>
    </xf>
    <xf numFmtId="0" fontId="41" fillId="0" borderId="37" xfId="2" quotePrefix="1" applyFont="1" applyBorder="1" applyAlignment="1">
      <alignment horizontal="center" vertical="center"/>
    </xf>
    <xf numFmtId="0" fontId="41" fillId="0" borderId="11" xfId="2" quotePrefix="1" applyFont="1" applyBorder="1" applyAlignment="1">
      <alignment horizontal="center" vertical="center"/>
    </xf>
    <xf numFmtId="0" fontId="41" fillId="0" borderId="39" xfId="2" quotePrefix="1" applyFont="1" applyBorder="1" applyAlignment="1">
      <alignment horizontal="center" vertical="center"/>
    </xf>
    <xf numFmtId="0" fontId="41" fillId="0" borderId="17" xfId="2" applyFont="1" applyBorder="1" applyAlignment="1">
      <alignment horizontal="center" vertical="center"/>
    </xf>
    <xf numFmtId="0" fontId="41" fillId="0" borderId="34" xfId="2" applyFont="1" applyBorder="1" applyAlignment="1">
      <alignment horizontal="center" vertical="center"/>
    </xf>
    <xf numFmtId="0" fontId="41" fillId="0" borderId="35" xfId="2" applyFont="1" applyBorder="1" applyAlignment="1">
      <alignment horizontal="center" vertical="center"/>
    </xf>
    <xf numFmtId="0" fontId="46" fillId="0" borderId="17" xfId="2" applyFont="1" applyBorder="1" applyAlignment="1">
      <alignment horizontal="center" vertical="center"/>
    </xf>
    <xf numFmtId="0" fontId="46" fillId="0" borderId="34" xfId="2" applyFont="1" applyBorder="1" applyAlignment="1">
      <alignment horizontal="center" vertical="center"/>
    </xf>
    <xf numFmtId="0" fontId="46" fillId="0" borderId="35" xfId="2" applyFont="1" applyBorder="1" applyAlignment="1">
      <alignment horizontal="center" vertical="center"/>
    </xf>
    <xf numFmtId="0" fontId="49" fillId="0" borderId="36" xfId="2" applyFont="1" applyBorder="1" applyAlignment="1">
      <alignment horizontal="center" vertical="center"/>
    </xf>
    <xf numFmtId="0" fontId="49" fillId="0" borderId="37" xfId="2" applyFont="1" applyBorder="1" applyAlignment="1">
      <alignment horizontal="center" vertical="center"/>
    </xf>
    <xf numFmtId="0" fontId="49" fillId="0" borderId="2" xfId="2" applyFont="1" applyBorder="1" applyAlignment="1">
      <alignment horizontal="center" vertical="center"/>
    </xf>
    <xf numFmtId="0" fontId="43" fillId="0" borderId="5" xfId="2" applyFont="1" applyBorder="1" applyAlignment="1">
      <alignment horizontal="center" vertical="center"/>
    </xf>
    <xf numFmtId="14" fontId="41" fillId="0" borderId="40" xfId="2" applyNumberFormat="1" applyFont="1" applyBorder="1" applyAlignment="1">
      <alignment horizontal="center" vertical="center"/>
    </xf>
    <xf numFmtId="14" fontId="41" fillId="0" borderId="0" xfId="2" applyNumberFormat="1" applyFont="1" applyAlignment="1">
      <alignment horizontal="center" vertical="center"/>
    </xf>
    <xf numFmtId="14" fontId="41" fillId="0" borderId="1" xfId="2" applyNumberFormat="1" applyFont="1" applyBorder="1" applyAlignment="1">
      <alignment horizontal="center" vertical="center"/>
    </xf>
    <xf numFmtId="14" fontId="41" fillId="0" borderId="36" xfId="2" quotePrefix="1" applyNumberFormat="1" applyFont="1" applyBorder="1" applyAlignment="1">
      <alignment horizontal="center" vertical="center"/>
    </xf>
    <xf numFmtId="14" fontId="41" fillId="0" borderId="37" xfId="2" quotePrefix="1" applyNumberFormat="1" applyFont="1" applyBorder="1" applyAlignment="1">
      <alignment horizontal="center" vertical="center"/>
    </xf>
    <xf numFmtId="14" fontId="41" fillId="0" borderId="11" xfId="2" quotePrefix="1" applyNumberFormat="1" applyFont="1" applyBorder="1" applyAlignment="1">
      <alignment horizontal="center" vertical="center"/>
    </xf>
    <xf numFmtId="14" fontId="41" fillId="0" borderId="39" xfId="2" quotePrefix="1" applyNumberFormat="1" applyFont="1" applyBorder="1" applyAlignment="1">
      <alignment horizontal="center" vertical="center"/>
    </xf>
    <xf numFmtId="14" fontId="41" fillId="0" borderId="2" xfId="2" quotePrefix="1" applyNumberFormat="1" applyFont="1" applyBorder="1" applyAlignment="1">
      <alignment horizontal="center" vertical="center"/>
    </xf>
    <xf numFmtId="14" fontId="41" fillId="0" borderId="4" xfId="2" quotePrefix="1" applyNumberFormat="1" applyFont="1" applyBorder="1" applyAlignment="1">
      <alignment horizontal="center" vertical="center"/>
    </xf>
    <xf numFmtId="0" fontId="41" fillId="0" borderId="11" xfId="2" applyFont="1" applyBorder="1" applyAlignment="1">
      <alignment horizontal="center" vertical="center"/>
    </xf>
    <xf numFmtId="0" fontId="41" fillId="0" borderId="39" xfId="2" applyFont="1" applyBorder="1" applyAlignment="1">
      <alignment horizontal="center" vertical="center"/>
    </xf>
    <xf numFmtId="0" fontId="41" fillId="0" borderId="4" xfId="2" applyFont="1" applyBorder="1" applyAlignment="1">
      <alignment horizontal="center" vertical="center"/>
    </xf>
    <xf numFmtId="0" fontId="40" fillId="0" borderId="12" xfId="2" applyFont="1" applyBorder="1" applyAlignment="1">
      <alignment horizontal="center" vertical="center"/>
    </xf>
    <xf numFmtId="0" fontId="41" fillId="0" borderId="0" xfId="2" applyFont="1" applyAlignment="1">
      <alignment horizontal="right" vertical="center"/>
    </xf>
    <xf numFmtId="189" fontId="41" fillId="11" borderId="0" xfId="2" applyNumberFormat="1" applyFont="1" applyFill="1" applyAlignment="1" applyProtection="1">
      <alignment horizontal="center" vertical="center"/>
      <protection locked="0"/>
    </xf>
    <xf numFmtId="192" fontId="41" fillId="0" borderId="39" xfId="2" applyNumberFormat="1" applyFont="1" applyBorder="1" applyAlignment="1">
      <alignment horizontal="center" vertical="center"/>
    </xf>
    <xf numFmtId="0" fontId="41" fillId="11" borderId="12" xfId="2" applyFont="1" applyFill="1" applyBorder="1" applyAlignment="1" applyProtection="1">
      <alignment horizontal="center" vertical="center"/>
      <protection locked="0"/>
    </xf>
    <xf numFmtId="0" fontId="40" fillId="0" borderId="0" xfId="2" applyFont="1" applyAlignment="1">
      <alignment horizontal="center" vertical="center"/>
    </xf>
    <xf numFmtId="0" fontId="40" fillId="0" borderId="31" xfId="2" applyFont="1" applyBorder="1" applyAlignment="1">
      <alignment horizontal="center" vertical="center"/>
    </xf>
    <xf numFmtId="0" fontId="43" fillId="0" borderId="30" xfId="2" applyFont="1" applyBorder="1" applyAlignment="1">
      <alignment horizontal="center" vertical="center"/>
    </xf>
    <xf numFmtId="0" fontId="43" fillId="0" borderId="7" xfId="2" applyFont="1" applyBorder="1" applyAlignment="1">
      <alignment horizontal="center" vertical="center"/>
    </xf>
    <xf numFmtId="198" fontId="36" fillId="0" borderId="5" xfId="2" applyNumberFormat="1" applyFont="1" applyBorder="1" applyAlignment="1">
      <alignment horizontal="center" vertical="center"/>
    </xf>
    <xf numFmtId="198" fontId="36" fillId="0" borderId="6" xfId="2" applyNumberFormat="1" applyFont="1" applyBorder="1" applyAlignment="1">
      <alignment horizontal="center" vertical="center"/>
    </xf>
    <xf numFmtId="1" fontId="36" fillId="4" borderId="5" xfId="2" applyNumberFormat="1" applyFont="1" applyFill="1" applyBorder="1" applyAlignment="1">
      <alignment horizontal="center" vertical="center"/>
    </xf>
    <xf numFmtId="0" fontId="67" fillId="0" borderId="28" xfId="2" applyFont="1" applyBorder="1" applyAlignment="1" applyProtection="1">
      <alignment horizontal="center" vertical="center"/>
      <protection locked="0"/>
    </xf>
    <xf numFmtId="0" fontId="67" fillId="0" borderId="0" xfId="2" applyFont="1" applyAlignment="1" applyProtection="1">
      <alignment horizontal="center" vertical="center"/>
      <protection locked="0"/>
    </xf>
    <xf numFmtId="0" fontId="67" fillId="0" borderId="45" xfId="2" applyFont="1" applyBorder="1" applyAlignment="1" applyProtection="1">
      <alignment horizontal="center" vertical="center"/>
      <protection locked="0"/>
    </xf>
    <xf numFmtId="0" fontId="43" fillId="0" borderId="28" xfId="2" applyFont="1" applyBorder="1" applyAlignment="1">
      <alignment horizontal="center" vertical="center"/>
    </xf>
    <xf numFmtId="0" fontId="43" fillId="0" borderId="29" xfId="2" applyFont="1" applyBorder="1" applyAlignment="1">
      <alignment horizontal="center" vertical="center"/>
    </xf>
    <xf numFmtId="0" fontId="43" fillId="0" borderId="0" xfId="2" applyFont="1" applyAlignment="1">
      <alignment horizontal="center" vertical="center"/>
    </xf>
    <xf numFmtId="0" fontId="43" fillId="0" borderId="18" xfId="2" applyFont="1" applyBorder="1" applyAlignment="1">
      <alignment horizontal="center" vertical="center"/>
    </xf>
    <xf numFmtId="0" fontId="43" fillId="0" borderId="45" xfId="2" applyFont="1" applyBorder="1" applyAlignment="1">
      <alignment horizontal="center" vertical="center"/>
    </xf>
    <xf numFmtId="0" fontId="43" fillId="0" borderId="16" xfId="2" applyFont="1" applyBorder="1" applyAlignment="1">
      <alignment horizontal="center" vertical="center"/>
    </xf>
    <xf numFmtId="0" fontId="67" fillId="0" borderId="6" xfId="2" applyFont="1" applyBorder="1" applyAlignment="1" applyProtection="1">
      <alignment horizontal="center" vertical="center"/>
      <protection locked="0"/>
    </xf>
    <xf numFmtId="191" fontId="42" fillId="0" borderId="38" xfId="2" applyNumberFormat="1" applyFont="1" applyBorder="1" applyAlignment="1">
      <alignment horizontal="center" vertical="center"/>
    </xf>
    <xf numFmtId="188" fontId="57" fillId="0" borderId="81" xfId="2" applyNumberFormat="1" applyFont="1" applyBorder="1" applyAlignment="1" applyProtection="1">
      <alignment horizontal="center" vertical="center"/>
      <protection locked="0"/>
    </xf>
    <xf numFmtId="188" fontId="57" fillId="0" borderId="82" xfId="2" applyNumberFormat="1" applyFont="1" applyBorder="1" applyAlignment="1" applyProtection="1">
      <alignment horizontal="center" vertical="center"/>
      <protection locked="0"/>
    </xf>
    <xf numFmtId="198" fontId="61" fillId="0" borderId="81" xfId="2" applyNumberFormat="1" applyFont="1" applyBorder="1" applyAlignment="1" applyProtection="1">
      <alignment horizontal="center" vertical="center"/>
      <protection locked="0"/>
    </xf>
    <xf numFmtId="188" fontId="36" fillId="0" borderId="81" xfId="2" applyNumberFormat="1" applyFont="1" applyBorder="1" applyAlignment="1" applyProtection="1">
      <alignment horizontal="center" vertical="center"/>
      <protection locked="0"/>
    </xf>
    <xf numFmtId="199" fontId="61" fillId="0" borderId="82" xfId="2" applyNumberFormat="1" applyFont="1" applyBorder="1" applyAlignment="1" applyProtection="1">
      <alignment horizontal="center" vertical="center"/>
      <protection locked="0"/>
    </xf>
    <xf numFmtId="196" fontId="36" fillId="0" borderId="82" xfId="2" applyNumberFormat="1" applyFont="1" applyBorder="1" applyAlignment="1" applyProtection="1">
      <alignment horizontal="center" vertical="center"/>
      <protection locked="0"/>
    </xf>
    <xf numFmtId="0" fontId="36" fillId="0" borderId="82" xfId="2" applyFont="1" applyBorder="1" applyAlignment="1" applyProtection="1">
      <alignment horizontal="center" vertical="center"/>
      <protection locked="0"/>
    </xf>
    <xf numFmtId="188" fontId="36" fillId="0" borderId="82" xfId="2" applyNumberFormat="1" applyFont="1" applyBorder="1" applyAlignment="1" applyProtection="1">
      <alignment horizontal="center" vertical="center"/>
      <protection locked="0"/>
    </xf>
    <xf numFmtId="189" fontId="41" fillId="0" borderId="0" xfId="2" applyNumberFormat="1" applyFont="1" applyAlignment="1">
      <alignment horizontal="center" vertical="center"/>
    </xf>
    <xf numFmtId="189" fontId="49" fillId="0" borderId="36" xfId="2" applyNumberFormat="1" applyFont="1" applyBorder="1" applyAlignment="1" applyProtection="1">
      <alignment horizontal="center" vertical="center"/>
      <protection locked="0"/>
    </xf>
    <xf numFmtId="189" fontId="49" fillId="0" borderId="37" xfId="2" applyNumberFormat="1" applyFont="1" applyBorder="1" applyAlignment="1" applyProtection="1">
      <alignment horizontal="center" vertical="center"/>
      <protection locked="0"/>
    </xf>
    <xf numFmtId="189" fontId="49" fillId="0" borderId="2" xfId="2" applyNumberFormat="1" applyFont="1" applyBorder="1" applyAlignment="1" applyProtection="1">
      <alignment horizontal="center" vertical="center"/>
      <protection locked="0"/>
    </xf>
    <xf numFmtId="189" fontId="49" fillId="0" borderId="11" xfId="2" applyNumberFormat="1" applyFont="1" applyBorder="1" applyAlignment="1" applyProtection="1">
      <alignment horizontal="center" vertical="center"/>
      <protection locked="0"/>
    </xf>
    <xf numFmtId="189" fontId="49" fillId="0" borderId="39" xfId="2" applyNumberFormat="1" applyFont="1" applyBorder="1" applyAlignment="1" applyProtection="1">
      <alignment horizontal="center" vertical="center"/>
      <protection locked="0"/>
    </xf>
    <xf numFmtId="189" fontId="49" fillId="0" borderId="4" xfId="2" applyNumberFormat="1" applyFont="1" applyBorder="1" applyAlignment="1" applyProtection="1">
      <alignment horizontal="center" vertical="center"/>
      <protection locked="0"/>
    </xf>
    <xf numFmtId="14" fontId="41" fillId="0" borderId="36" xfId="2" quotePrefix="1" applyNumberFormat="1" applyFont="1" applyBorder="1" applyAlignment="1" applyProtection="1">
      <alignment horizontal="center" vertical="center"/>
      <protection locked="0"/>
    </xf>
    <xf numFmtId="14" fontId="41" fillId="0" borderId="37" xfId="2" quotePrefix="1" applyNumberFormat="1" applyFont="1" applyBorder="1" applyAlignment="1" applyProtection="1">
      <alignment horizontal="center" vertical="center"/>
      <protection locked="0"/>
    </xf>
    <xf numFmtId="14" fontId="41" fillId="0" borderId="11" xfId="2" quotePrefix="1" applyNumberFormat="1" applyFont="1" applyBorder="1" applyAlignment="1" applyProtection="1">
      <alignment horizontal="center" vertical="center"/>
      <protection locked="0"/>
    </xf>
    <xf numFmtId="14" fontId="41" fillId="0" borderId="39" xfId="2" quotePrefix="1" applyNumberFormat="1" applyFont="1" applyBorder="1" applyAlignment="1" applyProtection="1">
      <alignment horizontal="center" vertical="center"/>
      <protection locked="0"/>
    </xf>
    <xf numFmtId="0" fontId="41" fillId="0" borderId="36" xfId="2" quotePrefix="1" applyFont="1" applyBorder="1" applyAlignment="1" applyProtection="1">
      <alignment horizontal="center" vertical="center"/>
      <protection locked="0"/>
    </xf>
    <xf numFmtId="0" fontId="41" fillId="0" borderId="37" xfId="2" quotePrefix="1" applyFont="1" applyBorder="1" applyAlignment="1" applyProtection="1">
      <alignment horizontal="center" vertical="center"/>
      <protection locked="0"/>
    </xf>
    <xf numFmtId="0" fontId="41" fillId="0" borderId="11" xfId="2" quotePrefix="1" applyFont="1" applyBorder="1" applyAlignment="1" applyProtection="1">
      <alignment horizontal="center" vertical="center"/>
      <protection locked="0"/>
    </xf>
    <xf numFmtId="0" fontId="41" fillId="0" borderId="39" xfId="2" quotePrefix="1" applyFont="1" applyBorder="1" applyAlignment="1" applyProtection="1">
      <alignment horizontal="center" vertical="center"/>
      <protection locked="0"/>
    </xf>
    <xf numFmtId="0" fontId="41" fillId="0" borderId="2" xfId="2" quotePrefix="1" applyFont="1" applyBorder="1" applyAlignment="1" applyProtection="1">
      <alignment horizontal="center" vertical="center"/>
      <protection locked="0"/>
    </xf>
    <xf numFmtId="0" fontId="41" fillId="0" borderId="4" xfId="2" quotePrefix="1" applyFont="1" applyBorder="1" applyAlignment="1" applyProtection="1">
      <alignment horizontal="center" vertical="center"/>
      <protection locked="0"/>
    </xf>
    <xf numFmtId="0" fontId="49" fillId="0" borderId="55" xfId="2" applyFont="1" applyBorder="1" applyAlignment="1">
      <alignment horizontal="center" vertical="center"/>
    </xf>
    <xf numFmtId="0" fontId="49" fillId="0" borderId="53" xfId="2" applyFont="1" applyBorder="1" applyAlignment="1">
      <alignment horizontal="center" vertical="center"/>
    </xf>
    <xf numFmtId="199" fontId="36" fillId="0" borderId="5" xfId="2" applyNumberFormat="1" applyFont="1" applyBorder="1" applyAlignment="1">
      <alignment horizontal="center" vertical="center"/>
    </xf>
    <xf numFmtId="199" fontId="36" fillId="0" borderId="6" xfId="2" applyNumberFormat="1" applyFont="1" applyBorder="1" applyAlignment="1">
      <alignment horizontal="center" vertical="center"/>
    </xf>
    <xf numFmtId="187" fontId="61" fillId="4" borderId="79" xfId="2" applyNumberFormat="1" applyFont="1" applyFill="1" applyBorder="1" applyAlignment="1">
      <alignment horizontal="center" vertical="center"/>
    </xf>
    <xf numFmtId="187" fontId="61" fillId="4" borderId="30" xfId="2" applyNumberFormat="1" applyFont="1" applyFill="1" applyBorder="1" applyAlignment="1">
      <alignment horizontal="center" vertical="center"/>
    </xf>
    <xf numFmtId="0" fontId="36" fillId="4" borderId="80" xfId="2" applyFont="1" applyFill="1" applyBorder="1" applyAlignment="1">
      <alignment horizontal="center" vertical="center"/>
    </xf>
    <xf numFmtId="0" fontId="36" fillId="4" borderId="67" xfId="2" applyFont="1" applyFill="1" applyBorder="1" applyAlignment="1">
      <alignment horizontal="center" vertical="center"/>
    </xf>
    <xf numFmtId="1" fontId="62" fillId="0" borderId="36" xfId="2" applyNumberFormat="1" applyFont="1" applyBorder="1" applyAlignment="1">
      <alignment horizontal="center" vertical="center"/>
    </xf>
    <xf numFmtId="1" fontId="62" fillId="0" borderId="37" xfId="2" applyNumberFormat="1" applyFont="1" applyBorder="1" applyAlignment="1">
      <alignment horizontal="center" vertical="center"/>
    </xf>
    <xf numFmtId="1" fontId="62" fillId="0" borderId="2" xfId="2" applyNumberFormat="1" applyFont="1" applyBorder="1" applyAlignment="1">
      <alignment horizontal="center" vertical="center"/>
    </xf>
    <xf numFmtId="1" fontId="62" fillId="0" borderId="40" xfId="2" applyNumberFormat="1" applyFont="1" applyBorder="1" applyAlignment="1">
      <alignment horizontal="center" vertical="center"/>
    </xf>
    <xf numFmtId="1" fontId="62" fillId="0" borderId="0" xfId="2" applyNumberFormat="1" applyFont="1" applyAlignment="1">
      <alignment horizontal="center" vertical="center"/>
    </xf>
    <xf numFmtId="1" fontId="62" fillId="0" borderId="1" xfId="2" applyNumberFormat="1" applyFont="1" applyBorder="1" applyAlignment="1">
      <alignment horizontal="center" vertical="center"/>
    </xf>
    <xf numFmtId="1" fontId="62" fillId="0" borderId="11" xfId="2" applyNumberFormat="1" applyFont="1" applyBorder="1" applyAlignment="1">
      <alignment horizontal="center" vertical="center"/>
    </xf>
    <xf numFmtId="1" fontId="62" fillId="0" borderId="39" xfId="2" applyNumberFormat="1" applyFont="1" applyBorder="1" applyAlignment="1">
      <alignment horizontal="center" vertical="center"/>
    </xf>
    <xf numFmtId="1" fontId="62" fillId="0" borderId="4" xfId="2" applyNumberFormat="1" applyFont="1" applyBorder="1" applyAlignment="1">
      <alignment horizontal="center" vertical="center"/>
    </xf>
    <xf numFmtId="0" fontId="60" fillId="4" borderId="73" xfId="2" applyFont="1" applyFill="1" applyBorder="1" applyAlignment="1">
      <alignment horizontal="center" vertical="center"/>
    </xf>
    <xf numFmtId="0" fontId="60" fillId="4" borderId="74" xfId="2" applyFont="1" applyFill="1" applyBorder="1" applyAlignment="1">
      <alignment horizontal="center" vertical="center"/>
    </xf>
    <xf numFmtId="2" fontId="36" fillId="0" borderId="74" xfId="2" applyNumberFormat="1" applyFont="1" applyBorder="1" applyAlignment="1">
      <alignment horizontal="left" vertical="center"/>
    </xf>
    <xf numFmtId="2" fontId="36" fillId="10" borderId="65" xfId="2" applyNumberFormat="1" applyFont="1" applyFill="1" applyBorder="1" applyAlignment="1">
      <alignment horizontal="center" vertical="center"/>
    </xf>
    <xf numFmtId="2" fontId="36" fillId="10" borderId="39" xfId="2" applyNumberFormat="1" applyFont="1" applyFill="1" applyBorder="1" applyAlignment="1">
      <alignment horizontal="center" vertical="center"/>
    </xf>
    <xf numFmtId="198" fontId="36" fillId="0" borderId="17" xfId="2" applyNumberFormat="1" applyFont="1" applyBorder="1" applyAlignment="1">
      <alignment horizontal="center" vertical="center"/>
    </xf>
    <xf numFmtId="198" fontId="36" fillId="0" borderId="34" xfId="2" applyNumberFormat="1" applyFont="1" applyBorder="1" applyAlignment="1">
      <alignment horizontal="center" vertical="center"/>
    </xf>
    <xf numFmtId="0" fontId="57" fillId="4" borderId="77" xfId="2" applyFont="1" applyFill="1" applyBorder="1" applyAlignment="1">
      <alignment horizontal="center" vertical="center"/>
    </xf>
    <xf numFmtId="0" fontId="57" fillId="4" borderId="78" xfId="2" applyFont="1" applyFill="1" applyBorder="1" applyAlignment="1">
      <alignment horizontal="center" vertical="center"/>
    </xf>
    <xf numFmtId="2" fontId="58" fillId="4" borderId="77" xfId="2" applyNumberFormat="1" applyFont="1" applyFill="1" applyBorder="1" applyAlignment="1">
      <alignment horizontal="center" vertical="center"/>
    </xf>
    <xf numFmtId="2" fontId="58" fillId="4" borderId="34" xfId="2" applyNumberFormat="1" applyFont="1" applyFill="1" applyBorder="1" applyAlignment="1">
      <alignment horizontal="center" vertical="center"/>
    </xf>
    <xf numFmtId="1" fontId="36" fillId="10" borderId="36" xfId="2" applyNumberFormat="1" applyFont="1" applyFill="1" applyBorder="1" applyAlignment="1">
      <alignment horizontal="center" vertical="center"/>
    </xf>
    <xf numFmtId="1" fontId="36" fillId="10" borderId="37" xfId="2" applyNumberFormat="1" applyFont="1" applyFill="1" applyBorder="1" applyAlignment="1">
      <alignment horizontal="center" vertical="center"/>
    </xf>
    <xf numFmtId="1" fontId="36" fillId="10" borderId="2" xfId="2" applyNumberFormat="1" applyFont="1" applyFill="1" applyBorder="1" applyAlignment="1">
      <alignment horizontal="center" vertical="center"/>
    </xf>
    <xf numFmtId="1" fontId="36" fillId="10" borderId="11" xfId="2" applyNumberFormat="1" applyFont="1" applyFill="1" applyBorder="1" applyAlignment="1">
      <alignment horizontal="center" vertical="center"/>
    </xf>
    <xf numFmtId="1" fontId="36" fillId="10" borderId="39" xfId="2" applyNumberFormat="1" applyFont="1" applyFill="1" applyBorder="1" applyAlignment="1">
      <alignment horizontal="center" vertical="center"/>
    </xf>
    <xf numFmtId="1" fontId="36" fillId="10" borderId="4" xfId="2" applyNumberFormat="1" applyFont="1" applyFill="1" applyBorder="1" applyAlignment="1">
      <alignment horizontal="center" vertical="center"/>
    </xf>
    <xf numFmtId="0" fontId="57" fillId="0" borderId="70" xfId="2" applyFont="1" applyBorder="1" applyAlignment="1">
      <alignment horizontal="center" vertical="center"/>
    </xf>
    <xf numFmtId="0" fontId="57" fillId="0" borderId="71" xfId="2" applyFont="1" applyBorder="1" applyAlignment="1">
      <alignment horizontal="center" vertical="center"/>
    </xf>
    <xf numFmtId="2" fontId="36" fillId="10" borderId="69" xfId="2" applyNumberFormat="1" applyFont="1" applyFill="1" applyBorder="1" applyAlignment="1">
      <alignment horizontal="center" vertical="center"/>
    </xf>
    <xf numFmtId="2" fontId="36" fillId="10" borderId="37" xfId="2" applyNumberFormat="1" applyFont="1" applyFill="1" applyBorder="1" applyAlignment="1">
      <alignment horizontal="center" vertical="center"/>
    </xf>
    <xf numFmtId="0" fontId="36" fillId="4" borderId="79" xfId="2" applyFont="1" applyFill="1" applyBorder="1" applyAlignment="1">
      <alignment horizontal="center" vertical="center"/>
    </xf>
    <xf numFmtId="0" fontId="36" fillId="4" borderId="30" xfId="2" applyFont="1" applyFill="1" applyBorder="1" applyAlignment="1">
      <alignment horizontal="center" vertical="center"/>
    </xf>
    <xf numFmtId="0" fontId="59" fillId="4" borderId="73" xfId="2" applyFont="1" applyFill="1" applyBorder="1" applyAlignment="1">
      <alignment horizontal="left"/>
    </xf>
    <xf numFmtId="0" fontId="59" fillId="4" borderId="74" xfId="2" applyFont="1" applyFill="1" applyBorder="1" applyAlignment="1">
      <alignment horizontal="left"/>
    </xf>
    <xf numFmtId="0" fontId="36" fillId="4" borderId="74" xfId="2" applyFont="1" applyFill="1" applyBorder="1" applyAlignment="1">
      <alignment horizontal="center" vertical="center"/>
    </xf>
    <xf numFmtId="0" fontId="41" fillId="0" borderId="0" xfId="2" applyFont="1" applyAlignment="1" applyProtection="1">
      <alignment horizontal="right" vertical="center"/>
      <protection locked="0"/>
    </xf>
    <xf numFmtId="0" fontId="58" fillId="4" borderId="74" xfId="2" applyFont="1" applyFill="1" applyBorder="1" applyAlignment="1">
      <alignment horizontal="center" vertical="center"/>
    </xf>
    <xf numFmtId="0" fontId="58" fillId="4" borderId="63" xfId="2" applyFont="1" applyFill="1" applyBorder="1" applyAlignment="1">
      <alignment horizontal="center" vertical="center"/>
    </xf>
    <xf numFmtId="2" fontId="57" fillId="0" borderId="69" xfId="2" applyNumberFormat="1" applyFont="1" applyBorder="1" applyAlignment="1">
      <alignment horizontal="center" vertical="center" wrapText="1"/>
    </xf>
    <xf numFmtId="2" fontId="57" fillId="0" borderId="37" xfId="2" applyNumberFormat="1" applyFont="1" applyBorder="1" applyAlignment="1">
      <alignment horizontal="center" vertical="center" wrapText="1"/>
    </xf>
    <xf numFmtId="2" fontId="57" fillId="0" borderId="65" xfId="2" applyNumberFormat="1" applyFont="1" applyBorder="1" applyAlignment="1">
      <alignment horizontal="center" vertical="center" wrapText="1"/>
    </xf>
    <xf numFmtId="2" fontId="57" fillId="0" borderId="39" xfId="2" applyNumberFormat="1" applyFont="1" applyBorder="1" applyAlignment="1">
      <alignment horizontal="center" vertical="center" wrapText="1"/>
    </xf>
    <xf numFmtId="0" fontId="36" fillId="4" borderId="10" xfId="2" applyFont="1" applyFill="1" applyBorder="1" applyAlignment="1">
      <alignment horizontal="center" vertical="center"/>
    </xf>
    <xf numFmtId="0" fontId="36" fillId="4" borderId="75" xfId="2" applyFont="1" applyFill="1" applyBorder="1" applyAlignment="1">
      <alignment horizontal="center" vertical="center"/>
    </xf>
    <xf numFmtId="1" fontId="36" fillId="4" borderId="74" xfId="2" applyNumberFormat="1" applyFont="1" applyFill="1" applyBorder="1" applyAlignment="1">
      <alignment horizontal="center" vertical="center"/>
    </xf>
    <xf numFmtId="198" fontId="36" fillId="0" borderId="74" xfId="2" applyNumberFormat="1" applyFont="1" applyBorder="1" applyAlignment="1">
      <alignment horizontal="center" vertical="center"/>
    </xf>
    <xf numFmtId="198" fontId="36" fillId="0" borderId="63" xfId="2" applyNumberFormat="1" applyFont="1" applyBorder="1" applyAlignment="1">
      <alignment horizontal="center" vertical="center"/>
    </xf>
    <xf numFmtId="187" fontId="36" fillId="4" borderId="71" xfId="2" applyNumberFormat="1" applyFont="1" applyFill="1" applyBorder="1" applyAlignment="1">
      <alignment horizontal="center" vertical="center"/>
    </xf>
    <xf numFmtId="187" fontId="36" fillId="4" borderId="72" xfId="2" applyNumberFormat="1" applyFont="1" applyFill="1" applyBorder="1" applyAlignment="1">
      <alignment horizontal="center" vertical="center"/>
    </xf>
    <xf numFmtId="187" fontId="36" fillId="4" borderId="70" xfId="2" applyNumberFormat="1" applyFont="1" applyFill="1" applyBorder="1" applyAlignment="1">
      <alignment horizontal="center" vertical="center"/>
    </xf>
    <xf numFmtId="2" fontId="58" fillId="4" borderId="71" xfId="2" applyNumberFormat="1" applyFont="1" applyFill="1" applyBorder="1" applyAlignment="1">
      <alignment horizontal="center" vertical="center"/>
    </xf>
    <xf numFmtId="2" fontId="58" fillId="4" borderId="72" xfId="2" applyNumberFormat="1" applyFont="1" applyFill="1" applyBorder="1" applyAlignment="1">
      <alignment horizontal="center" vertical="center"/>
    </xf>
    <xf numFmtId="0" fontId="36" fillId="4" borderId="70" xfId="2" applyFont="1" applyFill="1" applyBorder="1" applyAlignment="1">
      <alignment horizontal="center" vertical="center"/>
    </xf>
    <xf numFmtId="0" fontId="36" fillId="4" borderId="71" xfId="2" applyFont="1" applyFill="1" applyBorder="1" applyAlignment="1">
      <alignment horizontal="center" vertical="center"/>
    </xf>
    <xf numFmtId="0" fontId="41" fillId="0" borderId="0" xfId="2" applyFont="1" applyAlignment="1" applyProtection="1">
      <alignment horizontal="center" vertical="center"/>
      <protection locked="0"/>
    </xf>
    <xf numFmtId="2" fontId="58" fillId="0" borderId="71" xfId="2" applyNumberFormat="1" applyFont="1" applyBorder="1" applyAlignment="1">
      <alignment horizontal="center" vertical="center"/>
    </xf>
    <xf numFmtId="191" fontId="36" fillId="12" borderId="60" xfId="2" applyNumberFormat="1" applyFont="1" applyFill="1" applyBorder="1" applyAlignment="1">
      <alignment horizontal="center" vertical="center"/>
    </xf>
    <xf numFmtId="191" fontId="36" fillId="12" borderId="75" xfId="2" applyNumberFormat="1" applyFont="1" applyFill="1" applyBorder="1" applyAlignment="1">
      <alignment horizontal="center" vertical="center"/>
    </xf>
    <xf numFmtId="191" fontId="36" fillId="12" borderId="6" xfId="2" applyNumberFormat="1" applyFont="1" applyFill="1" applyBorder="1" applyAlignment="1">
      <alignment horizontal="center" vertical="center"/>
    </xf>
    <xf numFmtId="191" fontId="36" fillId="12" borderId="30" xfId="2" applyNumberFormat="1" applyFont="1" applyFill="1" applyBorder="1" applyAlignment="1">
      <alignment horizontal="center" vertical="center"/>
    </xf>
    <xf numFmtId="198" fontId="36" fillId="12" borderId="6" xfId="2" applyNumberFormat="1" applyFont="1" applyFill="1" applyBorder="1" applyAlignment="1">
      <alignment horizontal="center" vertical="center"/>
    </xf>
    <xf numFmtId="198" fontId="36" fillId="12" borderId="30" xfId="2" applyNumberFormat="1" applyFont="1" applyFill="1" applyBorder="1" applyAlignment="1">
      <alignment horizontal="center" vertical="center"/>
    </xf>
    <xf numFmtId="191" fontId="36" fillId="0" borderId="6" xfId="2" applyNumberFormat="1" applyFont="1" applyBorder="1" applyAlignment="1">
      <alignment horizontal="center" vertical="center"/>
    </xf>
    <xf numFmtId="191" fontId="36" fillId="0" borderId="30" xfId="2" applyNumberFormat="1" applyFont="1" applyBorder="1" applyAlignment="1">
      <alignment horizontal="center" vertical="center"/>
    </xf>
    <xf numFmtId="191" fontId="36" fillId="0" borderId="63" xfId="2" applyNumberFormat="1" applyFont="1" applyBorder="1" applyAlignment="1">
      <alignment horizontal="center" vertical="center"/>
    </xf>
    <xf numFmtId="191" fontId="36" fillId="0" borderId="67" xfId="2" applyNumberFormat="1" applyFont="1" applyBorder="1" applyAlignment="1">
      <alignment horizontal="center" vertical="center"/>
    </xf>
    <xf numFmtId="2" fontId="36" fillId="0" borderId="59" xfId="2" applyNumberFormat="1" applyFont="1" applyBorder="1" applyAlignment="1">
      <alignment horizontal="left" vertical="center"/>
    </xf>
    <xf numFmtId="188" fontId="42" fillId="4" borderId="84" xfId="0" applyNumberFormat="1" applyFont="1" applyFill="1" applyBorder="1" applyAlignment="1" applyProtection="1">
      <alignment horizontal="center"/>
      <protection locked="0"/>
    </xf>
    <xf numFmtId="187" fontId="36" fillId="0" borderId="83" xfId="2" applyNumberFormat="1" applyFont="1" applyBorder="1" applyAlignment="1" applyProtection="1">
      <alignment horizontal="center" vertical="center"/>
      <protection locked="0"/>
    </xf>
    <xf numFmtId="188" fontId="57" fillId="0" borderId="83" xfId="2" applyNumberFormat="1" applyFont="1" applyBorder="1" applyAlignment="1" applyProtection="1">
      <alignment horizontal="center" vertical="center"/>
      <protection locked="0"/>
    </xf>
    <xf numFmtId="1" fontId="36" fillId="4" borderId="59" xfId="2" applyNumberFormat="1" applyFont="1" applyFill="1" applyBorder="1" applyAlignment="1">
      <alignment horizontal="center" vertical="center"/>
    </xf>
    <xf numFmtId="198" fontId="36" fillId="0" borderId="59" xfId="2" applyNumberFormat="1" applyFont="1" applyBorder="1" applyAlignment="1">
      <alignment horizontal="center" vertical="center"/>
    </xf>
    <xf numFmtId="198" fontId="36" fillId="0" borderId="60" xfId="2" applyNumberFormat="1" applyFont="1" applyBorder="1" applyAlignment="1">
      <alignment horizontal="center" vertical="center"/>
    </xf>
    <xf numFmtId="188" fontId="58" fillId="4" borderId="17" xfId="0" applyNumberFormat="1" applyFont="1" applyFill="1" applyBorder="1" applyAlignment="1">
      <alignment horizontal="center"/>
    </xf>
    <xf numFmtId="188" fontId="58" fillId="4" borderId="34" xfId="0" applyNumberFormat="1" applyFont="1" applyFill="1" applyBorder="1" applyAlignment="1">
      <alignment horizontal="center"/>
    </xf>
    <xf numFmtId="188" fontId="58" fillId="4" borderId="35" xfId="0" applyNumberFormat="1" applyFont="1" applyFill="1" applyBorder="1" applyAlignment="1">
      <alignment horizontal="center"/>
    </xf>
    <xf numFmtId="0" fontId="58" fillId="4" borderId="84" xfId="0" applyFont="1" applyFill="1" applyBorder="1" applyAlignment="1">
      <alignment horizontal="center" vertical="center" wrapText="1"/>
    </xf>
    <xf numFmtId="0" fontId="36" fillId="11" borderId="84" xfId="0" applyFont="1" applyFill="1" applyBorder="1" applyAlignment="1" applyProtection="1">
      <alignment horizontal="center" vertical="center" wrapText="1"/>
      <protection locked="0"/>
    </xf>
    <xf numFmtId="188" fontId="58" fillId="4" borderId="84" xfId="0" applyNumberFormat="1" applyFont="1" applyFill="1" applyBorder="1" applyAlignment="1">
      <alignment horizontal="center" vertical="center" wrapText="1"/>
    </xf>
    <xf numFmtId="0" fontId="42" fillId="4" borderId="84" xfId="0" applyFont="1" applyFill="1" applyBorder="1" applyAlignment="1" applyProtection="1">
      <alignment horizontal="center" vertical="center" wrapText="1"/>
      <protection locked="0"/>
    </xf>
    <xf numFmtId="188" fontId="42" fillId="4" borderId="84" xfId="0" applyNumberFormat="1" applyFont="1" applyFill="1" applyBorder="1" applyAlignment="1" applyProtection="1">
      <alignment horizontal="center" vertical="center" wrapText="1"/>
      <protection locked="0"/>
    </xf>
    <xf numFmtId="0" fontId="42" fillId="4" borderId="17" xfId="0" applyFont="1" applyFill="1" applyBorder="1" applyAlignment="1" applyProtection="1">
      <alignment horizontal="center" vertical="center" wrapText="1"/>
      <protection locked="0"/>
    </xf>
    <xf numFmtId="0" fontId="42" fillId="4" borderId="34" xfId="0" applyFont="1" applyFill="1" applyBorder="1" applyAlignment="1" applyProtection="1">
      <alignment horizontal="center" vertical="center" wrapText="1"/>
      <protection locked="0"/>
    </xf>
    <xf numFmtId="0" fontId="42" fillId="4" borderId="35" xfId="0" applyFont="1" applyFill="1" applyBorder="1" applyAlignment="1" applyProtection="1">
      <alignment horizontal="center" vertical="center" wrapText="1"/>
      <protection locked="0"/>
    </xf>
    <xf numFmtId="0" fontId="58" fillId="4" borderId="84" xfId="0" applyFont="1" applyFill="1" applyBorder="1" applyAlignment="1">
      <alignment horizontal="center" vertical="center"/>
    </xf>
    <xf numFmtId="2" fontId="57" fillId="0" borderId="62" xfId="2" applyNumberFormat="1" applyFont="1" applyBorder="1" applyAlignment="1">
      <alignment horizontal="center" vertical="center"/>
    </xf>
    <xf numFmtId="2" fontId="57" fillId="0" borderId="5" xfId="2" applyNumberFormat="1" applyFont="1" applyBorder="1" applyAlignment="1">
      <alignment horizontal="center" vertical="center"/>
    </xf>
    <xf numFmtId="2" fontId="57" fillId="0" borderId="88" xfId="2" applyNumberFormat="1" applyFont="1" applyBorder="1" applyAlignment="1">
      <alignment horizontal="center" vertical="center"/>
    </xf>
    <xf numFmtId="2" fontId="64" fillId="6" borderId="62" xfId="2" applyNumberFormat="1" applyFont="1" applyFill="1" applyBorder="1" applyAlignment="1">
      <alignment horizontal="center" vertical="center"/>
    </xf>
    <xf numFmtId="2" fontId="64" fillId="6" borderId="5" xfId="2" applyNumberFormat="1" applyFont="1" applyFill="1" applyBorder="1" applyAlignment="1">
      <alignment horizontal="center" vertical="center"/>
    </xf>
    <xf numFmtId="2" fontId="64" fillId="6" borderId="88" xfId="2" applyNumberFormat="1" applyFont="1" applyFill="1" applyBorder="1" applyAlignment="1">
      <alignment horizontal="center" vertical="center"/>
    </xf>
    <xf numFmtId="2" fontId="64" fillId="6" borderId="73" xfId="2" applyNumberFormat="1" applyFont="1" applyFill="1" applyBorder="1" applyAlignment="1">
      <alignment horizontal="center" vertical="center"/>
    </xf>
    <xf numFmtId="2" fontId="64" fillId="6" borderId="74" xfId="2" applyNumberFormat="1" applyFont="1" applyFill="1" applyBorder="1" applyAlignment="1">
      <alignment horizontal="center" vertical="center"/>
    </xf>
    <xf numFmtId="2" fontId="64" fillId="6" borderId="89" xfId="2" applyNumberFormat="1" applyFont="1" applyFill="1" applyBorder="1" applyAlignment="1">
      <alignment horizontal="center" vertical="center"/>
    </xf>
    <xf numFmtId="188" fontId="57" fillId="0" borderId="62" xfId="2" applyNumberFormat="1" applyFont="1" applyBorder="1" applyAlignment="1">
      <alignment horizontal="center" vertical="center"/>
    </xf>
    <xf numFmtId="188" fontId="57" fillId="0" borderId="5" xfId="2" applyNumberFormat="1" applyFont="1" applyBorder="1" applyAlignment="1">
      <alignment horizontal="center" vertical="center"/>
    </xf>
    <xf numFmtId="188" fontId="57" fillId="0" borderId="90" xfId="2" applyNumberFormat="1" applyFont="1" applyBorder="1" applyAlignment="1">
      <alignment horizontal="center" vertical="center"/>
    </xf>
    <xf numFmtId="188" fontId="57" fillId="0" borderId="48" xfId="2" applyNumberFormat="1" applyFont="1" applyBorder="1" applyAlignment="1">
      <alignment horizontal="center" vertical="center"/>
    </xf>
    <xf numFmtId="188" fontId="57" fillId="0" borderId="88" xfId="2" applyNumberFormat="1" applyFont="1" applyBorder="1" applyAlignment="1">
      <alignment horizontal="center" vertical="center"/>
    </xf>
    <xf numFmtId="0" fontId="41" fillId="0" borderId="12" xfId="2" applyFont="1" applyBorder="1" applyAlignment="1">
      <alignment horizontal="center" vertical="center"/>
    </xf>
    <xf numFmtId="188" fontId="49" fillId="0" borderId="0" xfId="2" applyNumberFormat="1" applyFont="1" applyAlignment="1">
      <alignment vertical="center"/>
    </xf>
    <xf numFmtId="2" fontId="56" fillId="0" borderId="10" xfId="2" applyNumberFormat="1" applyFont="1" applyBorder="1" applyAlignment="1">
      <alignment horizontal="center" vertical="center"/>
    </xf>
    <xf numFmtId="2" fontId="56" fillId="0" borderId="75" xfId="2" applyNumberFormat="1" applyFont="1" applyBorder="1" applyAlignment="1">
      <alignment horizontal="center" vertical="center"/>
    </xf>
    <xf numFmtId="2" fontId="56" fillId="0" borderId="87" xfId="2" applyNumberFormat="1" applyFont="1" applyBorder="1" applyAlignment="1">
      <alignment horizontal="center" vertical="center"/>
    </xf>
    <xf numFmtId="0" fontId="53" fillId="0" borderId="0" xfId="0" applyFont="1" applyAlignment="1">
      <alignment horizontal="left" vertical="center" wrapText="1"/>
    </xf>
    <xf numFmtId="0" fontId="22" fillId="0" borderId="0" xfId="0" applyFont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188" fontId="16" fillId="0" borderId="93" xfId="0" applyNumberFormat="1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188" fontId="16" fillId="0" borderId="9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" fontId="4" fillId="0" borderId="0" xfId="0" applyNumberFormat="1" applyFont="1" applyAlignment="1">
      <alignment horizontal="left" vertical="center"/>
    </xf>
    <xf numFmtId="194" fontId="16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68" xfId="0" applyFont="1" applyBorder="1" applyAlignment="1">
      <alignment horizontal="center" vertical="center"/>
    </xf>
    <xf numFmtId="188" fontId="17" fillId="0" borderId="25" xfId="0" applyNumberFormat="1" applyFont="1" applyBorder="1" applyAlignment="1">
      <alignment horizontal="center" vertical="center"/>
    </xf>
    <xf numFmtId="188" fontId="17" fillId="0" borderId="26" xfId="0" applyNumberFormat="1" applyFont="1" applyBorder="1" applyAlignment="1">
      <alignment horizontal="center" vertical="center"/>
    </xf>
    <xf numFmtId="188" fontId="17" fillId="0" borderId="27" xfId="0" applyNumberFormat="1" applyFont="1" applyBorder="1" applyAlignment="1">
      <alignment horizontal="center" vertical="center"/>
    </xf>
    <xf numFmtId="188" fontId="17" fillId="0" borderId="68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187" fontId="16" fillId="0" borderId="94" xfId="0" applyNumberFormat="1" applyFont="1" applyBorder="1" applyAlignment="1">
      <alignment horizontal="center" vertical="center"/>
    </xf>
    <xf numFmtId="2" fontId="16" fillId="0" borderId="92" xfId="0" applyNumberFormat="1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200" fontId="4" fillId="0" borderId="12" xfId="0" applyNumberFormat="1" applyFont="1" applyBorder="1" applyAlignment="1">
      <alignment horizontal="center" vertical="center"/>
    </xf>
    <xf numFmtId="200" fontId="4" fillId="0" borderId="52" xfId="0" applyNumberFormat="1" applyFont="1" applyBorder="1" applyAlignment="1">
      <alignment horizontal="center" vertical="center"/>
    </xf>
    <xf numFmtId="188" fontId="16" fillId="0" borderId="94" xfId="0" applyNumberFormat="1" applyFont="1" applyBorder="1" applyAlignment="1">
      <alignment horizontal="center" vertical="center"/>
    </xf>
    <xf numFmtId="2" fontId="16" fillId="0" borderId="93" xfId="0" applyNumberFormat="1" applyFont="1" applyBorder="1" applyAlignment="1">
      <alignment horizontal="center" vertical="center"/>
    </xf>
  </cellXfs>
  <cellStyles count="7">
    <cellStyle name="Normal" xfId="0" builtinId="0"/>
    <cellStyle name="ปกติ 2" xfId="1" xr:uid="{A6AB3439-3691-473B-9E4E-FEB0CEAA2B4E}"/>
    <cellStyle name="ปกติ 2 2" xfId="6" xr:uid="{B410C629-09E0-4C70-97C2-8FB47C1FA7E6}"/>
    <cellStyle name="ปกติ 3" xfId="2" xr:uid="{F54809D6-347C-4065-9479-6729C1F2E526}"/>
    <cellStyle name="ปกติ 3 2" xfId="3" xr:uid="{69F8DCF9-6AAF-4196-80FB-814D3A60AEA5}"/>
    <cellStyle name="ปกติ 4" xfId="4" xr:uid="{C87B5234-3077-4D84-9966-A7193ADBA41E}"/>
    <cellStyle name="ปกติ_FM-T02-09" xfId="5" xr:uid="{FD20E43F-1FA6-4A01-AF04-47981260F9B6}"/>
  </cellStyles>
  <dxfs count="93"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02" formatCode="#,##0.000"/>
    </dxf>
    <dxf>
      <numFmt numFmtId="4" formatCode="#,##0.00"/>
    </dxf>
    <dxf>
      <numFmt numFmtId="203" formatCode="#,##0.0"/>
    </dxf>
    <dxf>
      <numFmt numFmtId="1" formatCode="0"/>
    </dxf>
    <dxf>
      <numFmt numFmtId="202" formatCode="#,##0.000"/>
    </dxf>
    <dxf>
      <numFmt numFmtId="4" formatCode="#,##0.00"/>
    </dxf>
    <dxf>
      <numFmt numFmtId="203" formatCode="#,##0.0"/>
    </dxf>
    <dxf>
      <numFmt numFmtId="1" formatCode="0"/>
    </dxf>
    <dxf>
      <font>
        <color theme="0"/>
      </font>
    </dxf>
    <dxf>
      <numFmt numFmtId="202" formatCode="#,##0.000"/>
    </dxf>
    <dxf>
      <numFmt numFmtId="4" formatCode="#,##0.00"/>
    </dxf>
    <dxf>
      <numFmt numFmtId="203" formatCode="#,##0.0"/>
    </dxf>
    <dxf>
      <numFmt numFmtId="1" formatCode="0"/>
    </dxf>
    <dxf>
      <numFmt numFmtId="202" formatCode="#,##0.000"/>
    </dxf>
    <dxf>
      <numFmt numFmtId="4" formatCode="#,##0.00"/>
    </dxf>
    <dxf>
      <numFmt numFmtId="203" formatCode="#,##0.0"/>
    </dxf>
    <dxf>
      <numFmt numFmtId="1" formatCode="0"/>
    </dxf>
    <dxf>
      <numFmt numFmtId="202" formatCode="#,##0.000"/>
    </dxf>
    <dxf>
      <numFmt numFmtId="4" formatCode="#,##0.00"/>
    </dxf>
    <dxf>
      <numFmt numFmtId="203" formatCode="#,##0.0"/>
    </dxf>
    <dxf>
      <numFmt numFmtId="1" formatCode="0"/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04" formatCode="d/m/yyyy"/>
      <fill>
        <patternFill patternType="none">
          <fgColor theme="5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59999389629810485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>
        <top style="hair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00" formatCode="[$-1010409]d\ mmm\ yyyy;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righ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hair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94" formatCode="[$-1010409]d\ mmmm\ 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rgb="FF00CC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H SarabunPSK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family val="2"/>
        <charset val="222"/>
      </font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FF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U$17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BB$6" lockText="1" noThreeD="1"/>
</file>

<file path=xl/ctrlProps/ctrlProp5.xml><?xml version="1.0" encoding="utf-8"?>
<formControlPr xmlns="http://schemas.microsoft.com/office/spreadsheetml/2009/9/main" objectType="CheckBox" fmlaLink="$BO$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48986</xdr:colOff>
      <xdr:row>1</xdr:row>
      <xdr:rowOff>1360</xdr:rowOff>
    </xdr:from>
    <xdr:ext cx="945146" cy="9112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5704" y="0"/>
          <a:ext cx="1012030" cy="1080476"/>
        </a:xfrm>
        <a:prstGeom prst="rect">
          <a:avLst/>
        </a:prstGeom>
      </xdr:spPr>
    </xdr:pic>
    <xdr:clientData/>
  </xdr:oneCellAnchor>
  <xdr:oneCellAnchor>
    <xdr:from>
      <xdr:col>1</xdr:col>
      <xdr:colOff>48986</xdr:colOff>
      <xdr:row>1</xdr:row>
      <xdr:rowOff>1360</xdr:rowOff>
    </xdr:from>
    <xdr:ext cx="945146" cy="911225"/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>
      <xdr:nvPicPr>
        <xdr:cNvPr id="5" name="รูปภาพ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5704" y="0"/>
          <a:ext cx="1012030" cy="1080476"/>
        </a:xfrm>
        <a:prstGeom prst="rect">
          <a:avLst/>
        </a:prstGeom>
      </xdr:spPr>
    </xdr:pic>
    <xdr:clientData/>
  </xdr:oneCellAnchor>
  <xdr:twoCellAnchor>
    <xdr:from>
      <xdr:col>1</xdr:col>
      <xdr:colOff>37171</xdr:colOff>
      <xdr:row>15</xdr:row>
      <xdr:rowOff>199793</xdr:rowOff>
    </xdr:from>
    <xdr:to>
      <xdr:col>7</xdr:col>
      <xdr:colOff>125451</xdr:colOff>
      <xdr:row>15</xdr:row>
      <xdr:rowOff>199793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C11013D2-C2F6-4D03-A8EE-AB3FE6A9FD8C}"/>
            </a:ext>
          </a:extLst>
        </xdr:cNvPr>
        <xdr:cNvCxnSpPr/>
      </xdr:nvCxnSpPr>
      <xdr:spPr>
        <a:xfrm>
          <a:off x="122896" y="3581168"/>
          <a:ext cx="1116980" cy="0"/>
        </a:xfrm>
        <a:prstGeom prst="line">
          <a:avLst/>
        </a:prstGeom>
        <a:ln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086" name="Rectangle 22">
          <a:extLst>
            <a:ext uri="{FF2B5EF4-FFF2-40B4-BE49-F238E27FC236}">
              <a16:creationId xmlns:a16="http://schemas.microsoft.com/office/drawing/2014/main" id="{00000000-0008-0000-0200-00000E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087" name="Rectangle 22">
          <a:extLst>
            <a:ext uri="{FF2B5EF4-FFF2-40B4-BE49-F238E27FC236}">
              <a16:creationId xmlns:a16="http://schemas.microsoft.com/office/drawing/2014/main" id="{00000000-0008-0000-0200-00000F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088" name="Rectangle 22">
          <a:extLst>
            <a:ext uri="{FF2B5EF4-FFF2-40B4-BE49-F238E27FC236}">
              <a16:creationId xmlns:a16="http://schemas.microsoft.com/office/drawing/2014/main" id="{00000000-0008-0000-0200-000010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03" name="Rectangle 22">
          <a:extLs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04" name="Rectangle 22">
          <a:extLst>
            <a:ext uri="{FF2B5EF4-FFF2-40B4-BE49-F238E27FC236}">
              <a16:creationId xmlns:a16="http://schemas.microsoft.com/office/drawing/2014/main" id="{00000000-0008-0000-0200-000020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05" name="Rectangle 22">
          <a:extLst>
            <a:ext uri="{FF2B5EF4-FFF2-40B4-BE49-F238E27FC236}">
              <a16:creationId xmlns:a16="http://schemas.microsoft.com/office/drawing/2014/main" id="{00000000-0008-0000-0200-000021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07" name="Rectangle 22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08" name="Rectangle 22">
          <a:extLst>
            <a:ext uri="{FF2B5EF4-FFF2-40B4-BE49-F238E27FC236}">
              <a16:creationId xmlns:a16="http://schemas.microsoft.com/office/drawing/2014/main" id="{00000000-0008-0000-0200-000024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09" name="Rectangle 22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11" name="Rectangle 22">
          <a:extLst>
            <a:ext uri="{FF2B5EF4-FFF2-40B4-BE49-F238E27FC236}">
              <a16:creationId xmlns:a16="http://schemas.microsoft.com/office/drawing/2014/main" id="{00000000-0008-0000-0200-000027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12" name="Rectangle 22">
          <a:extLst>
            <a:ext uri="{FF2B5EF4-FFF2-40B4-BE49-F238E27FC236}">
              <a16:creationId xmlns:a16="http://schemas.microsoft.com/office/drawing/2014/main" id="{00000000-0008-0000-0200-000028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13" name="Rectangle 22">
          <a:extLst>
            <a:ext uri="{FF2B5EF4-FFF2-40B4-BE49-F238E27FC236}">
              <a16:creationId xmlns:a16="http://schemas.microsoft.com/office/drawing/2014/main" id="{00000000-0008-0000-0200-000029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1" name="Rectangle 2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52" name="Rectangle 2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5" name="Rectangle 22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56" name="Rectangle 22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9" name="Rectangle 22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60" name="Rectangle 22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63" name="Rectangle 2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Arrowheads="1"/>
        </xdr:cNvSpPr>
      </xdr:nvSpPr>
      <xdr:spPr bwMode="auto">
        <a:xfrm>
          <a:off x="247650" y="4391025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161925</xdr:colOff>
          <xdr:row>17</xdr:row>
          <xdr:rowOff>9525</xdr:rowOff>
        </xdr:from>
        <xdr:to>
          <xdr:col>30</xdr:col>
          <xdr:colOff>76200</xdr:colOff>
          <xdr:row>18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9" name="Rectangle 2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10" name="Rectangle 2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11" name="Rectangle 2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2" name="Rectangle 2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3" name="Rectangle 2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4" name="Rectangle 22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5" name="Rectangle 2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171450</xdr:colOff>
          <xdr:row>17</xdr:row>
          <xdr:rowOff>200025</xdr:rowOff>
        </xdr:from>
        <xdr:to>
          <xdr:col>28</xdr:col>
          <xdr:colOff>57150</xdr:colOff>
          <xdr:row>19</xdr:row>
          <xdr:rowOff>9525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6" name="Rectangle 2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7" name="Rectangle 2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8" name="Rectangle 2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</xdr:colOff>
          <xdr:row>14</xdr:row>
          <xdr:rowOff>19050</xdr:rowOff>
        </xdr:from>
        <xdr:to>
          <xdr:col>51</xdr:col>
          <xdr:colOff>457200</xdr:colOff>
          <xdr:row>15</xdr:row>
          <xdr:rowOff>142875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000000"/>
                  </a:solidFill>
                  <a:latin typeface="TH Sarabun New"/>
                  <a:cs typeface="TH Sarabun New"/>
                </a:rPr>
                <a:t>กดเพื่อเพิ่ม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91110</xdr:colOff>
      <xdr:row>16</xdr:row>
      <xdr:rowOff>190500</xdr:rowOff>
    </xdr:from>
    <xdr:to>
      <xdr:col>26</xdr:col>
      <xdr:colOff>102054</xdr:colOff>
      <xdr:row>16</xdr:row>
      <xdr:rowOff>190500</xdr:rowOff>
    </xdr:to>
    <xdr:cxnSp macro="">
      <xdr:nvCxnSpPr>
        <xdr:cNvPr id="2" name="ตัวเชื่อมต่อตรง 2">
          <a:extLst>
            <a:ext uri="{FF2B5EF4-FFF2-40B4-BE49-F238E27FC236}">
              <a16:creationId xmlns:a16="http://schemas.microsoft.com/office/drawing/2014/main" id="{37ADDFD7-E223-4C8C-94ED-231407C8AB82}"/>
            </a:ext>
          </a:extLst>
        </xdr:cNvPr>
        <xdr:cNvCxnSpPr/>
      </xdr:nvCxnSpPr>
      <xdr:spPr>
        <a:xfrm>
          <a:off x="3748710" y="3543300"/>
          <a:ext cx="1096794" cy="0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133350</xdr:colOff>
      <xdr:row>0</xdr:row>
      <xdr:rowOff>28575</xdr:rowOff>
    </xdr:from>
    <xdr:to>
      <xdr:col>43</xdr:col>
      <xdr:colOff>133350</xdr:colOff>
      <xdr:row>1</xdr:row>
      <xdr:rowOff>114300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6648450" y="285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1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3" name="Line 1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</xdr:row>
          <xdr:rowOff>95250</xdr:rowOff>
        </xdr:from>
        <xdr:to>
          <xdr:col>13</xdr:col>
          <xdr:colOff>85725</xdr:colOff>
          <xdr:row>3</xdr:row>
          <xdr:rowOff>57150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</xdr:row>
          <xdr:rowOff>123825</xdr:rowOff>
        </xdr:from>
        <xdr:to>
          <xdr:col>15</xdr:col>
          <xdr:colOff>0</xdr:colOff>
          <xdr:row>3</xdr:row>
          <xdr:rowOff>38100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6" name="Line 18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133350</xdr:colOff>
      <xdr:row>41</xdr:row>
      <xdr:rowOff>28575</xdr:rowOff>
    </xdr:from>
    <xdr:to>
      <xdr:col>43</xdr:col>
      <xdr:colOff>133350</xdr:colOff>
      <xdr:row>42</xdr:row>
      <xdr:rowOff>114300</xdr:rowOff>
    </xdr:to>
    <xdr:sp macro="" textlink="">
      <xdr:nvSpPr>
        <xdr:cNvPr id="5" name="Rectangle 17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6767720" y="28575"/>
          <a:ext cx="662608" cy="26794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133350</xdr:colOff>
      <xdr:row>0</xdr:row>
      <xdr:rowOff>28575</xdr:rowOff>
    </xdr:from>
    <xdr:to>
      <xdr:col>43</xdr:col>
      <xdr:colOff>133350</xdr:colOff>
      <xdr:row>1</xdr:row>
      <xdr:rowOff>114300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6648450" y="285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1</a:t>
          </a:r>
        </a:p>
      </xdr:txBody>
    </xdr:sp>
    <xdr:clientData/>
  </xdr:twoCellAnchor>
  <xdr:twoCellAnchor>
    <xdr:from>
      <xdr:col>2</xdr:col>
      <xdr:colOff>68333</xdr:colOff>
      <xdr:row>14</xdr:row>
      <xdr:rowOff>47625</xdr:rowOff>
    </xdr:from>
    <xdr:to>
      <xdr:col>2</xdr:col>
      <xdr:colOff>182633</xdr:colOff>
      <xdr:row>14</xdr:row>
      <xdr:rowOff>47625</xdr:rowOff>
    </xdr:to>
    <xdr:sp macro="" textlink="">
      <xdr:nvSpPr>
        <xdr:cNvPr id="3" name="Line 18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13</xdr:row>
      <xdr:rowOff>38100</xdr:rowOff>
    </xdr:from>
    <xdr:to>
      <xdr:col>2</xdr:col>
      <xdr:colOff>152814</xdr:colOff>
      <xdr:row>13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&#3648;&#3629;&#3585;&#3626;&#3634;&#3619;&#3610;&#3609;&#3627;&#3609;&#3657;&#3634;&#3592;&#3629;/Program%20Cer/update%2012-9/StandardWorking.xls" TargetMode="External"/><Relationship Id="rId1" Type="http://schemas.openxmlformats.org/officeDocument/2006/relationships/externalLinkPath" Target="/&#3648;&#3629;&#3585;&#3626;&#3634;&#3619;&#3610;&#3609;&#3627;&#3609;&#3657;&#3634;&#3592;&#3629;/Program%20Cer/update%2012-9/StandardWork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TD (2)"/>
      <sheetName val="STD"/>
      <sheetName val="44990026-43930196"/>
      <sheetName val="44990026-2"/>
      <sheetName val="47305009-CH101-110"/>
      <sheetName val="47305009-CH201-210"/>
      <sheetName val="50125022"/>
      <sheetName val="Omega-1"/>
      <sheetName val="Omega-2"/>
      <sheetName val="Omega-3"/>
      <sheetName val="StandardWorking"/>
    </sheetNames>
    <definedNames>
      <definedName name="Data" refersTo="='STD (2)'!$C$2:$C$29"/>
    </definedNames>
    <sheetDataSet>
      <sheetData sheetId="0">
        <row r="2">
          <cell r="C2" t="str">
            <v>Multifunction Reference Thermometer Readout</v>
          </cell>
        </row>
        <row r="3">
          <cell r="C3" t="str">
            <v>Standard Platinum Resistance Thermometer Probe</v>
          </cell>
        </row>
        <row r="4">
          <cell r="C4" t="str">
            <v>Platinum Resistance Thermometer Probe</v>
          </cell>
        </row>
        <row r="5">
          <cell r="C5" t="str">
            <v>Platinum Resistance Thermometer Probe</v>
          </cell>
        </row>
        <row r="6">
          <cell r="C6" t="str">
            <v>Multifunction Reference Thermometer Readout with PRT Probe</v>
          </cell>
        </row>
        <row r="7">
          <cell r="C7" t="str">
            <v>Super-DAQ Precision Temperature Scanner with RTD Sensor ชุด 1-1</v>
          </cell>
        </row>
        <row r="8">
          <cell r="C8" t="str">
            <v>Super-DAQ Precision Temperature Scanner with RTD Sensor ชุด 1-2</v>
          </cell>
        </row>
        <row r="9">
          <cell r="C9" t="str">
            <v>Super-DAQ Precision Temperature Scanner with RTD Sensor ชุด 2-1</v>
          </cell>
        </row>
        <row r="10">
          <cell r="C10" t="str">
            <v>Super-DAQ Precision Temperature Scanner with RTD Sensor ชุด 2-2</v>
          </cell>
        </row>
        <row r="11">
          <cell r="C11" t="str">
            <v>Super-DAQ Precision Temperature Scanner with RTD Sensor</v>
          </cell>
        </row>
        <row r="12">
          <cell r="C12" t="str">
            <v>Super-DAQ Precision Temperature Scanner with PRT Probe</v>
          </cell>
        </row>
        <row r="13">
          <cell r="C13" t="str">
            <v>Super-DAQ Precision Temperature Scanner with PRT Probe</v>
          </cell>
        </row>
        <row r="14">
          <cell r="C14" t="str">
            <v>Thermometer With Sensor</v>
          </cell>
        </row>
        <row r="15">
          <cell r="C15" t="str">
            <v>High Temperature Data Logger ชุด 1</v>
          </cell>
        </row>
        <row r="16">
          <cell r="C16" t="str">
            <v>High Temperature Data Logger ชุด 2</v>
          </cell>
        </row>
        <row r="17">
          <cell r="C17" t="str">
            <v>High Temperature Data Logger ชุด 3</v>
          </cell>
        </row>
        <row r="18">
          <cell r="C18" t="str">
            <v>High Temperature Data Logger Pressure</v>
          </cell>
        </row>
        <row r="19">
          <cell r="C19" t="str">
            <v>Digital Tachometer</v>
          </cell>
        </row>
        <row r="20">
          <cell r="C20" t="str">
            <v>Digital Tachometer</v>
          </cell>
        </row>
        <row r="21">
          <cell r="C21" t="str">
            <v>Digital Tachometer</v>
          </cell>
        </row>
        <row r="22">
          <cell r="C22" t="str">
            <v>Digital Stopwatch</v>
          </cell>
        </row>
        <row r="23">
          <cell r="C23" t="str">
            <v>Digital Stopwatch</v>
          </cell>
        </row>
        <row r="24">
          <cell r="C24" t="str">
            <v>True RMS Logging Multimeters</v>
          </cell>
        </row>
        <row r="25">
          <cell r="C25" t="str">
            <v>True RMS Logging Multimeters</v>
          </cell>
        </row>
        <row r="26">
          <cell r="C26" t="str">
            <v>Digital Thermo Hygrometer</v>
          </cell>
        </row>
        <row r="27">
          <cell r="C27" t="str">
            <v>Digital Thermo Hygrometer</v>
          </cell>
        </row>
        <row r="28">
          <cell r="C28" t="str">
            <v>Digital Thermo Hygrometer</v>
          </cell>
        </row>
        <row r="29">
          <cell r="C29" t="str">
            <v>Digital Thermo Hygrometer</v>
          </cell>
        </row>
      </sheetData>
      <sheetData sheetId="1">
        <row r="3">
          <cell r="C3" t="str">
            <v>Multifunction Reference Thermometer Readout</v>
          </cell>
        </row>
        <row r="5">
          <cell r="C5" t="str">
            <v>Standard Platinum Resistance Thermometer Probe</v>
          </cell>
        </row>
        <row r="6">
          <cell r="C6" t="str">
            <v>Platinum Resistance Thermometer Probe</v>
          </cell>
        </row>
        <row r="7">
          <cell r="C7" t="str">
            <v>Platinum Resistance Thermometer Probe</v>
          </cell>
        </row>
        <row r="9">
          <cell r="C9" t="str">
            <v>Multifunction Reference Thermometer Readout with PRT Probe</v>
          </cell>
        </row>
        <row r="10">
          <cell r="C10" t="str">
            <v>Super-DAQ Precision Temperature Scanner with RTD Sensor ชุด 1-1</v>
          </cell>
        </row>
        <row r="15">
          <cell r="C15" t="str">
            <v>Super-DAQ Precision Temperature Scanner with RTD Sensor ชุด 1-2</v>
          </cell>
        </row>
        <row r="20">
          <cell r="C20" t="str">
            <v>Super-DAQ Precision Temperature Scanner with RTD Sensor ชุด 2-1</v>
          </cell>
        </row>
        <row r="25">
          <cell r="C25" t="str">
            <v>Super-DAQ Precision Temperature Scanner with RTD Sensor ชุด 2-2</v>
          </cell>
        </row>
      </sheetData>
      <sheetData sheetId="2">
        <row r="2">
          <cell r="C2" t="str">
            <v>Correction</v>
          </cell>
        </row>
      </sheetData>
      <sheetData sheetId="3">
        <row r="2">
          <cell r="C2" t="str">
            <v>Correction</v>
          </cell>
        </row>
      </sheetData>
      <sheetData sheetId="4">
        <row r="2">
          <cell r="C2" t="str">
            <v>Correction</v>
          </cell>
        </row>
      </sheetData>
      <sheetData sheetId="5">
        <row r="2">
          <cell r="C2" t="str">
            <v>Correction</v>
          </cell>
        </row>
      </sheetData>
      <sheetData sheetId="6">
        <row r="2">
          <cell r="C2" t="str">
            <v>Correction</v>
          </cell>
        </row>
      </sheetData>
      <sheetData sheetId="7">
        <row r="2">
          <cell r="C2" t="str">
            <v>Correction</v>
          </cell>
        </row>
      </sheetData>
      <sheetData sheetId="8">
        <row r="2">
          <cell r="C2" t="str">
            <v>Correction</v>
          </cell>
        </row>
      </sheetData>
      <sheetData sheetId="9">
        <row r="2">
          <cell r="C2" t="str">
            <v>Correction</v>
          </cell>
        </row>
      </sheetData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F14FB64-21C3-4975-9C33-93E17D4F7D2C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8C0E630-6854-4EF9-A4AF-20F606B3A98F}" autoFormatId="16" applyNumberFormats="0" applyBorderFormats="0" applyFontFormats="0" applyPatternFormats="0" applyAlignmentFormats="0" applyWidthHeightFormats="0">
  <queryTableRefresh nextId="12">
    <queryTableFields count="11">
      <queryTableField id="1" name="Customer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Personnel" tableColumnId="8"/>
      <queryTableField id="9" name="Column9" tableColumnId="9"/>
      <queryTableField id="10" name="Column10" tableColumnId="10"/>
      <queryTableField id="11" name="UUC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F6FE4C-EE1E-4717-ACC6-0E0F1AA6D0FB}" name="Cal_point" displayName="Cal_point" ref="AV15:AX16" totalsRowShown="0">
  <autoFilter ref="AV15:AX16" xr:uid="{30F6FE4C-EE1E-4717-ACC6-0E0F1AA6D0FB}"/>
  <tableColumns count="3">
    <tableColumn id="1" xr3:uid="{8E651DE9-696B-4F1A-8670-5FD44C9B4829}" name="No. Point" dataDxfId="92"/>
    <tableColumn id="2" xr3:uid="{97861D1F-85E5-40EF-ABA7-FD6E0C4E0384}" name="Cal. Point"/>
    <tableColumn id="3" xr3:uid="{5C6D82DB-3BF1-4AB7-AF47-035EFD37E0C8}" name="Complet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933D0C-508E-4D97-8065-534234CA7182}" name="DTM" displayName="DTM" ref="A1:T37" tableType="queryTable" totalsRowShown="0">
  <autoFilter ref="A1:T37" xr:uid="{A9933D0C-508E-4D97-8065-534234CA7182}"/>
  <tableColumns count="20">
    <tableColumn id="1" xr3:uid="{9D7D436E-F1ED-47A7-BA7C-F97A4C51009A}" uniqueName="1" name="Column1" queryTableFieldId="1" dataDxfId="91"/>
    <tableColumn id="2" xr3:uid="{47078D60-2F2D-4F99-9E24-2DB98E0E2D56}" uniqueName="2" name="Column2" queryTableFieldId="2" dataDxfId="90"/>
    <tableColumn id="3" xr3:uid="{3A412C2E-CF4B-410A-8A89-B759A7CA6E67}" uniqueName="3" name="Column3" queryTableFieldId="3" dataDxfId="89"/>
    <tableColumn id="4" xr3:uid="{C3BE6BEF-0D2E-4A6C-9935-1BB788E7D550}" uniqueName="4" name="Column4" queryTableFieldId="4" dataDxfId="88"/>
    <tableColumn id="5" xr3:uid="{44B35CA7-7F65-4017-937A-CFF2A3A1A3F3}" uniqueName="5" name="Column5" queryTableFieldId="5" dataDxfId="87"/>
    <tableColumn id="6" xr3:uid="{637ECB1F-9CAE-4CC7-9CD8-976C74BC46E3}" uniqueName="6" name="Column6" queryTableFieldId="6"/>
    <tableColumn id="7" xr3:uid="{3159063D-6FB4-47B9-A787-6F1A0ECD6B04}" uniqueName="7" name="Column7" queryTableFieldId="7" dataDxfId="86"/>
    <tableColumn id="8" xr3:uid="{DE556EE1-B7A9-4B00-B19D-F304995BAA06}" uniqueName="8" name="Column8" queryTableFieldId="8"/>
    <tableColumn id="9" xr3:uid="{7FE28AD0-C22B-4103-BEA9-A775311C38C6}" uniqueName="9" name="Column9" queryTableFieldId="9"/>
    <tableColumn id="10" xr3:uid="{1895E51A-2C7C-45CF-8CE1-EA32DE87260B}" uniqueName="10" name="Column10" queryTableFieldId="10"/>
    <tableColumn id="11" xr3:uid="{126947C6-E5A5-431C-9932-EDCC975B486B}" uniqueName="11" name="Column11" queryTableFieldId="11" dataDxfId="85"/>
    <tableColumn id="12" xr3:uid="{4F02FE99-0AA9-4AE0-AF31-E212A8931854}" uniqueName="12" name="Column12" queryTableFieldId="12" dataDxfId="84"/>
    <tableColumn id="13" xr3:uid="{3F8E7F5A-DBF2-4FF8-B0FD-BD709173CF28}" uniqueName="13" name="Column13" queryTableFieldId="13" dataDxfId="83"/>
    <tableColumn id="14" xr3:uid="{095B371E-5AA5-4219-B2CE-A7A2BAB6DA8D}" uniqueName="14" name="Column14" queryTableFieldId="14" dataDxfId="82"/>
    <tableColumn id="15" xr3:uid="{8F3A4FB3-5385-4E26-8A8C-CCF2471230CE}" uniqueName="15" name="Column15" queryTableFieldId="15"/>
    <tableColumn id="16" xr3:uid="{8F93B146-2569-4D5B-A267-A40639564C50}" uniqueName="16" name="Column16" queryTableFieldId="16" dataDxfId="81"/>
    <tableColumn id="17" xr3:uid="{ACD682C2-E19B-490B-864D-F07679B02EA3}" uniqueName="17" name="Column17" queryTableFieldId="17" dataDxfId="80"/>
    <tableColumn id="18" xr3:uid="{355D5170-ADB2-401B-BDAD-070A2F0D13C0}" uniqueName="18" name="Column18" queryTableFieldId="18" dataDxfId="79"/>
    <tableColumn id="19" xr3:uid="{0323DDF4-E0CF-4018-AFE5-DBBDB19C09FB}" uniqueName="19" name="Column19" queryTableFieldId="19" dataDxfId="78"/>
    <tableColumn id="20" xr3:uid="{D2C0555B-9351-4878-88DE-769AA8BEFD08}" uniqueName="20" name="Column20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E1A157-16DB-4AC3-8DE3-3A0FF7BEA68E}" name="Customers7" displayName="Customers7" ref="A1:F53" totalsRowShown="0" headerRowDxfId="77" dataDxfId="75" headerRowBorderDxfId="76" tableBorderDxfId="74" totalsRowBorderDxfId="73">
  <autoFilter ref="A1:F53" xr:uid="{AEE1A157-16DB-4AC3-8DE3-3A0FF7BEA68E}"/>
  <sortState xmlns:xlrd2="http://schemas.microsoft.com/office/spreadsheetml/2017/richdata2" ref="A2:F53">
    <sortCondition ref="A2:A54"/>
  </sortState>
  <tableColumns count="6">
    <tableColumn id="2" xr3:uid="{6498119D-FCE7-422D-A622-BC1AF926FC6B}" name="No." dataDxfId="72">
      <calculatedColumnFormula>'Data (2)'!A3</calculatedColumnFormula>
    </tableColumn>
    <tableColumn id="8" xr3:uid="{0935BFCC-A201-49EA-9A86-B47732FE4753}" name="หน่วยรับบริการ" dataDxfId="71">
      <calculatedColumnFormula>'Data (2)'!B3</calculatedColumnFormula>
    </tableColumn>
    <tableColumn id="3" xr3:uid="{E60C090F-43E0-4E76-92A0-4AA00FD0C83B}" name="Service Unit" dataDxfId="70">
      <calculatedColumnFormula>'Data (2)'!C3</calculatedColumnFormula>
    </tableColumn>
    <tableColumn id="4" xr3:uid="{D2FA97C2-F5FA-4FED-8604-C247BBAD2A1A}" name="Address" dataDxfId="69">
      <calculatedColumnFormula>'Data (2)'!D3</calculatedColumnFormula>
    </tableColumn>
    <tableColumn id="5" xr3:uid="{0319ACA1-87F6-4CDC-BEEA-F4BBC4D9BFA3}" name="City" dataDxfId="68">
      <calculatedColumnFormula>'Data (2)'!E3</calculatedColumnFormula>
    </tableColumn>
    <tableColumn id="6" xr3:uid="{0D8FE33E-5CA3-4959-8AB9-22F2782CBC96}" name="ZIP code" dataDxfId="67">
      <calculatedColumnFormula>'Data (2)'!F3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0DE0A-DA59-4719-BB2F-82D85B787E3C}" name="Personnel" displayName="Personnel" ref="H2:I18" totalsRowShown="0" headerRowDxfId="66">
  <autoFilter ref="H2:I18" xr:uid="{09D0DE0A-DA59-4719-BB2F-82D85B787E3C}"/>
  <tableColumns count="2">
    <tableColumn id="1" xr3:uid="{43E955B5-3B54-4944-ABB9-BCB55F2CACEF}" name="Name" dataDxfId="65">
      <calculatedColumnFormula>Data_1[[#This Row],[Personnel]]</calculatedColumnFormula>
    </tableColumn>
    <tableColumn id="2" xr3:uid="{9ACC6C88-ECE7-4B45-9AC3-D2B3A64F8D66}" name="Rank" dataDxfId="64">
      <calculatedColumnFormula>Data_1[[#This Row],[Column9]]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FFEEF-9A82-4302-B735-B30779DD7D53}" name="Data_1" displayName="Data_1" ref="A1:K57" tableType="queryTable" totalsRowShown="0">
  <autoFilter ref="A1:K57" xr:uid="{FF5FFEEF-9A82-4302-B735-B30779DD7D53}"/>
  <tableColumns count="11">
    <tableColumn id="1" xr3:uid="{B849E364-6459-45B5-A67A-08C06D9C398E}" uniqueName="1" name="Customer" queryTableFieldId="1"/>
    <tableColumn id="2" xr3:uid="{DF72AC12-C8BE-4514-AB41-8DF0BF00F306}" uniqueName="2" name="Column2" queryTableFieldId="2" dataDxfId="63"/>
    <tableColumn id="3" xr3:uid="{FD102BF4-76E3-47FE-8149-CF9295FBF119}" uniqueName="3" name="Column3" queryTableFieldId="3" dataDxfId="62"/>
    <tableColumn id="4" xr3:uid="{17B77D62-5F32-477E-AB7C-1AD8D41E54C8}" uniqueName="4" name="Column4" queryTableFieldId="4" dataDxfId="61"/>
    <tableColumn id="5" xr3:uid="{65539353-A80F-4E59-A1C7-EB77DA1E9796}" uniqueName="5" name="Column5" queryTableFieldId="5" dataDxfId="60"/>
    <tableColumn id="6" xr3:uid="{E5E97A51-B515-4D94-8AD0-80032A814969}" uniqueName="6" name="Column6" queryTableFieldId="6"/>
    <tableColumn id="7" xr3:uid="{C68DDD48-98E6-42E5-992D-818C2D59EE20}" uniqueName="7" name="Column7" queryTableFieldId="7"/>
    <tableColumn id="8" xr3:uid="{019C6630-056A-4C03-A098-4517642A8EA0}" uniqueName="8" name="Personnel" queryTableFieldId="8" dataDxfId="59"/>
    <tableColumn id="9" xr3:uid="{1C918EF7-AAAE-4483-983C-25C2401DBF40}" uniqueName="9" name="Column9" queryTableFieldId="9" dataDxfId="58"/>
    <tableColumn id="10" xr3:uid="{83013D26-3616-4925-BA7D-934588CDB850}" uniqueName="10" name="Column10" queryTableFieldId="10"/>
    <tableColumn id="11" xr3:uid="{9FFA344A-254F-41FC-AE06-B83DCE277F13}" uniqueName="11" name="UUC" queryTableFieldId="11" dataDxfId="5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4DF6DA-8591-4024-B486-2C491F16CD80}" name="Ref.STD9" displayName="Ref.STD9" ref="A2:G6" totalsRowShown="0" headerRowDxfId="56" headerRowBorderDxfId="55" tableBorderDxfId="54">
  <autoFilter ref="A2:G6" xr:uid="{854DF6DA-8591-4024-B486-2C491F16CD80}"/>
  <tableColumns count="7">
    <tableColumn id="1" xr3:uid="{066FB36F-4ED6-4D60-84B2-985F2D065235}" name="Tool Code" dataDxfId="53">
      <calculatedColumnFormula>DTM!A4</calculatedColumnFormula>
    </tableColumn>
    <tableColumn id="2" xr3:uid="{DAF7CB37-0BF8-4F05-9E56-24316B8C66C9}" name="Equipment" dataDxfId="52">
      <calculatedColumnFormula>DTM!B4</calculatedColumnFormula>
    </tableColumn>
    <tableColumn id="3" xr3:uid="{0488694B-4ADD-4B1B-B4CD-70EC2906B98E}" name="Brand" dataDxfId="51">
      <calculatedColumnFormula>DTM!C4</calculatedColumnFormula>
    </tableColumn>
    <tableColumn id="4" xr3:uid="{75E92EA0-1DB4-4CB7-975D-8168B21F640A}" name="Model" dataDxfId="50">
      <calculatedColumnFormula>DTM!D4</calculatedColumnFormula>
    </tableColumn>
    <tableColumn id="5" xr3:uid="{7BFAFFF3-CBA7-4210-B85B-474DBC20232B}" name="Serial No" dataDxfId="49">
      <calculatedColumnFormula>DTM!E4</calculatedColumnFormula>
    </tableColumn>
    <tableColumn id="6" xr3:uid="{916FECBB-EFEA-4118-85F8-6E237115B49B}" name="Cal. Date" dataDxfId="48">
      <calculatedColumnFormula>DTM!F4</calculatedColumnFormula>
    </tableColumn>
    <tableColumn id="7" xr3:uid="{E36ACAAE-9707-4C57-8077-FCCEC268934A}" name="Cer No." dataDxfId="47">
      <calculatedColumnFormula>DTM!G4</calculatedColumnFormula>
    </tableColumn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CF6DFBD-5CDB-45DA-A468-D516F8CF13BF}" name="Apparatus10" displayName="Apparatus10" ref="A12:G18" totalsRowShown="0" headerRowDxfId="46" headerRowBorderDxfId="45" tableBorderDxfId="44">
  <autoFilter ref="A12:G18" xr:uid="{1CF6DFBD-5CDB-45DA-A468-D516F8CF13BF}"/>
  <tableColumns count="7">
    <tableColumn id="1" xr3:uid="{E5BE8014-CC4B-4078-90CD-46207E077256}" name="Tool Code" dataDxfId="43">
      <calculatedColumnFormula>DTM!A14</calculatedColumnFormula>
    </tableColumn>
    <tableColumn id="2" xr3:uid="{EF6617A0-9004-4C64-B123-D7F2DAE4722C}" name="Equipment" dataDxfId="42">
      <calculatedColumnFormula>DTM!B14</calculatedColumnFormula>
    </tableColumn>
    <tableColumn id="3" xr3:uid="{4A2278E1-D35C-41E6-8DB7-AB37E8C66B1E}" name="Brand" dataDxfId="41">
      <calculatedColumnFormula>DTM!C14</calculatedColumnFormula>
    </tableColumn>
    <tableColumn id="4" xr3:uid="{16F42AD5-8A72-44D0-8B2B-9C6CAF7D45E3}" name="Model" dataDxfId="40">
      <calculatedColumnFormula>DTM!D14</calculatedColumnFormula>
    </tableColumn>
    <tableColumn id="5" xr3:uid="{ACA0696B-03B0-4975-9EC5-6E44F040B8EF}" name="Serial No" dataDxfId="39">
      <calculatedColumnFormula>DTM!E14</calculatedColumnFormula>
    </tableColumn>
    <tableColumn id="6" xr3:uid="{AA1860DD-B494-482B-AF8A-BB596121E4CF}" name="Cal. Date" dataDxfId="38">
      <calculatedColumnFormula>DTM!F14</calculatedColumnFormula>
    </tableColumn>
    <tableColumn id="7" xr3:uid="{6ED20EF5-4B87-4174-B747-58FE2F407725}" name="Cer No." dataDxfId="37">
      <calculatedColumnFormula>DTM!G14</calculatedColumnFormula>
    </tableColumn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03A8C36-1388-4392-9CA1-6FD0D43A6348}" name="Module11" displayName="Module11" ref="A25:G32" totalsRowShown="0" headerRowDxfId="36" headerRowBorderDxfId="35" tableBorderDxfId="34" totalsRowBorderDxfId="33">
  <autoFilter ref="A25:G32" xr:uid="{803A8C36-1388-4392-9CA1-6FD0D43A6348}"/>
  <tableColumns count="7">
    <tableColumn id="1" xr3:uid="{7513FE8D-975C-4C10-9E4E-F27F8C36D95D}" name="Tool Code" dataDxfId="32">
      <calculatedColumnFormula>DTM!A27</calculatedColumnFormula>
    </tableColumn>
    <tableColumn id="2" xr3:uid="{377380B5-F79E-43D5-9281-D3365E124BEE}" name="Equipment" dataDxfId="31">
      <calculatedColumnFormula>DTM!B27</calculatedColumnFormula>
    </tableColumn>
    <tableColumn id="3" xr3:uid="{38B03CF0-4C6E-4C90-97A3-75735D441C5F}" name="Brand" dataDxfId="30">
      <calculatedColumnFormula>DTM!C27</calculatedColumnFormula>
    </tableColumn>
    <tableColumn id="4" xr3:uid="{E045FACB-80EA-4CB9-B251-8976E1E08020}" name="Model" dataDxfId="29">
      <calculatedColumnFormula>DTM!D27</calculatedColumnFormula>
    </tableColumn>
    <tableColumn id="5" xr3:uid="{A4EEBDD3-3088-4B24-AA1E-1CF2205802E6}" name="Serial No" dataDxfId="28">
      <calculatedColumnFormula>DTM!E27</calculatedColumnFormula>
    </tableColumn>
    <tableColumn id="6" xr3:uid="{566CD598-65ED-4640-BCEF-9FD97F0D93AC}" name="Cal. Date" dataDxfId="27">
      <calculatedColumnFormula>DTM!F27</calculatedColumnFormula>
    </tableColumn>
    <tableColumn id="7" xr3:uid="{E71235A9-A5A3-4D0D-960A-8D47BD182511}" name="Cer No." dataDxfId="26">
      <calculatedColumnFormula>DTM!G27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186"/>
  <sheetViews>
    <sheetView topLeftCell="A54" zoomScale="145" zoomScaleNormal="145" workbookViewId="0">
      <selection activeCell="AP55" sqref="AP55"/>
    </sheetView>
  </sheetViews>
  <sheetFormatPr defaultRowHeight="18.75"/>
  <cols>
    <col min="1" max="1" width="1.28515625" style="10" customWidth="1"/>
    <col min="2" max="39" width="2.5703125" style="10" customWidth="1"/>
    <col min="40" max="40" width="12" style="1" customWidth="1"/>
    <col min="41" max="41" width="11.140625" style="1" customWidth="1"/>
    <col min="42" max="16384" width="9.140625" style="1"/>
  </cols>
  <sheetData>
    <row r="1" spans="1:42" ht="8.25" customHeight="1"/>
    <row r="2" spans="1:42" ht="19.5" customHeight="1">
      <c r="B2" s="190"/>
      <c r="C2" s="191"/>
      <c r="D2" s="191"/>
      <c r="E2" s="191"/>
      <c r="F2" s="191"/>
      <c r="G2" s="190"/>
      <c r="H2" s="546" t="s">
        <v>429</v>
      </c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546"/>
      <c r="T2" s="546"/>
      <c r="U2" s="546"/>
      <c r="V2" s="546"/>
      <c r="W2" s="546"/>
      <c r="X2" s="546"/>
      <c r="Y2" s="546"/>
      <c r="Z2" s="546"/>
      <c r="AA2" s="546"/>
      <c r="AB2" s="546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</row>
    <row r="3" spans="1:42" ht="19.5" customHeight="1">
      <c r="B3" s="190"/>
      <c r="C3" s="190"/>
      <c r="D3" s="190"/>
      <c r="E3" s="190"/>
      <c r="F3" s="190"/>
      <c r="G3" s="190"/>
      <c r="H3" s="546" t="s">
        <v>430</v>
      </c>
      <c r="I3" s="546"/>
      <c r="J3" s="546"/>
      <c r="K3" s="546"/>
      <c r="L3" s="546"/>
      <c r="M3" s="546"/>
      <c r="N3" s="546"/>
      <c r="O3" s="546"/>
      <c r="P3" s="546"/>
      <c r="Q3" s="546"/>
      <c r="R3" s="546"/>
      <c r="S3" s="546"/>
      <c r="T3" s="546"/>
      <c r="U3" s="546"/>
      <c r="V3" s="546"/>
      <c r="W3" s="546"/>
      <c r="X3" s="546"/>
      <c r="Y3" s="546"/>
      <c r="Z3" s="546"/>
      <c r="AA3" s="546"/>
      <c r="AB3" s="546"/>
      <c r="AC3" s="546"/>
      <c r="AD3" s="546"/>
      <c r="AE3" s="546"/>
      <c r="AF3" s="546"/>
      <c r="AG3" s="546"/>
      <c r="AH3" s="546"/>
      <c r="AI3" s="190"/>
      <c r="AJ3" s="190"/>
      <c r="AK3" s="190"/>
      <c r="AL3" s="190"/>
      <c r="AM3" s="190"/>
    </row>
    <row r="4" spans="1:42" ht="15.75" customHeight="1">
      <c r="B4" s="190"/>
      <c r="C4" s="190"/>
      <c r="D4" s="190"/>
      <c r="E4" s="190"/>
      <c r="F4" s="190"/>
      <c r="G4" s="190"/>
      <c r="H4" s="546" t="s">
        <v>431</v>
      </c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6"/>
      <c r="T4" s="546"/>
      <c r="U4" s="546"/>
      <c r="V4" s="546"/>
      <c r="W4" s="546"/>
      <c r="X4" s="546"/>
      <c r="Y4" s="546"/>
      <c r="Z4" s="546"/>
      <c r="AA4" s="546"/>
      <c r="AB4" s="546"/>
      <c r="AC4" s="190"/>
      <c r="AD4" s="190"/>
      <c r="AE4" s="190"/>
      <c r="AF4" s="190"/>
      <c r="AG4" s="190"/>
      <c r="AH4" s="190"/>
      <c r="AI4" s="190"/>
      <c r="AJ4" s="190"/>
      <c r="AK4" s="190"/>
      <c r="AL4" s="190"/>
      <c r="AM4" s="190"/>
    </row>
    <row r="5" spans="1:42" ht="15.75" customHeight="1">
      <c r="H5" s="192" t="s">
        <v>432</v>
      </c>
      <c r="I5" s="3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</row>
    <row r="6" spans="1:42" ht="21.75" customHeight="1">
      <c r="B6" s="7"/>
      <c r="C6" s="7"/>
      <c r="D6" s="7"/>
      <c r="E6" s="7"/>
      <c r="F6" s="7"/>
      <c r="G6" s="7"/>
      <c r="H6" s="218" t="s">
        <v>71</v>
      </c>
      <c r="I6" s="193"/>
      <c r="J6" s="193"/>
      <c r="K6" s="193"/>
      <c r="L6" s="193"/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  <c r="AA6" s="193"/>
      <c r="AB6" s="193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</row>
    <row r="7" spans="1:42" ht="21.75" customHeight="1">
      <c r="B7" s="547" t="s">
        <v>52</v>
      </c>
      <c r="C7" s="547"/>
      <c r="D7" s="547"/>
      <c r="E7" s="547"/>
      <c r="F7" s="547"/>
      <c r="G7" s="547"/>
      <c r="H7" s="547"/>
      <c r="I7" s="547"/>
      <c r="J7" s="547"/>
      <c r="K7" s="547"/>
      <c r="L7" s="547"/>
      <c r="M7" s="547"/>
      <c r="N7" s="547"/>
      <c r="O7" s="547"/>
      <c r="P7" s="547"/>
      <c r="Q7" s="547"/>
      <c r="R7" s="547"/>
      <c r="S7" s="547"/>
      <c r="T7" s="547"/>
      <c r="U7" s="547"/>
      <c r="V7" s="547"/>
      <c r="W7" s="547"/>
      <c r="X7" s="547"/>
      <c r="Y7" s="547"/>
      <c r="Z7" s="547"/>
      <c r="AA7" s="547"/>
      <c r="AB7" s="547"/>
      <c r="AC7" s="547"/>
      <c r="AD7" s="547"/>
      <c r="AE7" s="547"/>
      <c r="AF7" s="547"/>
      <c r="AG7" s="547"/>
      <c r="AH7" s="547"/>
      <c r="AI7" s="547"/>
      <c r="AJ7" s="547"/>
      <c r="AK7" s="547"/>
      <c r="AL7" s="547"/>
      <c r="AM7" s="547"/>
    </row>
    <row r="8" spans="1:42" ht="18" customHeight="1"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7"/>
      <c r="Q8" s="547"/>
      <c r="R8" s="547"/>
      <c r="S8" s="547"/>
      <c r="T8" s="547"/>
      <c r="U8" s="547"/>
      <c r="V8" s="547"/>
      <c r="W8" s="547"/>
      <c r="X8" s="547"/>
      <c r="Y8" s="547"/>
      <c r="Z8" s="547"/>
      <c r="AA8" s="547"/>
      <c r="AB8" s="547"/>
      <c r="AC8" s="547"/>
      <c r="AD8" s="547"/>
      <c r="AE8" s="547"/>
      <c r="AF8" s="547"/>
      <c r="AG8" s="547"/>
      <c r="AH8" s="547"/>
      <c r="AI8" s="547"/>
      <c r="AJ8" s="547"/>
      <c r="AK8" s="547"/>
      <c r="AL8" s="547"/>
      <c r="AM8" s="547"/>
    </row>
    <row r="9" spans="1:42" s="2" customFormat="1" ht="18" customHeight="1">
      <c r="A9" s="12"/>
      <c r="B9" s="12"/>
      <c r="C9" s="12"/>
      <c r="D9" s="12"/>
      <c r="E9" s="558"/>
      <c r="F9" s="558"/>
      <c r="G9" s="558"/>
      <c r="H9" s="558"/>
      <c r="I9" s="558"/>
      <c r="J9" s="558"/>
      <c r="K9" s="558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283" t="s">
        <v>38</v>
      </c>
      <c r="Z9" s="283"/>
      <c r="AA9" s="283"/>
      <c r="AB9" s="283"/>
      <c r="AC9" s="283"/>
      <c r="AD9" s="283"/>
      <c r="AE9" s="283"/>
      <c r="AF9" s="283"/>
      <c r="AG9" s="283"/>
      <c r="AH9" s="283"/>
      <c r="AI9" s="557" t="str">
        <f>IF(Page1!AO6=""," "&amp;Page1!AO4&amp;Page1!AR4&amp;" "&amp;Page1!AT4," "&amp;Page1!AO4&amp;Page1!AR4&amp;" "&amp;"R"&amp;Page1!AO6)</f>
        <v xml:space="preserve"> /69 </v>
      </c>
      <c r="AJ9" s="557"/>
      <c r="AK9" s="557"/>
      <c r="AL9" s="557"/>
      <c r="AM9" s="557"/>
      <c r="AN9" s="3"/>
      <c r="AO9" s="3"/>
      <c r="AP9" s="3"/>
    </row>
    <row r="10" spans="1:42" ht="18" customHeight="1">
      <c r="D10" s="559"/>
      <c r="E10" s="559"/>
      <c r="F10" s="559"/>
      <c r="G10" s="559"/>
      <c r="H10" s="559"/>
      <c r="I10" s="559"/>
      <c r="AC10" s="283" t="s">
        <v>39</v>
      </c>
      <c r="AD10" s="283"/>
      <c r="AE10" s="283"/>
      <c r="AF10" s="283"/>
      <c r="AG10" s="283"/>
      <c r="AH10" s="283"/>
      <c r="AI10" s="251" t="s">
        <v>81</v>
      </c>
      <c r="AJ10" s="251"/>
      <c r="AK10" s="251"/>
      <c r="AL10" s="251"/>
      <c r="AM10" s="251"/>
    </row>
    <row r="11" spans="1:42" ht="18" customHeight="1">
      <c r="B11" s="11" t="s">
        <v>59</v>
      </c>
      <c r="C11" s="11"/>
      <c r="D11" s="11"/>
      <c r="E11" s="11"/>
      <c r="F11" s="11"/>
      <c r="G11" s="12"/>
      <c r="H11" s="12"/>
      <c r="I11" s="11" t="s">
        <v>54</v>
      </c>
      <c r="J11" s="554" t="str">
        <f>IF(Page1!$I$8="","",Page1!$I$8)</f>
        <v/>
      </c>
      <c r="K11" s="554"/>
      <c r="L11" s="554"/>
      <c r="M11" s="554"/>
      <c r="N11" s="554"/>
      <c r="O11" s="554"/>
      <c r="P11" s="554"/>
      <c r="Q11" s="554"/>
      <c r="R11" s="554"/>
      <c r="S11" s="554"/>
      <c r="T11" s="554"/>
      <c r="U11" s="554"/>
      <c r="V11" s="554"/>
      <c r="W11" s="554"/>
      <c r="X11" s="554"/>
      <c r="Y11" s="554"/>
      <c r="Z11" s="554"/>
      <c r="AA11" s="554"/>
      <c r="AB11" s="554"/>
      <c r="AC11" s="554"/>
      <c r="AD11" s="554"/>
      <c r="AE11" s="554"/>
      <c r="AF11" s="554"/>
      <c r="AG11" s="554"/>
      <c r="AH11" s="554"/>
      <c r="AI11" s="554"/>
      <c r="AJ11" s="554"/>
      <c r="AK11" s="554"/>
      <c r="AL11" s="554"/>
      <c r="AM11" s="554"/>
    </row>
    <row r="12" spans="1:42" ht="18" customHeight="1">
      <c r="B12" s="11"/>
      <c r="C12" s="11"/>
      <c r="D12" s="11"/>
      <c r="E12" s="11"/>
      <c r="F12" s="11"/>
      <c r="G12" s="12"/>
      <c r="H12" s="12"/>
      <c r="J12" s="554" t="str">
        <f>IF(Page1!$I$9="","",Page1!$I$9&amp;", "&amp;Page1!$I$10)</f>
        <v/>
      </c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4"/>
      <c r="V12" s="554"/>
      <c r="W12" s="554"/>
      <c r="X12" s="554"/>
      <c r="Y12" s="554"/>
      <c r="Z12" s="554"/>
      <c r="AA12" s="554"/>
      <c r="AB12" s="554"/>
      <c r="AC12" s="554"/>
      <c r="AD12" s="554"/>
      <c r="AE12" s="554"/>
      <c r="AF12" s="554"/>
      <c r="AG12" s="554"/>
      <c r="AH12" s="554"/>
      <c r="AI12" s="554"/>
      <c r="AJ12" s="554"/>
      <c r="AK12" s="554"/>
      <c r="AL12" s="554"/>
      <c r="AM12" s="554"/>
    </row>
    <row r="13" spans="1:42" ht="18" customHeight="1">
      <c r="B13" s="552" t="s">
        <v>53</v>
      </c>
      <c r="C13" s="552"/>
      <c r="D13" s="552"/>
      <c r="E13" s="552"/>
      <c r="F13" s="552"/>
      <c r="G13" s="12"/>
      <c r="H13" s="12"/>
      <c r="I13" s="11" t="s">
        <v>54</v>
      </c>
      <c r="J13" s="6" t="str">
        <f>IF(Page1!I11="","",Page1!I11)</f>
        <v/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42" ht="18" customHeight="1">
      <c r="B14" s="11" t="s">
        <v>55</v>
      </c>
      <c r="C14" s="11"/>
      <c r="D14" s="11"/>
      <c r="E14" s="11"/>
      <c r="F14" s="11"/>
      <c r="G14" s="12"/>
      <c r="H14" s="12"/>
      <c r="I14" s="11" t="s">
        <v>54</v>
      </c>
      <c r="J14" s="555" t="str">
        <f>IF(Page1!I12="","",Page1!I12)</f>
        <v/>
      </c>
      <c r="K14" s="555"/>
      <c r="L14" s="555"/>
      <c r="M14" s="555"/>
      <c r="N14" s="555"/>
      <c r="O14" s="555"/>
      <c r="P14" s="555"/>
      <c r="Q14" s="555"/>
      <c r="R14" s="555"/>
      <c r="S14" s="555"/>
      <c r="T14" s="555"/>
      <c r="U14" s="555"/>
      <c r="V14" s="555"/>
      <c r="W14" s="555"/>
      <c r="X14" s="11" t="s">
        <v>56</v>
      </c>
      <c r="Y14" s="12"/>
      <c r="Z14" s="12"/>
      <c r="AA14" s="12"/>
      <c r="AB14" s="12"/>
      <c r="AC14" s="11" t="s">
        <v>54</v>
      </c>
      <c r="AD14" s="554" t="str">
        <f>IF(Page1!I13="","",Page1!I13)</f>
        <v/>
      </c>
      <c r="AE14" s="554"/>
      <c r="AF14" s="554"/>
      <c r="AG14" s="554"/>
      <c r="AH14" s="554"/>
      <c r="AI14" s="554"/>
      <c r="AJ14" s="554"/>
      <c r="AK14" s="554"/>
      <c r="AL14" s="554"/>
      <c r="AM14" s="554"/>
      <c r="AN14" s="5"/>
    </row>
    <row r="15" spans="1:42" ht="18" customHeight="1">
      <c r="B15" s="11" t="s">
        <v>58</v>
      </c>
      <c r="C15" s="11"/>
      <c r="D15" s="11"/>
      <c r="E15" s="11"/>
      <c r="F15" s="11"/>
      <c r="G15" s="12"/>
      <c r="H15" s="12"/>
      <c r="I15" s="11" t="s">
        <v>54</v>
      </c>
      <c r="J15" s="555" t="str">
        <f>IF(Page1!I14="","",Page1!I14)</f>
        <v/>
      </c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11" t="s">
        <v>57</v>
      </c>
      <c r="Y15" s="12"/>
      <c r="Z15" s="12"/>
      <c r="AA15" s="12"/>
      <c r="AB15" s="12"/>
      <c r="AC15" s="11" t="s">
        <v>54</v>
      </c>
      <c r="AD15" s="554" t="str">
        <f>IF(Page1!I15="","-",Page1!I15)</f>
        <v>-</v>
      </c>
      <c r="AE15" s="554"/>
      <c r="AF15" s="554"/>
      <c r="AG15" s="554"/>
      <c r="AH15" s="554"/>
      <c r="AI15" s="554"/>
      <c r="AJ15" s="554"/>
      <c r="AK15" s="554"/>
      <c r="AL15" s="554"/>
      <c r="AM15" s="554"/>
      <c r="AN15" s="5"/>
    </row>
    <row r="16" spans="1:42" ht="18" customHeight="1">
      <c r="B16" s="11" t="s">
        <v>550</v>
      </c>
      <c r="D16" s="11"/>
      <c r="E16" s="11"/>
      <c r="F16" s="11"/>
      <c r="G16" s="12"/>
      <c r="H16" s="12"/>
      <c r="I16" s="11" t="s">
        <v>54</v>
      </c>
      <c r="J16" s="554" t="str">
        <f>IF(Page1!AB17="","",Page1!AB17)</f>
        <v/>
      </c>
      <c r="K16" s="554"/>
      <c r="L16" s="554"/>
      <c r="M16" s="554"/>
      <c r="N16" s="554"/>
      <c r="O16" s="554"/>
      <c r="P16" s="554"/>
      <c r="Q16" s="554"/>
      <c r="R16" s="554"/>
      <c r="S16" s="554"/>
      <c r="T16" s="554"/>
      <c r="U16" s="554"/>
      <c r="V16" s="554"/>
      <c r="W16" s="554"/>
      <c r="X16" s="554"/>
      <c r="Y16" s="554"/>
      <c r="Z16" s="554"/>
      <c r="AA16" s="554"/>
      <c r="AB16" s="554"/>
      <c r="AC16" s="554"/>
      <c r="AD16" s="554"/>
      <c r="AE16" s="554"/>
      <c r="AF16" s="554"/>
      <c r="AG16" s="554"/>
      <c r="AH16" s="554"/>
      <c r="AI16" s="554"/>
      <c r="AJ16" s="554"/>
      <c r="AK16" s="554"/>
      <c r="AL16" s="554"/>
      <c r="AM16" s="554"/>
      <c r="AN16" s="4"/>
      <c r="AO16" s="4"/>
    </row>
    <row r="17" spans="2:39" ht="18" customHeight="1">
      <c r="B17" s="30" t="s">
        <v>306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2"/>
    </row>
    <row r="18" spans="2:39" ht="18" customHeight="1">
      <c r="C18" s="553" t="str">
        <f>IF(Page1!AG19="","Normal condition, no indication find for any damage or malfunction",Page1!AG19)</f>
        <v>Normal condition, no indication find for any damage or malfunction</v>
      </c>
      <c r="D18" s="553"/>
      <c r="E18" s="553"/>
      <c r="F18" s="553"/>
      <c r="G18" s="553"/>
      <c r="H18" s="553"/>
      <c r="I18" s="553"/>
      <c r="J18" s="553"/>
      <c r="K18" s="553"/>
      <c r="L18" s="553"/>
      <c r="M18" s="553"/>
      <c r="N18" s="553"/>
      <c r="O18" s="553"/>
      <c r="P18" s="553"/>
      <c r="Q18" s="553"/>
      <c r="R18" s="553"/>
      <c r="S18" s="553"/>
      <c r="T18" s="553"/>
      <c r="U18" s="553"/>
      <c r="V18" s="553"/>
      <c r="W18" s="553"/>
      <c r="X18" s="553"/>
      <c r="Y18" s="553"/>
      <c r="Z18" s="553"/>
      <c r="AA18" s="553"/>
    </row>
    <row r="19" spans="2:39" ht="6" customHeight="1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</row>
    <row r="20" spans="2:39" ht="6" customHeight="1">
      <c r="C20" s="11"/>
      <c r="D20" s="11"/>
      <c r="E20" s="11"/>
    </row>
    <row r="21" spans="2:39" ht="17.25" customHeight="1">
      <c r="B21" s="11" t="s">
        <v>61</v>
      </c>
      <c r="C21" s="11"/>
      <c r="I21" s="11" t="s">
        <v>54</v>
      </c>
      <c r="J21" s="553" t="str">
        <f>IF(Page1!AO5="","",Page1!AO5)</f>
        <v/>
      </c>
      <c r="K21" s="553"/>
      <c r="L21" s="553"/>
      <c r="M21" s="553"/>
      <c r="N21" s="553"/>
      <c r="O21" s="553"/>
      <c r="P21" s="553"/>
      <c r="Q21" s="553"/>
      <c r="R21" s="553"/>
      <c r="S21" s="553"/>
      <c r="T21" s="553"/>
      <c r="U21" s="553"/>
      <c r="V21" s="553"/>
      <c r="W21" s="553"/>
      <c r="X21" s="553"/>
      <c r="Y21" s="553"/>
    </row>
    <row r="22" spans="2:39" ht="17.25" customHeight="1">
      <c r="B22" s="11" t="s">
        <v>62</v>
      </c>
      <c r="C22" s="11"/>
      <c r="I22" s="11" t="s">
        <v>54</v>
      </c>
      <c r="J22" s="556" t="str">
        <f>IF(Page1!I16="","",Page1!I16)</f>
        <v/>
      </c>
      <c r="K22" s="556"/>
      <c r="L22" s="556"/>
      <c r="M22" s="556"/>
      <c r="N22" s="556"/>
      <c r="O22" s="556"/>
      <c r="P22" s="556"/>
      <c r="Q22" s="556"/>
      <c r="R22" s="556"/>
      <c r="S22" s="556"/>
      <c r="T22" s="556"/>
      <c r="U22" s="556"/>
      <c r="V22" s="556"/>
      <c r="W22" s="556"/>
      <c r="X22" s="556"/>
      <c r="Y22" s="556"/>
    </row>
    <row r="23" spans="2:39" ht="17.25" customHeight="1">
      <c r="B23" s="11" t="s">
        <v>63</v>
      </c>
      <c r="C23" s="11"/>
      <c r="D23" s="11"/>
      <c r="E23" s="11"/>
      <c r="F23" s="11"/>
      <c r="G23" s="11"/>
      <c r="I23" s="11" t="s">
        <v>54</v>
      </c>
      <c r="J23" s="556" t="str">
        <f>IF(Page1!I17="","",Page1!I17)</f>
        <v/>
      </c>
      <c r="K23" s="556"/>
      <c r="L23" s="556"/>
      <c r="M23" s="556"/>
      <c r="N23" s="556"/>
      <c r="O23" s="556"/>
      <c r="P23" s="556"/>
      <c r="Q23" s="556"/>
      <c r="R23" s="556"/>
      <c r="S23" s="556"/>
      <c r="T23" s="556"/>
      <c r="U23" s="556"/>
      <c r="V23" s="556"/>
      <c r="W23" s="556"/>
      <c r="X23" s="556"/>
      <c r="Y23" s="556"/>
    </row>
    <row r="24" spans="2:39" ht="17.25" customHeight="1">
      <c r="B24" s="11" t="s">
        <v>60</v>
      </c>
      <c r="C24" s="11"/>
      <c r="I24" s="11" t="s">
        <v>54</v>
      </c>
      <c r="J24" s="556" t="str">
        <f ca="1">IF(Page1!$I$18="","",Page1!$I$18)</f>
        <v/>
      </c>
      <c r="K24" s="556"/>
      <c r="L24" s="556"/>
      <c r="M24" s="556"/>
      <c r="N24" s="556"/>
      <c r="O24" s="556"/>
      <c r="P24" s="556"/>
      <c r="Q24" s="556"/>
      <c r="R24" s="556"/>
      <c r="S24" s="556"/>
      <c r="T24" s="556"/>
      <c r="U24" s="556"/>
      <c r="V24" s="556"/>
      <c r="W24" s="556"/>
      <c r="X24" s="556"/>
      <c r="Y24" s="556"/>
    </row>
    <row r="25" spans="2:39" ht="6.75" customHeight="1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</row>
    <row r="26" spans="2:39" ht="6" customHeight="1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2:39" ht="18" customHeight="1">
      <c r="B27" s="30" t="s">
        <v>30</v>
      </c>
      <c r="C27" s="30"/>
      <c r="D27" s="15"/>
      <c r="E27" s="15"/>
      <c r="F27" s="15"/>
      <c r="G27" s="15"/>
      <c r="H27" s="15"/>
      <c r="I27" s="13" t="s">
        <v>54</v>
      </c>
      <c r="J27" s="20" t="s">
        <v>64</v>
      </c>
      <c r="K27" s="20"/>
      <c r="L27" s="20"/>
      <c r="M27" s="20"/>
      <c r="N27" s="20"/>
      <c r="O27" s="20"/>
      <c r="P27" s="20"/>
      <c r="Q27" s="12"/>
      <c r="R27" s="12"/>
      <c r="S27" s="10" t="s">
        <v>456</v>
      </c>
      <c r="T27" s="6"/>
      <c r="U27" s="6"/>
      <c r="V27" s="6"/>
      <c r="W27" s="6"/>
      <c r="X27" s="11"/>
      <c r="Y27" s="11"/>
      <c r="Z27" s="11"/>
      <c r="AA27" s="11"/>
      <c r="AB27" s="11"/>
    </row>
    <row r="28" spans="2:39" ht="18" customHeight="1">
      <c r="B28" s="12"/>
      <c r="C28" s="12"/>
      <c r="D28" s="12"/>
      <c r="E28" s="12"/>
      <c r="F28" s="12"/>
      <c r="G28" s="12"/>
      <c r="H28" s="12"/>
      <c r="I28" s="12"/>
      <c r="J28" s="553" t="s">
        <v>40</v>
      </c>
      <c r="K28" s="553"/>
      <c r="L28" s="553"/>
      <c r="M28" s="553"/>
      <c r="N28" s="553"/>
      <c r="O28" s="553"/>
      <c r="P28" s="553"/>
      <c r="Q28" s="553"/>
      <c r="R28" s="12"/>
      <c r="S28" s="32" t="s">
        <v>88</v>
      </c>
      <c r="T28" s="31"/>
      <c r="U28" s="31"/>
      <c r="V28" s="31"/>
      <c r="W28" s="31"/>
    </row>
    <row r="29" spans="2:39" ht="6" customHeight="1">
      <c r="B29" s="17"/>
      <c r="C29" s="17"/>
      <c r="D29" s="17"/>
      <c r="E29" s="17"/>
      <c r="F29" s="17"/>
      <c r="G29" s="17"/>
      <c r="H29" s="17"/>
      <c r="I29" s="17"/>
      <c r="J29" s="18"/>
      <c r="K29" s="18"/>
      <c r="L29" s="18"/>
      <c r="M29" s="18"/>
      <c r="N29" s="18"/>
      <c r="O29" s="18"/>
      <c r="P29" s="18"/>
      <c r="Q29" s="17"/>
      <c r="R29" s="19"/>
      <c r="S29" s="19"/>
      <c r="T29" s="19"/>
      <c r="U29" s="19"/>
      <c r="V29" s="19"/>
      <c r="W29" s="17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</row>
    <row r="30" spans="2:39" ht="6" customHeight="1">
      <c r="J30" s="20"/>
      <c r="K30" s="20"/>
      <c r="L30" s="20"/>
      <c r="M30" s="20"/>
      <c r="N30" s="20"/>
      <c r="O30" s="20"/>
      <c r="P30" s="20"/>
      <c r="R30" s="21"/>
      <c r="S30" s="21"/>
      <c r="T30" s="21"/>
      <c r="U30" s="21"/>
      <c r="V30" s="21"/>
    </row>
    <row r="31" spans="2:39" ht="17.25" customHeight="1">
      <c r="B31" s="552" t="s">
        <v>384</v>
      </c>
      <c r="C31" s="553"/>
      <c r="D31" s="553"/>
      <c r="E31" s="553"/>
      <c r="F31" s="553"/>
      <c r="G31" s="553"/>
      <c r="H31" s="553"/>
      <c r="I31" s="553"/>
      <c r="J31" s="553"/>
      <c r="K31" s="553"/>
      <c r="L31" s="553"/>
      <c r="M31" s="553"/>
      <c r="N31" s="553"/>
      <c r="O31" s="553"/>
      <c r="P31" s="553"/>
      <c r="Q31" s="553"/>
      <c r="R31" s="553"/>
      <c r="S31" s="553"/>
      <c r="T31" s="553"/>
      <c r="U31" s="553"/>
      <c r="V31" s="553"/>
      <c r="W31" s="553"/>
      <c r="X31" s="553"/>
      <c r="Y31" s="553"/>
      <c r="Z31" s="553"/>
      <c r="AA31" s="553"/>
      <c r="AB31" s="553"/>
      <c r="AC31" s="553"/>
      <c r="AD31" s="553"/>
      <c r="AE31" s="553"/>
      <c r="AF31" s="553"/>
      <c r="AG31" s="553"/>
      <c r="AH31" s="553"/>
      <c r="AI31" s="553"/>
      <c r="AJ31" s="553"/>
      <c r="AK31" s="553"/>
      <c r="AL31" s="553"/>
      <c r="AM31" s="553"/>
    </row>
    <row r="32" spans="2:39" ht="17.25" customHeight="1">
      <c r="B32" s="30" t="s">
        <v>78</v>
      </c>
    </row>
    <row r="33" spans="1:39" ht="17.25" customHeight="1">
      <c r="B33" s="9"/>
      <c r="C33" s="6" t="s">
        <v>386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</row>
    <row r="34" spans="1:39" ht="17.25" customHeight="1">
      <c r="B34" s="9" t="s">
        <v>385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</row>
    <row r="35" spans="1:39" ht="6" customHeight="1">
      <c r="B35" s="22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22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</row>
    <row r="36" spans="1:39" ht="6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</row>
    <row r="37" spans="1:39" ht="18" customHeight="1">
      <c r="A37" s="12"/>
      <c r="B37" s="552" t="s">
        <v>41</v>
      </c>
      <c r="C37" s="552"/>
      <c r="D37" s="552"/>
      <c r="E37" s="552"/>
      <c r="F37" s="552"/>
      <c r="G37" s="552"/>
      <c r="H37" s="552"/>
      <c r="I37" s="552"/>
      <c r="J37" s="552"/>
      <c r="K37" s="552"/>
      <c r="L37" s="552"/>
      <c r="M37" s="55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L37" s="23"/>
      <c r="AM37" s="23"/>
    </row>
    <row r="38" spans="1:39" ht="18" customHeight="1">
      <c r="A38" s="12"/>
      <c r="B38" s="6"/>
      <c r="C38" s="6" t="s">
        <v>68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9" ht="18" customHeight="1">
      <c r="A39" s="12"/>
      <c r="B39" s="6" t="s">
        <v>70</v>
      </c>
      <c r="C39" s="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9" ht="18" customHeight="1">
      <c r="A40" s="12"/>
      <c r="B40" s="6" t="s">
        <v>69</v>
      </c>
      <c r="C40" s="6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9" ht="6" customHeight="1"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</row>
    <row r="42" spans="1:39" ht="25.5" customHeight="1"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8"/>
      <c r="AM42" s="38"/>
    </row>
    <row r="43" spans="1:39" ht="15.75" customHeight="1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24"/>
      <c r="AM43" s="24"/>
    </row>
    <row r="44" spans="1:39" ht="12.75" customHeight="1">
      <c r="B44" s="12"/>
      <c r="C44" s="12"/>
      <c r="D44" s="96" t="str">
        <f>IF(Page1!F37="","",VLOOKUP(Page1!F37,Data!H3:I18,2,FALSE))</f>
        <v/>
      </c>
      <c r="E44" s="14"/>
      <c r="F44" s="14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2"/>
      <c r="R44" s="12"/>
      <c r="S44" s="12"/>
      <c r="T44" s="12"/>
      <c r="U44" s="12"/>
      <c r="V44" s="12"/>
      <c r="W44" s="66" t="str">
        <f>IF(Page1!AC37="","",VLOOKUP(Page1!AC37,Data!H3:I18,2,FALSE))</f>
        <v/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2"/>
      <c r="AK44" s="12"/>
      <c r="AL44" s="12"/>
      <c r="AM44" s="12"/>
    </row>
    <row r="45" spans="1:39" ht="17.25" customHeight="1">
      <c r="B45" s="25"/>
      <c r="C45" s="12"/>
      <c r="D45" s="295" t="str">
        <f>"("&amp;" "&amp;Page1!F37&amp;" "&amp;")"</f>
        <v>(  )</v>
      </c>
      <c r="E45" s="295"/>
      <c r="F45" s="295"/>
      <c r="G45" s="295"/>
      <c r="H45" s="295"/>
      <c r="I45" s="295"/>
      <c r="J45" s="295"/>
      <c r="K45" s="295"/>
      <c r="L45" s="295"/>
      <c r="M45" s="295"/>
      <c r="N45" s="295"/>
      <c r="O45" s="295"/>
      <c r="P45" s="295"/>
      <c r="W45" s="295" t="str">
        <f>"("&amp;" "&amp;Page1!AC37&amp;" "&amp;")"</f>
        <v>(  )</v>
      </c>
      <c r="X45" s="295"/>
      <c r="Y45" s="295"/>
      <c r="Z45" s="295"/>
      <c r="AA45" s="295"/>
      <c r="AB45" s="295"/>
      <c r="AC45" s="295"/>
      <c r="AD45" s="295"/>
      <c r="AE45" s="295"/>
      <c r="AF45" s="295"/>
      <c r="AG45" s="295"/>
      <c r="AH45" s="295"/>
      <c r="AI45" s="295"/>
      <c r="AJ45" s="12"/>
      <c r="AK45" s="12"/>
      <c r="AL45" s="12"/>
      <c r="AM45" s="12"/>
    </row>
    <row r="46" spans="1:39" ht="17.25" customHeight="1">
      <c r="B46" s="25"/>
      <c r="C46" s="12"/>
      <c r="E46" s="251" t="s">
        <v>66</v>
      </c>
      <c r="F46" s="251"/>
      <c r="G46" s="251"/>
      <c r="H46" s="251"/>
      <c r="I46" s="251"/>
      <c r="J46" s="251"/>
      <c r="K46" s="251"/>
      <c r="L46" s="251"/>
      <c r="M46" s="251"/>
      <c r="N46" s="251"/>
      <c r="O46" s="251"/>
      <c r="X46" s="251" t="s">
        <v>67</v>
      </c>
      <c r="Y46" s="251"/>
      <c r="Z46" s="251"/>
      <c r="AA46" s="251"/>
      <c r="AB46" s="251"/>
      <c r="AC46" s="251"/>
      <c r="AD46" s="251"/>
      <c r="AE46" s="251"/>
      <c r="AF46" s="251"/>
      <c r="AG46" s="251"/>
      <c r="AH46" s="251"/>
      <c r="AJ46" s="12"/>
      <c r="AK46" s="12"/>
      <c r="AL46" s="12"/>
      <c r="AM46" s="12"/>
    </row>
    <row r="47" spans="1:39" ht="6" customHeight="1">
      <c r="B47" s="25"/>
      <c r="C47" s="12"/>
      <c r="D47" s="12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12"/>
      <c r="P47" s="12"/>
      <c r="Q47" s="12"/>
      <c r="R47" s="12"/>
      <c r="S47" s="12"/>
      <c r="T47" s="12"/>
      <c r="U47" s="12"/>
      <c r="V47" s="12"/>
      <c r="W47" s="12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12"/>
      <c r="AI47" s="12"/>
      <c r="AJ47" s="12"/>
      <c r="AK47" s="12"/>
      <c r="AL47" s="12"/>
      <c r="AM47" s="12"/>
    </row>
    <row r="48" spans="1:39" ht="17.25" customHeight="1">
      <c r="B48" s="29"/>
      <c r="C48" s="6" t="s">
        <v>90</v>
      </c>
      <c r="D48" s="12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12"/>
      <c r="P48" s="12"/>
      <c r="Q48" s="12"/>
      <c r="R48" s="12"/>
      <c r="S48" s="12"/>
      <c r="T48" s="12"/>
      <c r="U48" s="12"/>
      <c r="V48" s="12"/>
      <c r="W48" s="12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12"/>
      <c r="AI48" s="12"/>
      <c r="AJ48" s="12"/>
      <c r="AK48" s="12"/>
      <c r="AL48" s="12"/>
      <c r="AM48" s="12"/>
    </row>
    <row r="49" spans="1:39" ht="17.25" customHeight="1">
      <c r="B49" s="29" t="s">
        <v>100</v>
      </c>
      <c r="C49" s="6"/>
      <c r="D49" s="12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12"/>
      <c r="P49" s="12"/>
      <c r="Q49" s="12"/>
      <c r="R49" s="12"/>
      <c r="S49" s="12"/>
      <c r="T49" s="12"/>
      <c r="U49" s="12"/>
      <c r="V49" s="12"/>
      <c r="W49" s="12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12"/>
      <c r="AI49" s="12"/>
      <c r="AJ49" s="12"/>
      <c r="AK49" s="12"/>
      <c r="AL49" s="12"/>
      <c r="AM49" s="12"/>
    </row>
    <row r="50" spans="1:39" ht="6" customHeight="1">
      <c r="B50" s="26"/>
      <c r="C50" s="17"/>
      <c r="D50" s="1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17"/>
      <c r="P50" s="17"/>
      <c r="Q50" s="17"/>
      <c r="R50" s="17"/>
      <c r="S50" s="17"/>
      <c r="T50" s="17"/>
      <c r="U50" s="17"/>
      <c r="V50" s="17"/>
      <c r="W50" s="1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17"/>
      <c r="AI50" s="17"/>
      <c r="AJ50" s="17"/>
      <c r="AK50" s="17"/>
      <c r="AL50" s="17"/>
      <c r="AM50" s="17"/>
    </row>
    <row r="51" spans="1:39" ht="6" customHeight="1">
      <c r="B51" s="25"/>
      <c r="C51" s="12"/>
      <c r="D51" s="12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12"/>
      <c r="P51" s="12"/>
      <c r="Q51" s="12"/>
      <c r="R51" s="12"/>
      <c r="S51" s="12"/>
      <c r="T51" s="12"/>
      <c r="U51" s="12"/>
      <c r="V51" s="12"/>
      <c r="W51" s="12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12"/>
      <c r="AI51" s="12"/>
      <c r="AJ51" s="12"/>
      <c r="AK51" s="12"/>
      <c r="AL51" s="12"/>
      <c r="AM51" s="12"/>
    </row>
    <row r="52" spans="1:39" ht="17.25" customHeight="1">
      <c r="B52" s="29"/>
      <c r="C52" s="6" t="s">
        <v>72</v>
      </c>
      <c r="D52" s="6"/>
      <c r="E52" s="8"/>
      <c r="F52" s="8"/>
      <c r="G52" s="8"/>
      <c r="H52" s="8"/>
      <c r="I52" s="8"/>
      <c r="J52" s="8"/>
      <c r="K52" s="8"/>
      <c r="L52" s="8"/>
      <c r="M52" s="8"/>
      <c r="N52" s="8"/>
      <c r="O52" s="6"/>
      <c r="P52" s="6"/>
      <c r="Q52" s="6"/>
      <c r="R52" s="6"/>
      <c r="S52" s="6"/>
      <c r="T52" s="6"/>
      <c r="U52" s="6"/>
      <c r="V52" s="6"/>
      <c r="W52" s="6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6"/>
      <c r="AI52" s="6"/>
      <c r="AJ52" s="6"/>
      <c r="AK52" s="6"/>
      <c r="AL52" s="6"/>
      <c r="AM52" s="6"/>
    </row>
    <row r="53" spans="1:39" ht="17.25" customHeight="1">
      <c r="B53" s="29" t="s">
        <v>102</v>
      </c>
      <c r="C53" s="6"/>
      <c r="D53" s="6"/>
      <c r="E53" s="8"/>
      <c r="F53" s="8"/>
      <c r="G53" s="8"/>
      <c r="H53" s="8"/>
      <c r="I53" s="8"/>
      <c r="J53" s="8"/>
      <c r="K53" s="8"/>
      <c r="L53" s="8"/>
      <c r="M53" s="8"/>
      <c r="N53" s="8"/>
      <c r="O53" s="6"/>
      <c r="P53" s="6"/>
      <c r="Q53" s="6"/>
      <c r="R53" s="6"/>
      <c r="S53" s="6"/>
      <c r="T53" s="6"/>
      <c r="U53" s="6"/>
      <c r="V53" s="6"/>
      <c r="W53" s="6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6"/>
      <c r="AI53" s="6"/>
      <c r="AJ53" s="6"/>
      <c r="AK53" s="6"/>
      <c r="AL53" s="6"/>
      <c r="AM53" s="6"/>
    </row>
    <row r="54" spans="1:39" ht="6" customHeight="1">
      <c r="B54" s="29"/>
      <c r="C54" s="6"/>
      <c r="D54" s="6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12"/>
      <c r="P54" s="12"/>
      <c r="Q54" s="12"/>
      <c r="R54" s="12"/>
      <c r="S54" s="12"/>
      <c r="T54" s="12"/>
      <c r="U54" s="12"/>
      <c r="V54" s="12"/>
      <c r="W54" s="12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12"/>
      <c r="AI54" s="12"/>
      <c r="AJ54" s="12"/>
      <c r="AK54" s="12"/>
      <c r="AL54" s="12"/>
      <c r="AM54" s="12"/>
    </row>
    <row r="55" spans="1:39">
      <c r="B55" s="6" t="str">
        <f>IF(Page1!AO6="","","*This certificate is a revision of a calibration certificate No."&amp;Page1!AO4&amp;Page1!AR4&amp;" "&amp;IF(Page1!AO6&gt;1,"R"&amp;Page1!AO6-1,""))</f>
        <v/>
      </c>
    </row>
    <row r="56" spans="1:39">
      <c r="B56" s="6"/>
    </row>
    <row r="57" spans="1:39" ht="17.25" customHeight="1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283" t="s">
        <v>38</v>
      </c>
      <c r="AA57" s="283"/>
      <c r="AB57" s="283"/>
      <c r="AC57" s="283"/>
      <c r="AD57" s="283"/>
      <c r="AE57" s="283"/>
      <c r="AF57" s="283"/>
      <c r="AG57" s="283"/>
      <c r="AH57" s="283"/>
      <c r="AI57" s="251" t="str">
        <f>AI9</f>
        <v xml:space="preserve"> /69 </v>
      </c>
      <c r="AJ57" s="251"/>
      <c r="AK57" s="251"/>
      <c r="AL57" s="251"/>
      <c r="AM57" s="251"/>
    </row>
    <row r="58" spans="1:39" ht="17.25" customHeight="1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283" t="s">
        <v>42</v>
      </c>
      <c r="AB58" s="283"/>
      <c r="AC58" s="283"/>
      <c r="AD58" s="283"/>
      <c r="AE58" s="283"/>
      <c r="AF58" s="283"/>
      <c r="AG58" s="283"/>
      <c r="AH58" s="283"/>
      <c r="AI58" s="251" t="s">
        <v>80</v>
      </c>
      <c r="AJ58" s="251"/>
      <c r="AK58" s="251"/>
      <c r="AL58" s="251"/>
      <c r="AM58" s="251"/>
    </row>
    <row r="59" spans="1:39" ht="18" customHeight="1">
      <c r="B59" s="11" t="s">
        <v>73</v>
      </c>
    </row>
    <row r="60" spans="1:39" ht="18" customHeight="1">
      <c r="B60" s="92" t="s">
        <v>74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580" t="s">
        <v>76</v>
      </c>
      <c r="T60" s="580"/>
      <c r="U60" s="580"/>
      <c r="V60" s="580"/>
      <c r="W60" s="580"/>
      <c r="X60" s="580"/>
      <c r="Y60" s="580"/>
      <c r="Z60" s="580"/>
      <c r="AA60" s="580" t="s">
        <v>43</v>
      </c>
      <c r="AB60" s="580"/>
      <c r="AC60" s="580"/>
      <c r="AD60" s="580"/>
      <c r="AE60" s="580"/>
      <c r="AF60" s="580"/>
      <c r="AG60" s="580"/>
      <c r="AH60" s="580" t="s">
        <v>77</v>
      </c>
      <c r="AI60" s="580"/>
      <c r="AJ60" s="580"/>
      <c r="AK60" s="580"/>
      <c r="AL60" s="580"/>
      <c r="AM60" s="580"/>
    </row>
    <row r="61" spans="1:39" ht="18" customHeight="1">
      <c r="B61" s="93" t="str">
        <f>IF(Page1!I22="","",Page1!I22)</f>
        <v/>
      </c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578" t="str">
        <f>IF(Page1!AF22="","",Page1!AF22)</f>
        <v/>
      </c>
      <c r="T61" s="578"/>
      <c r="U61" s="578"/>
      <c r="V61" s="578"/>
      <c r="W61" s="578"/>
      <c r="X61" s="578"/>
      <c r="Y61" s="578"/>
      <c r="Z61" s="578"/>
      <c r="AA61" s="578" t="str">
        <f>IF(S61="","",VLOOKUP(S61,STD!E:G,3,0))</f>
        <v/>
      </c>
      <c r="AB61" s="578"/>
      <c r="AC61" s="578"/>
      <c r="AD61" s="578"/>
      <c r="AE61" s="578"/>
      <c r="AF61" s="578"/>
      <c r="AG61" s="578"/>
      <c r="AH61" s="581" t="str">
        <f>IF(Page1!AN22="","",Page1!AN22)</f>
        <v/>
      </c>
      <c r="AI61" s="581"/>
      <c r="AJ61" s="581"/>
      <c r="AK61" s="581"/>
      <c r="AL61" s="581"/>
      <c r="AM61" s="581"/>
    </row>
    <row r="62" spans="1:39" ht="18" customHeight="1">
      <c r="B62" s="94" t="str">
        <f>IF(Page1!$I$23="","",Page1!$I$23)</f>
        <v/>
      </c>
      <c r="C62" s="36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579" t="str">
        <f>IF(Page1!AF23="","",Page1!AF23)</f>
        <v/>
      </c>
      <c r="T62" s="579"/>
      <c r="U62" s="579"/>
      <c r="V62" s="579"/>
      <c r="W62" s="579"/>
      <c r="X62" s="579"/>
      <c r="Y62" s="579"/>
      <c r="Z62" s="579"/>
      <c r="AA62" s="579" t="str">
        <f>IF(S62="","",VLOOKUP(S62,STD!E:G,3,0))</f>
        <v/>
      </c>
      <c r="AB62" s="579"/>
      <c r="AC62" s="579"/>
      <c r="AD62" s="579"/>
      <c r="AE62" s="579"/>
      <c r="AF62" s="579"/>
      <c r="AG62" s="579"/>
      <c r="AH62" s="582" t="str">
        <f>IF(Page1!AN23="","",Page1!AN23)</f>
        <v/>
      </c>
      <c r="AI62" s="582"/>
      <c r="AJ62" s="582"/>
      <c r="AK62" s="582"/>
      <c r="AL62" s="582"/>
      <c r="AM62" s="582"/>
    </row>
    <row r="63" spans="1:39" ht="6" customHeight="1">
      <c r="B63" s="1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6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</row>
    <row r="64" spans="1:39" s="102" customFormat="1" ht="16.5" customHeight="1">
      <c r="A64" s="99"/>
      <c r="B64" s="100" t="s">
        <v>91</v>
      </c>
      <c r="C64" s="99"/>
      <c r="D64" s="99"/>
      <c r="E64" s="99"/>
      <c r="F64" s="99"/>
      <c r="G64" s="99"/>
      <c r="H64" s="99"/>
      <c r="I64" s="99"/>
      <c r="J64" s="99"/>
      <c r="K64" s="101" t="s">
        <v>29</v>
      </c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9"/>
      <c r="AM64" s="99"/>
    </row>
    <row r="65" spans="1:39" s="102" customFormat="1" ht="16.5" customHeight="1">
      <c r="A65" s="99"/>
      <c r="B65" s="20" t="s">
        <v>374</v>
      </c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 t="str">
        <f>IF(Page1!AE13="","",Page1!AE13)</f>
        <v>Thermocouple type K</v>
      </c>
      <c r="P65" s="10"/>
      <c r="Q65" s="10"/>
      <c r="R65" s="10"/>
      <c r="S65" s="10"/>
      <c r="T65" s="10"/>
      <c r="U65" s="10"/>
      <c r="V65" s="10"/>
      <c r="W65" s="10"/>
      <c r="X65" s="23"/>
      <c r="Y65" s="23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</row>
    <row r="66" spans="1:39" s="102" customFormat="1" ht="16.5" customHeight="1">
      <c r="A66" s="99"/>
      <c r="B66" s="34" t="s">
        <v>373</v>
      </c>
      <c r="C66" s="10"/>
      <c r="D66" s="10"/>
      <c r="E66" s="10"/>
      <c r="F66" s="10"/>
      <c r="G66" s="10"/>
      <c r="H66" s="10"/>
      <c r="I66" s="10" t="str">
        <f>IF(Page1!AL16="","",Page1!AL16)&amp;" cm."</f>
        <v xml:space="preserve"> cm.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23"/>
      <c r="Y66" s="23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</row>
    <row r="67" spans="1:39" s="102" customFormat="1" ht="16.5" customHeight="1" thickBot="1">
      <c r="A67" s="99"/>
      <c r="B67" s="11" t="s">
        <v>31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23"/>
      <c r="W67" s="23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"/>
      <c r="AM67" s="1"/>
    </row>
    <row r="68" spans="1:39" s="102" customFormat="1" ht="16.5" customHeight="1" thickBot="1">
      <c r="A68" s="99"/>
      <c r="B68" s="561" t="s">
        <v>491</v>
      </c>
      <c r="C68" s="562"/>
      <c r="D68" s="562"/>
      <c r="E68" s="562"/>
      <c r="F68" s="562"/>
      <c r="G68" s="562"/>
      <c r="H68" s="562"/>
      <c r="I68" s="562"/>
      <c r="J68" s="562"/>
      <c r="K68" s="562"/>
      <c r="L68" s="562"/>
      <c r="M68" s="562"/>
      <c r="N68" s="562"/>
      <c r="O68" s="562"/>
      <c r="P68" s="562"/>
      <c r="Q68" s="562"/>
      <c r="R68" s="562"/>
      <c r="S68" s="562"/>
      <c r="T68" s="562"/>
      <c r="U68" s="562"/>
      <c r="V68" s="562"/>
      <c r="W68" s="562"/>
      <c r="X68" s="562"/>
      <c r="Y68" s="562"/>
      <c r="Z68" s="562"/>
      <c r="AA68" s="562"/>
      <c r="AB68" s="562"/>
      <c r="AC68" s="562"/>
      <c r="AD68" s="562"/>
      <c r="AE68" s="562"/>
      <c r="AF68" s="562"/>
      <c r="AG68" s="562"/>
      <c r="AH68" s="562"/>
      <c r="AI68" s="562"/>
      <c r="AJ68" s="562"/>
      <c r="AK68" s="562"/>
      <c r="AL68" s="562"/>
      <c r="AM68" s="563"/>
    </row>
    <row r="69" spans="1:39" s="102" customFormat="1" ht="16.5" customHeight="1" thickBot="1">
      <c r="A69" s="99"/>
      <c r="B69" s="564" t="s">
        <v>375</v>
      </c>
      <c r="C69" s="565"/>
      <c r="D69" s="565"/>
      <c r="E69" s="565"/>
      <c r="F69" s="565"/>
      <c r="G69" s="565"/>
      <c r="H69" s="566"/>
      <c r="I69" s="567" t="s">
        <v>376</v>
      </c>
      <c r="J69" s="567"/>
      <c r="K69" s="567"/>
      <c r="L69" s="567"/>
      <c r="M69" s="567"/>
      <c r="N69" s="567"/>
      <c r="O69" s="567"/>
      <c r="P69" s="567"/>
      <c r="Q69" s="567"/>
      <c r="R69" s="567"/>
      <c r="S69" s="567"/>
      <c r="T69" s="567"/>
      <c r="U69" s="567"/>
      <c r="V69" s="567"/>
      <c r="W69" s="567"/>
      <c r="X69" s="567"/>
      <c r="Y69" s="567"/>
      <c r="Z69" s="567"/>
      <c r="AA69" s="567"/>
      <c r="AB69" s="567"/>
      <c r="AC69" s="567"/>
      <c r="AD69" s="564" t="s">
        <v>377</v>
      </c>
      <c r="AE69" s="565"/>
      <c r="AF69" s="565"/>
      <c r="AG69" s="565"/>
      <c r="AH69" s="566"/>
      <c r="AI69" s="564" t="s">
        <v>32</v>
      </c>
      <c r="AJ69" s="565"/>
      <c r="AK69" s="565"/>
      <c r="AL69" s="565"/>
      <c r="AM69" s="566"/>
    </row>
    <row r="70" spans="1:39" s="102" customFormat="1" ht="16.5" customHeight="1" thickBot="1">
      <c r="A70" s="99"/>
      <c r="B70" s="568" t="s">
        <v>378</v>
      </c>
      <c r="C70" s="569"/>
      <c r="D70" s="569"/>
      <c r="E70" s="569"/>
      <c r="F70" s="569"/>
      <c r="G70" s="569"/>
      <c r="H70" s="570"/>
      <c r="I70" s="571" t="s">
        <v>379</v>
      </c>
      <c r="J70" s="571"/>
      <c r="K70" s="571"/>
      <c r="L70" s="571"/>
      <c r="M70" s="571"/>
      <c r="N70" s="571"/>
      <c r="O70" s="571"/>
      <c r="P70" s="571" t="s">
        <v>380</v>
      </c>
      <c r="Q70" s="571"/>
      <c r="R70" s="571"/>
      <c r="S70" s="571"/>
      <c r="T70" s="571"/>
      <c r="U70" s="571"/>
      <c r="V70" s="571"/>
      <c r="W70" s="571" t="s">
        <v>79</v>
      </c>
      <c r="X70" s="571"/>
      <c r="Y70" s="571"/>
      <c r="Z70" s="571"/>
      <c r="AA70" s="571"/>
      <c r="AB70" s="571"/>
      <c r="AC70" s="571"/>
      <c r="AD70" s="572" t="s">
        <v>381</v>
      </c>
      <c r="AE70" s="573"/>
      <c r="AF70" s="573"/>
      <c r="AG70" s="573"/>
      <c r="AH70" s="574"/>
      <c r="AI70" s="572" t="s">
        <v>89</v>
      </c>
      <c r="AJ70" s="573"/>
      <c r="AK70" s="573"/>
      <c r="AL70" s="573"/>
      <c r="AM70" s="574"/>
    </row>
    <row r="71" spans="1:39" s="102" customFormat="1" ht="16.5" customHeight="1">
      <c r="A71" s="99"/>
      <c r="B71" s="550" t="str">
        <f>'Cal Ref'!$F$36</f>
        <v/>
      </c>
      <c r="C71" s="550"/>
      <c r="D71" s="550"/>
      <c r="E71" s="550"/>
      <c r="F71" s="550"/>
      <c r="G71" s="550"/>
      <c r="H71" s="550"/>
      <c r="I71" s="550" t="str">
        <f>'Cal Ref'!$I$7</f>
        <v>P1</v>
      </c>
      <c r="J71" s="550"/>
      <c r="K71" s="550"/>
      <c r="L71" s="550"/>
      <c r="M71" s="550"/>
      <c r="N71" s="550"/>
      <c r="O71" s="550"/>
      <c r="P71" s="550">
        <f>IF('Cal Ref'!$BB$6=TRUE,"-",'Cal Ref'!$AB$5)</f>
        <v>0</v>
      </c>
      <c r="Q71" s="550"/>
      <c r="R71" s="550"/>
      <c r="S71" s="550"/>
      <c r="T71" s="550"/>
      <c r="U71" s="550"/>
      <c r="V71" s="550"/>
      <c r="W71" s="550" t="str">
        <f>'Cal Ref'!$J$36</f>
        <v/>
      </c>
      <c r="X71" s="550"/>
      <c r="Y71" s="550"/>
      <c r="Z71" s="550"/>
      <c r="AA71" s="550"/>
      <c r="AB71" s="550"/>
      <c r="AC71" s="550"/>
      <c r="AD71" s="551" t="e">
        <f>B71-W71</f>
        <v>#VALUE!</v>
      </c>
      <c r="AE71" s="551"/>
      <c r="AF71" s="551"/>
      <c r="AG71" s="551"/>
      <c r="AH71" s="551"/>
      <c r="AI71" s="576" t="str">
        <f>'Cal Ref'!$J$40</f>
        <v>-</v>
      </c>
      <c r="AJ71" s="576"/>
      <c r="AK71" s="576"/>
      <c r="AL71" s="576"/>
      <c r="AM71" s="576"/>
    </row>
    <row r="72" spans="1:39" s="102" customFormat="1" ht="16.5" customHeight="1">
      <c r="A72" s="99"/>
      <c r="B72" s="548">
        <f>'Cal 1'!$BA$20</f>
        <v>0</v>
      </c>
      <c r="C72" s="548"/>
      <c r="D72" s="548"/>
      <c r="E72" s="548"/>
      <c r="F72" s="548"/>
      <c r="G72" s="548"/>
      <c r="H72" s="548"/>
      <c r="I72" s="548" t="str">
        <f>'Cal Ref'!$I$7</f>
        <v>P1</v>
      </c>
      <c r="J72" s="548"/>
      <c r="K72" s="548"/>
      <c r="L72" s="548"/>
      <c r="M72" s="548"/>
      <c r="N72" s="548"/>
      <c r="O72" s="548"/>
      <c r="P72" s="548">
        <f>IF('Cal Ref'!$BB$6=TRUE,"-",'Cal Ref'!$AB$5)</f>
        <v>0</v>
      </c>
      <c r="Q72" s="548"/>
      <c r="R72" s="548"/>
      <c r="S72" s="548"/>
      <c r="T72" s="548"/>
      <c r="U72" s="548"/>
      <c r="V72" s="548"/>
      <c r="W72" s="548">
        <f>'Cal 1'!$BA$23</f>
        <v>0</v>
      </c>
      <c r="X72" s="548"/>
      <c r="Y72" s="548"/>
      <c r="Z72" s="548"/>
      <c r="AA72" s="548"/>
      <c r="AB72" s="548"/>
      <c r="AC72" s="548"/>
      <c r="AD72" s="549">
        <f>B72-W72</f>
        <v>0</v>
      </c>
      <c r="AE72" s="549"/>
      <c r="AF72" s="549"/>
      <c r="AG72" s="549"/>
      <c r="AH72" s="549"/>
      <c r="AI72" s="584" t="e">
        <f>'Cal 1'!$AX$29</f>
        <v>#VALUE!</v>
      </c>
      <c r="AJ72" s="584"/>
      <c r="AK72" s="584"/>
      <c r="AL72" s="584"/>
      <c r="AM72" s="584"/>
    </row>
    <row r="73" spans="1:39" s="102" customFormat="1" ht="16.5" customHeight="1" thickBot="1">
      <c r="A73" s="99"/>
      <c r="B73" s="577"/>
      <c r="C73" s="577"/>
      <c r="D73" s="577"/>
      <c r="E73" s="577"/>
      <c r="F73" s="577"/>
      <c r="G73" s="577"/>
      <c r="H73" s="577"/>
      <c r="I73" s="577"/>
      <c r="J73" s="577"/>
      <c r="K73" s="577"/>
      <c r="L73" s="577"/>
      <c r="M73" s="577"/>
      <c r="N73" s="577"/>
      <c r="O73" s="577"/>
      <c r="P73" s="577"/>
      <c r="Q73" s="577"/>
      <c r="R73" s="577"/>
      <c r="S73" s="577"/>
      <c r="T73" s="577"/>
      <c r="U73" s="577"/>
      <c r="V73" s="577"/>
      <c r="W73" s="577"/>
      <c r="X73" s="577"/>
      <c r="Y73" s="577"/>
      <c r="Z73" s="577"/>
      <c r="AA73" s="577"/>
      <c r="AB73" s="577"/>
      <c r="AC73" s="577"/>
      <c r="AD73" s="583"/>
      <c r="AE73" s="583"/>
      <c r="AF73" s="583"/>
      <c r="AG73" s="583"/>
      <c r="AH73" s="583"/>
      <c r="AI73" s="575"/>
      <c r="AJ73" s="575"/>
      <c r="AK73" s="575"/>
      <c r="AL73" s="575"/>
      <c r="AM73" s="575"/>
    </row>
    <row r="74" spans="1:39" s="102" customFormat="1" ht="16.5" customHeight="1">
      <c r="A74" s="99"/>
      <c r="B74" s="2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23"/>
      <c r="Y74" s="23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</row>
    <row r="75" spans="1:39" s="102" customFormat="1" ht="16.5" customHeight="1">
      <c r="A75" s="99"/>
      <c r="B75" s="2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23"/>
      <c r="Y75" s="23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</row>
    <row r="76" spans="1:39" s="102" customFormat="1" ht="16.5" customHeight="1">
      <c r="A76" s="99"/>
      <c r="B76" s="2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23"/>
      <c r="Y76" s="23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</row>
    <row r="77" spans="1:39" s="102" customFormat="1" ht="16.5" customHeight="1">
      <c r="A77" s="99"/>
      <c r="B77" s="2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23"/>
      <c r="Y77" s="23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</row>
    <row r="78" spans="1:39" s="102" customFormat="1" ht="16.5" customHeight="1">
      <c r="A78" s="99"/>
      <c r="B78" s="2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23"/>
      <c r="Y78" s="23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</row>
    <row r="79" spans="1:39" s="102" customFormat="1" ht="16.5" customHeight="1">
      <c r="A79" s="99"/>
      <c r="B79" s="2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23"/>
      <c r="Y79" s="23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</row>
    <row r="80" spans="1:39" s="102" customFormat="1" ht="16.5" customHeight="1">
      <c r="A80" s="99"/>
      <c r="B80" s="2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23"/>
      <c r="Y80" s="23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</row>
    <row r="81" spans="1:39" s="102" customFormat="1" ht="16.5" customHeight="1">
      <c r="A81" s="99"/>
      <c r="B81" s="2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23"/>
      <c r="Y81" s="23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</row>
    <row r="82" spans="1:39" ht="16.5" customHeight="1">
      <c r="A82" s="560" t="s">
        <v>82</v>
      </c>
      <c r="B82" s="251"/>
      <c r="C82" s="251"/>
      <c r="D82" s="251"/>
      <c r="E82" s="251"/>
      <c r="F82" s="251"/>
      <c r="G82" s="251"/>
      <c r="H82" s="251"/>
      <c r="I82" s="251"/>
      <c r="J82" s="251"/>
      <c r="K82" s="251"/>
      <c r="L82" s="251"/>
      <c r="M82" s="251"/>
      <c r="N82" s="251"/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  <c r="AA82" s="251"/>
      <c r="AB82" s="251"/>
      <c r="AC82" s="251"/>
      <c r="AD82" s="251"/>
      <c r="AE82" s="251"/>
      <c r="AF82" s="251"/>
      <c r="AG82" s="251"/>
      <c r="AH82" s="251"/>
      <c r="AI82" s="251"/>
      <c r="AJ82" s="251"/>
      <c r="AK82" s="251"/>
      <c r="AL82" s="251"/>
      <c r="AM82" s="251"/>
    </row>
    <row r="83" spans="1:39" ht="16.5" customHeight="1"/>
    <row r="84" spans="1:39" ht="16.5" customHeight="1"/>
    <row r="85" spans="1:39" ht="16.5" customHeight="1"/>
    <row r="86" spans="1:39" ht="16.5" customHeight="1"/>
    <row r="87" spans="1:39" ht="16.5" customHeight="1"/>
    <row r="88" spans="1:39" ht="16.5" customHeight="1"/>
    <row r="89" spans="1:39" ht="16.5" customHeight="1"/>
    <row r="90" spans="1:39" ht="16.5" customHeight="1"/>
    <row r="91" spans="1:39" ht="16.5" customHeight="1"/>
    <row r="92" spans="1:39" ht="16.5" customHeight="1"/>
    <row r="93" spans="1:39" ht="16.5" customHeight="1"/>
    <row r="94" spans="1:39" ht="16.5" customHeight="1"/>
    <row r="95" spans="1:39" ht="16.5" customHeight="1"/>
    <row r="96" spans="1:39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</sheetData>
  <protectedRanges>
    <protectedRange sqref="K64" name="Range1_1_1"/>
  </protectedRanges>
  <mergeCells count="73">
    <mergeCell ref="P73:V73"/>
    <mergeCell ref="AI70:AM70"/>
    <mergeCell ref="B71:H71"/>
    <mergeCell ref="I71:O71"/>
    <mergeCell ref="W73:AC73"/>
    <mergeCell ref="AD73:AH73"/>
    <mergeCell ref="AI72:AM72"/>
    <mergeCell ref="B37:M37"/>
    <mergeCell ref="D45:P45"/>
    <mergeCell ref="AA58:AH58"/>
    <mergeCell ref="AI58:AM58"/>
    <mergeCell ref="S60:Z60"/>
    <mergeCell ref="Z57:AH57"/>
    <mergeCell ref="AI57:AM57"/>
    <mergeCell ref="X46:AH46"/>
    <mergeCell ref="E46:O46"/>
    <mergeCell ref="W45:AI45"/>
    <mergeCell ref="S61:Z61"/>
    <mergeCell ref="S62:Z62"/>
    <mergeCell ref="AA60:AG60"/>
    <mergeCell ref="AH60:AM60"/>
    <mergeCell ref="AA61:AG61"/>
    <mergeCell ref="AA62:AG62"/>
    <mergeCell ref="AH61:AM61"/>
    <mergeCell ref="AH62:AM62"/>
    <mergeCell ref="J11:AM11"/>
    <mergeCell ref="A82:AM82"/>
    <mergeCell ref="B68:AM68"/>
    <mergeCell ref="B69:H69"/>
    <mergeCell ref="I69:AC69"/>
    <mergeCell ref="AD69:AH69"/>
    <mergeCell ref="AI69:AM69"/>
    <mergeCell ref="B70:H70"/>
    <mergeCell ref="I70:O70"/>
    <mergeCell ref="P70:V70"/>
    <mergeCell ref="W70:AC70"/>
    <mergeCell ref="AD70:AH70"/>
    <mergeCell ref="AI73:AM73"/>
    <mergeCell ref="AI71:AM71"/>
    <mergeCell ref="B73:H73"/>
    <mergeCell ref="I73:O73"/>
    <mergeCell ref="J14:W14"/>
    <mergeCell ref="J24:Y24"/>
    <mergeCell ref="J28:Q28"/>
    <mergeCell ref="AI9:AM9"/>
    <mergeCell ref="AC10:AH10"/>
    <mergeCell ref="AI10:AM10"/>
    <mergeCell ref="J22:Y22"/>
    <mergeCell ref="J23:Y23"/>
    <mergeCell ref="AD15:AM15"/>
    <mergeCell ref="J21:Y21"/>
    <mergeCell ref="C18:AA18"/>
    <mergeCell ref="E9:K9"/>
    <mergeCell ref="J12:AM12"/>
    <mergeCell ref="J16:AM16"/>
    <mergeCell ref="Y9:AH9"/>
    <mergeCell ref="D10:I10"/>
    <mergeCell ref="H2:AB2"/>
    <mergeCell ref="H3:AH3"/>
    <mergeCell ref="H4:AB4"/>
    <mergeCell ref="B7:AM8"/>
    <mergeCell ref="B72:H72"/>
    <mergeCell ref="I72:O72"/>
    <mergeCell ref="P72:V72"/>
    <mergeCell ref="W72:AC72"/>
    <mergeCell ref="AD72:AH72"/>
    <mergeCell ref="P71:V71"/>
    <mergeCell ref="W71:AC71"/>
    <mergeCell ref="AD71:AH71"/>
    <mergeCell ref="B31:AM31"/>
    <mergeCell ref="AD14:AM14"/>
    <mergeCell ref="B13:F13"/>
    <mergeCell ref="J15:W15"/>
  </mergeCells>
  <phoneticPr fontId="8" type="noConversion"/>
  <conditionalFormatting sqref="C18">
    <cfRule type="cellIs" dxfId="1" priority="3" operator="equal">
      <formula>0</formula>
    </cfRule>
    <cfRule type="cellIs" dxfId="0" priority="4" operator="equal">
      <formula>0</formula>
    </cfRule>
  </conditionalFormatting>
  <printOptions horizontalCentered="1"/>
  <pageMargins left="0.27559055118110237" right="0.27559055118110237" top="0.23622047244094491" bottom="0.23622047244094491" header="0.31496062992125984" footer="0.19685039370078741"/>
  <pageSetup paperSize="9" orientation="portrait" r:id="rId1"/>
  <headerFooter>
    <oddFooter>&amp;L&amp;"TH Sarabun New,ธรรมดา"&amp;12FM-QP-13-01 R01 (26/09/65) P&amp;P/&amp;N</oddFooter>
  </headerFooter>
  <ignoredErrors>
    <ignoredError sqref="J2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C42"/>
  <sheetViews>
    <sheetView zoomScale="85" zoomScaleNormal="85" workbookViewId="0">
      <selection activeCell="W3" sqref="W3"/>
    </sheetView>
  </sheetViews>
  <sheetFormatPr defaultRowHeight="15.75"/>
  <cols>
    <col min="1" max="4" width="2.85546875" style="10" customWidth="1"/>
    <col min="5" max="46" width="2.7109375" style="10" customWidth="1"/>
    <col min="47" max="47" width="7.85546875" style="10" customWidth="1"/>
    <col min="48" max="48" width="13.7109375" style="10" customWidth="1"/>
    <col min="49" max="49" width="13" style="10" customWidth="1"/>
    <col min="50" max="50" width="13.28515625" style="10" customWidth="1"/>
    <col min="51" max="16384" width="9.140625" style="10"/>
  </cols>
  <sheetData>
    <row r="1" spans="1:55" ht="16.5" customHeight="1">
      <c r="B1" s="30"/>
      <c r="C1" s="30"/>
      <c r="D1" s="30"/>
      <c r="E1" s="30"/>
      <c r="F1" s="30"/>
      <c r="G1" s="30"/>
      <c r="H1" s="44"/>
      <c r="J1" s="30"/>
      <c r="K1" s="30"/>
      <c r="AB1" s="11"/>
      <c r="AC1" s="11"/>
      <c r="AF1" s="45"/>
      <c r="AL1" s="283" t="s">
        <v>5</v>
      </c>
      <c r="AM1" s="283"/>
      <c r="AN1" s="283"/>
      <c r="AO1" s="258">
        <v>1</v>
      </c>
      <c r="AP1" s="258"/>
      <c r="AQ1" s="45" t="s">
        <v>6</v>
      </c>
      <c r="AR1" s="284">
        <v>1</v>
      </c>
      <c r="AS1" s="284"/>
      <c r="AU1" s="11"/>
      <c r="AV1" s="11"/>
      <c r="AW1" s="11"/>
    </row>
    <row r="2" spans="1:55" ht="16.5" customHeight="1">
      <c r="B2" s="46"/>
      <c r="C2" s="46"/>
      <c r="D2" s="46"/>
      <c r="E2" s="46"/>
      <c r="F2" s="11"/>
      <c r="G2" s="46"/>
      <c r="H2" s="46"/>
      <c r="I2" s="46"/>
      <c r="J2" s="46"/>
      <c r="K2" s="46"/>
      <c r="AV2" s="23"/>
      <c r="AW2" s="23"/>
    </row>
    <row r="3" spans="1:55" ht="16.5" customHeight="1">
      <c r="A3" s="23"/>
      <c r="B3" s="23"/>
      <c r="C3" s="23"/>
      <c r="D3" s="23"/>
      <c r="E3" s="23"/>
      <c r="K3" s="23"/>
      <c r="AU3" s="23"/>
    </row>
    <row r="4" spans="1:55" ht="16.5" customHeight="1">
      <c r="A4" s="23"/>
      <c r="B4" s="23"/>
      <c r="C4" s="23"/>
      <c r="D4" s="23"/>
      <c r="E4" s="23"/>
      <c r="F4" s="11"/>
      <c r="H4" s="23"/>
      <c r="I4" s="23"/>
      <c r="J4" s="23"/>
      <c r="K4" s="23"/>
      <c r="W4" s="11"/>
      <c r="AI4" s="283" t="s">
        <v>7</v>
      </c>
      <c r="AJ4" s="283"/>
      <c r="AK4" s="283"/>
      <c r="AL4" s="283"/>
      <c r="AM4" s="283"/>
      <c r="AN4" s="283"/>
      <c r="AO4" s="286"/>
      <c r="AP4" s="286"/>
      <c r="AQ4" s="286"/>
      <c r="AR4" s="285" t="s">
        <v>560</v>
      </c>
      <c r="AS4" s="285"/>
      <c r="AU4" s="23"/>
    </row>
    <row r="5" spans="1:55" ht="16.5" customHeight="1">
      <c r="A5" s="11"/>
      <c r="C5" s="11"/>
      <c r="E5" s="11"/>
      <c r="H5" s="47"/>
      <c r="L5" s="11"/>
      <c r="W5" s="11"/>
      <c r="AH5" s="283" t="s">
        <v>65</v>
      </c>
      <c r="AI5" s="283"/>
      <c r="AJ5" s="283"/>
      <c r="AK5" s="283"/>
      <c r="AL5" s="283"/>
      <c r="AM5" s="283"/>
      <c r="AN5" s="283"/>
      <c r="AO5" s="290"/>
      <c r="AP5" s="290"/>
      <c r="AQ5" s="290"/>
      <c r="AR5" s="290"/>
      <c r="AS5" s="290"/>
      <c r="AU5" s="23"/>
    </row>
    <row r="6" spans="1:55" ht="16.5" customHeight="1">
      <c r="A6" s="11"/>
      <c r="B6" s="11" t="s">
        <v>288</v>
      </c>
      <c r="F6" s="20"/>
      <c r="G6" s="47"/>
      <c r="H6" s="20"/>
      <c r="I6" s="284"/>
      <c r="J6" s="284"/>
      <c r="K6" s="284"/>
      <c r="AH6" s="283" t="s">
        <v>101</v>
      </c>
      <c r="AI6" s="283"/>
      <c r="AJ6" s="283"/>
      <c r="AK6" s="283"/>
      <c r="AL6" s="283"/>
      <c r="AM6" s="283"/>
      <c r="AN6" s="283"/>
      <c r="AO6" s="290"/>
      <c r="AP6" s="290"/>
      <c r="AQ6" s="48"/>
      <c r="AU6" s="23"/>
    </row>
    <row r="7" spans="1:55" ht="16.5" customHeight="1">
      <c r="B7" s="49" t="s">
        <v>16</v>
      </c>
      <c r="D7" s="49"/>
      <c r="E7" s="49"/>
      <c r="F7" s="49"/>
      <c r="G7" s="49"/>
      <c r="H7" s="49"/>
      <c r="I7" s="291" t="str">
        <f>IF($I$6="","",VLOOKUP($I$6,Data!A:F,2,0))</f>
        <v/>
      </c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1"/>
      <c r="V7" s="291"/>
      <c r="W7" s="291"/>
      <c r="X7" s="291"/>
      <c r="Y7" s="291"/>
      <c r="Z7" s="291"/>
      <c r="AA7" s="291"/>
      <c r="AB7" s="291"/>
      <c r="AC7" s="291"/>
      <c r="AE7" s="297" t="s">
        <v>17</v>
      </c>
      <c r="AF7" s="297"/>
      <c r="AG7" s="297"/>
      <c r="AH7" s="297"/>
      <c r="AI7" s="297"/>
      <c r="AJ7" s="297"/>
      <c r="AK7" s="297"/>
      <c r="AL7" s="297"/>
      <c r="AM7" s="297"/>
      <c r="AU7" s="23"/>
    </row>
    <row r="8" spans="1:55" ht="16.5" customHeight="1">
      <c r="D8" s="11"/>
      <c r="E8" s="11"/>
      <c r="F8" s="11"/>
      <c r="I8" s="287" t="str">
        <f>IF($I$6="","",VLOOKUP($I$6,Data!A:F,3,0))</f>
        <v/>
      </c>
      <c r="J8" s="287"/>
      <c r="K8" s="287"/>
      <c r="L8" s="287"/>
      <c r="M8" s="287"/>
      <c r="N8" s="287"/>
      <c r="O8" s="287"/>
      <c r="P8" s="287"/>
      <c r="Q8" s="287"/>
      <c r="R8" s="287"/>
      <c r="S8" s="287"/>
      <c r="T8" s="287"/>
      <c r="U8" s="287"/>
      <c r="V8" s="287"/>
      <c r="W8" s="287"/>
      <c r="X8" s="287"/>
      <c r="Y8" s="287"/>
      <c r="Z8" s="287"/>
      <c r="AA8" s="287"/>
      <c r="AB8" s="287"/>
      <c r="AC8" s="287"/>
      <c r="AE8" s="233" t="s">
        <v>44</v>
      </c>
      <c r="AF8" s="292"/>
      <c r="AG8" s="292"/>
      <c r="AH8" s="292"/>
      <c r="AI8" s="292"/>
      <c r="AJ8" s="234"/>
      <c r="AK8" s="235" t="s">
        <v>33</v>
      </c>
      <c r="AL8" s="236"/>
      <c r="AM8" s="236"/>
      <c r="AN8" s="236"/>
      <c r="AO8" s="237"/>
      <c r="AP8" s="235" t="s">
        <v>34</v>
      </c>
      <c r="AQ8" s="236"/>
      <c r="AR8" s="236"/>
      <c r="AS8" s="236"/>
      <c r="AT8" s="237"/>
      <c r="AU8" s="23"/>
      <c r="AV8" s="233" t="s">
        <v>50</v>
      </c>
      <c r="AW8" s="234"/>
    </row>
    <row r="9" spans="1:55" ht="16.5" customHeight="1">
      <c r="A9" s="49"/>
      <c r="B9" s="49"/>
      <c r="C9" s="49"/>
      <c r="D9" s="49"/>
      <c r="E9" s="49"/>
      <c r="F9" s="49"/>
      <c r="I9" s="293" t="str">
        <f>IF($I$6="","",VLOOKUP($I$6,Data!$A:$F,4,0))</f>
        <v/>
      </c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3"/>
      <c r="W9" s="293"/>
      <c r="X9" s="293"/>
      <c r="Y9" s="293"/>
      <c r="Z9" s="293"/>
      <c r="AA9" s="293"/>
      <c r="AB9" s="293"/>
      <c r="AC9" s="293"/>
      <c r="AE9" s="294" t="s">
        <v>18</v>
      </c>
      <c r="AF9" s="295"/>
      <c r="AG9" s="295"/>
      <c r="AH9" s="295"/>
      <c r="AI9" s="295"/>
      <c r="AJ9" s="296"/>
      <c r="AK9" s="240"/>
      <c r="AL9" s="241"/>
      <c r="AM9" s="241"/>
      <c r="AN9" s="288" t="s">
        <v>45</v>
      </c>
      <c r="AO9" s="289"/>
      <c r="AP9" s="242"/>
      <c r="AQ9" s="243"/>
      <c r="AR9" s="243"/>
      <c r="AS9" s="288" t="s">
        <v>45</v>
      </c>
      <c r="AT9" s="289"/>
      <c r="AU9" s="23"/>
      <c r="AV9" s="50">
        <f>IF(OR(AK9&gt;28,AK9&lt;18),AK9,"0")</f>
        <v>0</v>
      </c>
      <c r="AW9" s="50">
        <f>IF(OR(AP9&gt;28,AP9&lt;18),AP9,"0")</f>
        <v>0</v>
      </c>
    </row>
    <row r="10" spans="1:55" ht="16.5" customHeight="1">
      <c r="I10" s="287" t="str">
        <f>IF($I$6="","",VLOOKUP($I$6,Data!$A:$F,5,0)&amp;", "&amp;VLOOKUP($I$6,Data!$A:$F,6,0))</f>
        <v/>
      </c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E10" s="250" t="s">
        <v>47</v>
      </c>
      <c r="AF10" s="251"/>
      <c r="AG10" s="251"/>
      <c r="AH10" s="251"/>
      <c r="AI10" s="251"/>
      <c r="AJ10" s="252"/>
      <c r="AK10" s="242"/>
      <c r="AL10" s="243"/>
      <c r="AM10" s="243"/>
      <c r="AN10" s="245" t="s">
        <v>4</v>
      </c>
      <c r="AO10" s="245"/>
      <c r="AP10" s="238"/>
      <c r="AQ10" s="239"/>
      <c r="AR10" s="239"/>
      <c r="AS10" s="245" t="s">
        <v>4</v>
      </c>
      <c r="AT10" s="245"/>
      <c r="AU10" s="23"/>
      <c r="AV10" s="50">
        <f>IF(AV9="0","0",IF(AV9&lt;18,18-AV9,IF(AV9&gt;28,AV9-28,0)))</f>
        <v>18</v>
      </c>
      <c r="AW10" s="50">
        <f>IF(AW9="0","0",IF(AW9&lt;18,18-AW9,IF(AW9&gt;28,AW9-28,0)))</f>
        <v>18</v>
      </c>
    </row>
    <row r="11" spans="1:55" ht="16.5" customHeight="1">
      <c r="B11" s="11" t="s">
        <v>19</v>
      </c>
      <c r="C11" s="11"/>
      <c r="D11" s="11"/>
      <c r="E11" s="11"/>
      <c r="F11" s="11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E11" s="35"/>
      <c r="AF11" s="35"/>
      <c r="AG11" s="35"/>
      <c r="AH11" s="35"/>
      <c r="AI11" s="35"/>
      <c r="AJ11" s="35"/>
      <c r="AK11" s="188"/>
      <c r="AL11" s="188"/>
      <c r="AM11" s="188"/>
      <c r="AN11" s="189"/>
      <c r="AO11" s="189"/>
      <c r="AP11" s="188"/>
      <c r="AQ11" s="188"/>
      <c r="AR11" s="188"/>
      <c r="AS11" s="189"/>
      <c r="AT11" s="189"/>
      <c r="AU11" s="23"/>
      <c r="AV11" s="42">
        <f>AV10*0.003</f>
        <v>5.3999999999999999E-2</v>
      </c>
      <c r="AW11" s="42">
        <f>AW10*0.03</f>
        <v>0.54</v>
      </c>
    </row>
    <row r="12" spans="1:55" ht="16.5" customHeight="1">
      <c r="B12" s="11" t="s">
        <v>23</v>
      </c>
      <c r="C12" s="11"/>
      <c r="D12" s="11"/>
      <c r="E12" s="11"/>
      <c r="F12" s="11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51"/>
      <c r="AE12" s="103" t="s">
        <v>371</v>
      </c>
      <c r="AF12" s="103"/>
      <c r="AG12" s="103"/>
      <c r="AH12" s="103"/>
      <c r="AI12" s="103"/>
      <c r="AJ12" s="103"/>
      <c r="AK12" s="103"/>
      <c r="AL12" s="103"/>
      <c r="AM12" s="103"/>
      <c r="AN12" s="103"/>
      <c r="AO12" s="2"/>
      <c r="AP12" s="2"/>
      <c r="AQ12" s="2"/>
      <c r="AR12" s="2"/>
      <c r="AS12" s="2"/>
      <c r="AU12" s="23"/>
      <c r="AV12" s="6" t="s">
        <v>51</v>
      </c>
      <c r="AW12" s="42">
        <f>MAX(AV11:AW11)</f>
        <v>0.54</v>
      </c>
    </row>
    <row r="13" spans="1:55" ht="16.5" customHeight="1">
      <c r="B13" s="11" t="s">
        <v>20</v>
      </c>
      <c r="C13" s="11"/>
      <c r="D13" s="11"/>
      <c r="E13" s="11"/>
      <c r="F13" s="11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7"/>
      <c r="Y13" s="277"/>
      <c r="Z13" s="277"/>
      <c r="AA13" s="277"/>
      <c r="AB13" s="277"/>
      <c r="AC13" s="277"/>
      <c r="AD13" s="52"/>
      <c r="AE13" s="280" t="s">
        <v>490</v>
      </c>
      <c r="AF13" s="280"/>
      <c r="AG13" s="280"/>
      <c r="AH13" s="280"/>
      <c r="AI13" s="280"/>
      <c r="AJ13" s="280"/>
      <c r="AK13" s="280"/>
      <c r="AL13" s="280"/>
      <c r="AM13" s="280"/>
      <c r="AN13" s="280"/>
      <c r="AO13" s="280"/>
      <c r="AP13" s="280"/>
      <c r="AQ13" s="280"/>
      <c r="AR13" s="280"/>
      <c r="AS13" s="280"/>
      <c r="AU13" s="53"/>
      <c r="AV13" s="28"/>
      <c r="AW13" s="28"/>
    </row>
    <row r="14" spans="1:55" ht="16.5" customHeight="1">
      <c r="B14" s="11" t="s">
        <v>21</v>
      </c>
      <c r="C14" s="11"/>
      <c r="D14" s="11"/>
      <c r="E14" s="11"/>
      <c r="F14" s="11"/>
      <c r="I14" s="278"/>
      <c r="J14" s="279"/>
      <c r="K14" s="279"/>
      <c r="L14" s="279"/>
      <c r="M14" s="279"/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79"/>
      <c r="Y14" s="279"/>
      <c r="Z14" s="279"/>
      <c r="AA14" s="279"/>
      <c r="AB14" s="279"/>
      <c r="AC14" s="279"/>
      <c r="AD14" s="52"/>
      <c r="AE14" s="103" t="s">
        <v>372</v>
      </c>
      <c r="AF14" s="2"/>
      <c r="AG14" s="2"/>
      <c r="AH14" s="2"/>
      <c r="AI14" s="2"/>
      <c r="AJ14" s="281" t="s">
        <v>490</v>
      </c>
      <c r="AK14" s="281"/>
      <c r="AL14" s="281"/>
      <c r="AM14" s="281"/>
      <c r="AN14" s="281"/>
      <c r="AO14" s="281"/>
      <c r="AP14" s="282"/>
      <c r="AQ14" s="282"/>
      <c r="AR14" s="282"/>
      <c r="AS14" s="282"/>
      <c r="AT14" s="2"/>
      <c r="AU14" s="53"/>
    </row>
    <row r="15" spans="1:55" ht="16.5" customHeight="1">
      <c r="B15" s="11" t="s">
        <v>22</v>
      </c>
      <c r="C15" s="11"/>
      <c r="D15" s="11"/>
      <c r="E15" s="11"/>
      <c r="F15" s="11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104"/>
      <c r="AE15" s="2"/>
      <c r="AF15" s="2"/>
      <c r="AG15" s="2"/>
      <c r="AH15" s="2"/>
      <c r="AI15" s="2"/>
      <c r="AJ15" s="282"/>
      <c r="AK15" s="282"/>
      <c r="AL15" s="282"/>
      <c r="AM15" s="282"/>
      <c r="AN15" s="282"/>
      <c r="AO15" s="282"/>
      <c r="AP15" s="2"/>
      <c r="AQ15" s="2"/>
      <c r="AR15" s="2"/>
      <c r="AS15" s="2"/>
      <c r="AT15" s="2"/>
      <c r="AU15" s="53"/>
      <c r="AV15" s="28" t="s">
        <v>387</v>
      </c>
      <c r="AW15" s="138" t="s">
        <v>388</v>
      </c>
      <c r="AX15" s="138" t="s">
        <v>389</v>
      </c>
      <c r="AY15" s="28"/>
      <c r="AZ15" s="28"/>
      <c r="BA15" s="10" t="s">
        <v>390</v>
      </c>
      <c r="BB15" s="28"/>
      <c r="BC15" s="28"/>
    </row>
    <row r="16" spans="1:55" ht="16.5" customHeight="1">
      <c r="B16" s="49" t="s">
        <v>24</v>
      </c>
      <c r="C16" s="49"/>
      <c r="D16" s="49"/>
      <c r="E16" s="49"/>
      <c r="F16" s="49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25"/>
      <c r="V16" s="225"/>
      <c r="W16" s="225"/>
      <c r="X16" s="226"/>
      <c r="Y16" s="226"/>
      <c r="Z16" s="226"/>
      <c r="AA16" s="226"/>
      <c r="AE16" s="103" t="s">
        <v>373</v>
      </c>
      <c r="AF16" s="2"/>
      <c r="AG16" s="2"/>
      <c r="AH16" s="2"/>
      <c r="AI16" s="2"/>
      <c r="AJ16" s="2"/>
      <c r="AK16" s="2"/>
      <c r="AL16" s="256"/>
      <c r="AM16" s="256"/>
      <c r="AN16" s="256"/>
      <c r="AO16" s="256"/>
      <c r="AP16" s="256"/>
      <c r="AQ16" s="103" t="s">
        <v>83</v>
      </c>
      <c r="AR16" s="2"/>
      <c r="AS16" s="105"/>
      <c r="AT16" s="105"/>
      <c r="AU16" s="11"/>
      <c r="AV16" s="23"/>
      <c r="AW16" s="23"/>
      <c r="AX16" s="45"/>
      <c r="AY16" s="11"/>
      <c r="AZ16" s="11"/>
      <c r="BA16" s="10" t="s">
        <v>391</v>
      </c>
      <c r="BB16" s="11"/>
      <c r="BC16" s="11"/>
    </row>
    <row r="17" spans="1:55" ht="16.5" customHeight="1">
      <c r="B17" s="49" t="s">
        <v>25</v>
      </c>
      <c r="C17" s="49"/>
      <c r="D17" s="49"/>
      <c r="E17" s="49"/>
      <c r="F17" s="49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51"/>
      <c r="V17" s="51"/>
      <c r="W17" s="51"/>
      <c r="X17" s="52"/>
      <c r="Y17" s="52"/>
      <c r="Z17" s="52"/>
      <c r="AA17" s="75" t="s">
        <v>549</v>
      </c>
      <c r="AB17" s="246"/>
      <c r="AC17" s="246"/>
      <c r="AD17" s="246"/>
      <c r="AE17" s="246"/>
      <c r="AF17" s="246"/>
      <c r="AG17" s="246"/>
      <c r="AH17" s="246"/>
      <c r="AI17" s="246"/>
      <c r="AJ17" s="246"/>
      <c r="AK17" s="246"/>
      <c r="AL17" s="246"/>
      <c r="AM17" s="246"/>
      <c r="AN17" s="246"/>
      <c r="AO17" s="246"/>
      <c r="AP17" s="246"/>
      <c r="AQ17" s="246"/>
      <c r="AR17" s="246"/>
      <c r="AS17" s="246"/>
      <c r="AT17" s="246"/>
      <c r="AU17" s="54" t="b">
        <v>1</v>
      </c>
      <c r="AY17" s="23"/>
      <c r="AZ17" s="23"/>
      <c r="BA17" s="28" t="s">
        <v>392</v>
      </c>
      <c r="BB17" s="23"/>
      <c r="BC17" s="23"/>
    </row>
    <row r="18" spans="1:55" ht="16.5" customHeight="1">
      <c r="B18" s="49" t="s">
        <v>3</v>
      </c>
      <c r="C18" s="49"/>
      <c r="D18" s="49"/>
      <c r="E18" s="49"/>
      <c r="F18" s="49"/>
      <c r="I18" s="276" t="str">
        <f ca="1">IF(AO4="","",IF(AO6="",IF(I18="",TODAY(),I18),IF(I18=I18,TODAY(),I18)))</f>
        <v/>
      </c>
      <c r="J18" s="276"/>
      <c r="K18" s="276"/>
      <c r="L18" s="276"/>
      <c r="M18" s="276"/>
      <c r="N18" s="276"/>
      <c r="O18" s="276"/>
      <c r="P18" s="276"/>
      <c r="Q18" s="276"/>
      <c r="R18" s="276"/>
      <c r="S18" s="276"/>
      <c r="T18" s="276"/>
      <c r="U18" s="224"/>
      <c r="V18" s="224"/>
      <c r="W18" s="224"/>
      <c r="X18" s="43"/>
      <c r="Y18" s="43"/>
      <c r="Z18" s="43"/>
      <c r="AA18" s="75" t="s">
        <v>110</v>
      </c>
      <c r="AB18" s="163"/>
      <c r="AC18" s="95" t="s">
        <v>37</v>
      </c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U18" s="23"/>
      <c r="BA18" s="10" t="s">
        <v>393</v>
      </c>
    </row>
    <row r="19" spans="1:55" ht="16.5" customHeight="1">
      <c r="A19" s="49"/>
      <c r="B19" s="49"/>
      <c r="C19" s="49"/>
      <c r="D19" s="49"/>
      <c r="E19" s="49"/>
      <c r="F19" s="49"/>
      <c r="G19" s="49"/>
      <c r="H19" s="55"/>
      <c r="I19" s="55"/>
      <c r="O19" s="56"/>
      <c r="P19" s="56"/>
      <c r="X19" s="43"/>
      <c r="Y19" s="43"/>
      <c r="Z19" s="43"/>
      <c r="AA19" s="43"/>
      <c r="AB19" s="164"/>
      <c r="AC19" s="43" t="s">
        <v>305</v>
      </c>
      <c r="AD19" s="43"/>
      <c r="AE19" s="74"/>
      <c r="AF19" s="43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  <c r="AS19" s="247"/>
      <c r="AT19" s="247"/>
      <c r="AU19" s="23"/>
      <c r="BA19" s="10" t="s">
        <v>394</v>
      </c>
    </row>
    <row r="20" spans="1:55" ht="16.5" customHeight="1">
      <c r="B20" s="269" t="s">
        <v>26</v>
      </c>
      <c r="C20" s="269"/>
      <c r="D20" s="269"/>
      <c r="E20" s="269"/>
      <c r="F20" s="269"/>
      <c r="G20" s="269"/>
      <c r="H20" s="269"/>
      <c r="I20" s="269"/>
      <c r="O20" s="57"/>
      <c r="P20" s="57"/>
      <c r="Q20" s="57"/>
      <c r="R20" s="57"/>
      <c r="S20" s="57"/>
      <c r="T20" s="57"/>
      <c r="U20" s="57"/>
      <c r="V20" s="57"/>
      <c r="X20" s="57"/>
      <c r="Y20" s="57"/>
      <c r="Z20" s="244" t="s">
        <v>27</v>
      </c>
      <c r="AA20" s="244"/>
      <c r="AB20" s="244"/>
      <c r="AC20" s="244"/>
      <c r="AD20" s="244"/>
      <c r="AE20" s="244"/>
      <c r="AF20" s="244" t="s">
        <v>28</v>
      </c>
      <c r="AG20" s="244"/>
      <c r="AH20" s="244"/>
      <c r="AI20" s="244"/>
      <c r="AJ20" s="244"/>
      <c r="AK20" s="244"/>
      <c r="AL20" s="244"/>
      <c r="AM20" s="244"/>
      <c r="AN20" s="244" t="s">
        <v>475</v>
      </c>
      <c r="AO20" s="244"/>
      <c r="AP20" s="244"/>
      <c r="AQ20" s="244"/>
      <c r="AR20" s="244"/>
      <c r="AS20" s="244"/>
      <c r="AT20" s="244"/>
      <c r="AU20" s="23"/>
    </row>
    <row r="21" spans="1:55" ht="10.5" customHeight="1">
      <c r="A21" s="58"/>
      <c r="B21" s="58"/>
      <c r="C21" s="58"/>
      <c r="D21" s="58"/>
      <c r="E21" s="58"/>
      <c r="F21" s="58"/>
      <c r="R21" s="58"/>
      <c r="S21" s="58"/>
      <c r="T21" s="58"/>
      <c r="AU21" s="23"/>
    </row>
    <row r="22" spans="1:55">
      <c r="B22" s="41"/>
      <c r="C22" s="268"/>
      <c r="D22" s="268"/>
      <c r="E22" s="268"/>
      <c r="F22" s="268"/>
      <c r="G22" s="268"/>
      <c r="H22" s="268"/>
      <c r="I22" s="228" t="str">
        <f>IF(C22="","",VLOOKUP(C22,STD!A3:G6,2,FALSE))</f>
        <v/>
      </c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274"/>
      <c r="V22" s="274"/>
      <c r="W22" s="274"/>
      <c r="X22" s="274"/>
      <c r="Y22" s="275"/>
      <c r="Z22" s="232" t="str">
        <f>IF(C22="","",VLOOKUP(C22,STD!A:G,4,FALSE))</f>
        <v/>
      </c>
      <c r="AA22" s="232"/>
      <c r="AB22" s="232"/>
      <c r="AC22" s="232"/>
      <c r="AD22" s="232"/>
      <c r="AE22" s="232"/>
      <c r="AF22" s="231" t="str">
        <f>IF(C22="","",VLOOKUP(C22,STD!A3:G6,5,FALSE))</f>
        <v/>
      </c>
      <c r="AG22" s="232"/>
      <c r="AH22" s="232"/>
      <c r="AI22" s="232"/>
      <c r="AJ22" s="232"/>
      <c r="AK22" s="232"/>
      <c r="AL22" s="232"/>
      <c r="AM22" s="232"/>
      <c r="AN22" s="249" t="str">
        <f>IF(C22="","",VLOOKUP(C22,STD!A:G,6,FALSE))</f>
        <v/>
      </c>
      <c r="AO22" s="249"/>
      <c r="AP22" s="249"/>
      <c r="AQ22" s="249"/>
      <c r="AR22" s="249"/>
      <c r="AS22" s="249"/>
      <c r="AT22" s="249"/>
      <c r="AU22" s="23"/>
      <c r="AV22" s="28"/>
      <c r="AW22" s="28"/>
    </row>
    <row r="23" spans="1:55" ht="16.5" customHeight="1">
      <c r="B23" s="41"/>
      <c r="C23" s="268"/>
      <c r="D23" s="268"/>
      <c r="E23" s="268"/>
      <c r="F23" s="268"/>
      <c r="G23" s="268"/>
      <c r="H23" s="268"/>
      <c r="I23" s="228" t="str">
        <f>IF(C23="","",VLOOKUP(C23,STD!A:G,2,FALSE))</f>
        <v/>
      </c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  <c r="V23" s="274"/>
      <c r="W23" s="274"/>
      <c r="X23" s="274"/>
      <c r="Y23" s="275"/>
      <c r="Z23" s="271" t="str">
        <f>IF(C23="","",VLOOKUP(C23,STD!A:G,4,FALSE))</f>
        <v/>
      </c>
      <c r="AA23" s="272"/>
      <c r="AB23" s="272"/>
      <c r="AC23" s="272"/>
      <c r="AD23" s="272"/>
      <c r="AE23" s="273"/>
      <c r="AF23" s="231" t="str">
        <f>IF(C23="","",VLOOKUP(C23,STD!A:G,5,FALSE))</f>
        <v/>
      </c>
      <c r="AG23" s="232"/>
      <c r="AH23" s="232"/>
      <c r="AI23" s="232"/>
      <c r="AJ23" s="232"/>
      <c r="AK23" s="232"/>
      <c r="AL23" s="232"/>
      <c r="AM23" s="232"/>
      <c r="AN23" s="249" t="str">
        <f>IF(C23="","",VLOOKUP(C23,STD!A:G,6,FALSE))</f>
        <v/>
      </c>
      <c r="AO23" s="249"/>
      <c r="AP23" s="249"/>
      <c r="AQ23" s="249"/>
      <c r="AR23" s="249"/>
      <c r="AS23" s="249"/>
      <c r="AT23" s="249"/>
      <c r="AU23" s="23"/>
    </row>
    <row r="24" spans="1:55" ht="16.5" customHeight="1">
      <c r="B24" s="41"/>
      <c r="C24" s="232"/>
      <c r="D24" s="232"/>
      <c r="E24" s="232"/>
      <c r="F24" s="232"/>
      <c r="G24" s="232"/>
      <c r="H24" s="232"/>
      <c r="I24" s="228" t="str">
        <f>IF(C24="","",VLOOKUP(C24,STD!A:G,2,FALSE))</f>
        <v/>
      </c>
      <c r="J24" s="274"/>
      <c r="K24" s="274"/>
      <c r="L24" s="274"/>
      <c r="M24" s="274"/>
      <c r="N24" s="274"/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5"/>
      <c r="Z24" s="231" t="str">
        <f>IF(C24="","",VLOOKUP(C24,STD!A26:G31,4,TRUE))</f>
        <v/>
      </c>
      <c r="AA24" s="232"/>
      <c r="AB24" s="232"/>
      <c r="AC24" s="232"/>
      <c r="AD24" s="232"/>
      <c r="AE24" s="232"/>
      <c r="AF24" s="231" t="str">
        <f>IF(C24="","",VLOOKUP(C24,STD!A26:G31,5,FALSE))</f>
        <v/>
      </c>
      <c r="AG24" s="232"/>
      <c r="AH24" s="232"/>
      <c r="AI24" s="232"/>
      <c r="AJ24" s="232"/>
      <c r="AK24" s="232"/>
      <c r="AL24" s="232"/>
      <c r="AM24" s="232"/>
      <c r="AN24" s="253" t="str">
        <f>IF(C24="","",VLOOKUP(C24,STD!A26:G31,6,TRUE))</f>
        <v/>
      </c>
      <c r="AO24" s="254"/>
      <c r="AP24" s="254"/>
      <c r="AQ24" s="254"/>
      <c r="AR24" s="254"/>
      <c r="AS24" s="254"/>
      <c r="AT24" s="254"/>
      <c r="AU24" s="23"/>
    </row>
    <row r="25" spans="1:55" ht="16.5" customHeight="1">
      <c r="B25" s="97"/>
      <c r="C25" s="248"/>
      <c r="D25" s="248"/>
      <c r="E25" s="248"/>
      <c r="F25" s="248"/>
      <c r="G25" s="248"/>
      <c r="H25" s="248"/>
      <c r="I25" s="228" t="str">
        <f>IF(C25="","",VLOOKUP(C25,STD!A:G,2,FALSE))</f>
        <v/>
      </c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30"/>
      <c r="Z25" s="231" t="str">
        <f>IF(C25="","",VLOOKUP(C25,STD!A:G,4,FALSE))</f>
        <v/>
      </c>
      <c r="AA25" s="248"/>
      <c r="AB25" s="248"/>
      <c r="AC25" s="248"/>
      <c r="AD25" s="248"/>
      <c r="AE25" s="248"/>
      <c r="AF25" s="231" t="str">
        <f>IF(C25="","",VLOOKUP(C25,STD!A:G,5,FALSE))</f>
        <v/>
      </c>
      <c r="AG25" s="248"/>
      <c r="AH25" s="248"/>
      <c r="AI25" s="248"/>
      <c r="AJ25" s="248"/>
      <c r="AK25" s="248"/>
      <c r="AL25" s="248"/>
      <c r="AM25" s="248"/>
      <c r="AN25" s="253" t="str">
        <f>IF(C25="","",VLOOKUP(C25,STD!A:G,6,FALSE))</f>
        <v/>
      </c>
      <c r="AO25" s="255"/>
      <c r="AP25" s="255"/>
      <c r="AQ25" s="255"/>
      <c r="AR25" s="255"/>
      <c r="AS25" s="255"/>
      <c r="AT25" s="255"/>
      <c r="AU25" s="23"/>
    </row>
    <row r="26" spans="1:55" ht="16.5" customHeight="1">
      <c r="C26" s="20"/>
      <c r="D26" s="20"/>
      <c r="E26" s="20"/>
      <c r="F26" s="20"/>
      <c r="G26" s="20" t="s">
        <v>46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U26" s="53"/>
    </row>
    <row r="27" spans="1:55" ht="16.5" customHeight="1">
      <c r="B27" s="269" t="s">
        <v>1</v>
      </c>
      <c r="C27" s="269"/>
      <c r="D27" s="269"/>
      <c r="E27" s="269"/>
      <c r="F27" s="269"/>
      <c r="G27" s="269"/>
      <c r="H27" s="269"/>
      <c r="M27" s="23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244" t="s">
        <v>27</v>
      </c>
      <c r="AA27" s="244"/>
      <c r="AB27" s="244"/>
      <c r="AC27" s="244"/>
      <c r="AD27" s="244"/>
      <c r="AE27" s="244"/>
      <c r="AF27" s="244" t="s">
        <v>28</v>
      </c>
      <c r="AG27" s="244"/>
      <c r="AH27" s="244"/>
      <c r="AI27" s="244"/>
      <c r="AJ27" s="244"/>
      <c r="AK27" s="244"/>
      <c r="AL27" s="244"/>
      <c r="AM27" s="244"/>
      <c r="AN27" s="244" t="s">
        <v>475</v>
      </c>
      <c r="AO27" s="244"/>
      <c r="AP27" s="244"/>
      <c r="AQ27" s="244"/>
      <c r="AR27" s="244"/>
      <c r="AS27" s="244"/>
      <c r="AT27" s="244"/>
      <c r="AU27" s="53"/>
    </row>
    <row r="28" spans="1:55" ht="8.25" customHeight="1">
      <c r="A28" s="58"/>
      <c r="B28" s="58"/>
      <c r="C28" s="58"/>
      <c r="D28" s="58"/>
      <c r="E28" s="58"/>
      <c r="F28" s="58"/>
      <c r="M28" s="23"/>
      <c r="R28" s="58"/>
      <c r="S28" s="58"/>
      <c r="T28" s="58"/>
      <c r="W28" s="58"/>
      <c r="Y28" s="58"/>
      <c r="Z28" s="58"/>
      <c r="AA28" s="58"/>
      <c r="AB28" s="58"/>
    </row>
    <row r="29" spans="1:55" ht="16.5" customHeight="1">
      <c r="B29" s="41"/>
      <c r="C29" s="268"/>
      <c r="D29" s="268"/>
      <c r="E29" s="268"/>
      <c r="F29" s="268"/>
      <c r="G29" s="268"/>
      <c r="H29" s="268"/>
      <c r="I29" s="266" t="str">
        <f>IF(C29="","",VLOOKUP(C29,STD!$A$13:$G$18,2,FALSE))</f>
        <v/>
      </c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3" t="str">
        <f>IF(C29="","",VLOOKUP(C29,STD!$A$13:$G$18,4,FALSE))</f>
        <v/>
      </c>
      <c r="AA29" s="263"/>
      <c r="AB29" s="263"/>
      <c r="AC29" s="263"/>
      <c r="AD29" s="263"/>
      <c r="AE29" s="263"/>
      <c r="AF29" s="263" t="str">
        <f>IF(C29="","",VLOOKUP(C29,STD!$A$13:$G$18,5,FALSE))</f>
        <v/>
      </c>
      <c r="AG29" s="263"/>
      <c r="AH29" s="263"/>
      <c r="AI29" s="263"/>
      <c r="AJ29" s="263"/>
      <c r="AK29" s="263"/>
      <c r="AL29" s="263"/>
      <c r="AM29" s="263"/>
      <c r="AN29" s="254" t="str">
        <f>IF(C29="","",VLOOKUP(C29,STD!$A$13:$G$18,6,FALSE))</f>
        <v/>
      </c>
      <c r="AO29" s="254"/>
      <c r="AP29" s="254"/>
      <c r="AQ29" s="254"/>
      <c r="AR29" s="254"/>
      <c r="AS29" s="254"/>
      <c r="AT29" s="254"/>
      <c r="AU29" s="11"/>
    </row>
    <row r="30" spans="1:55" ht="16.5" customHeight="1">
      <c r="B30" s="41"/>
      <c r="C30" s="268"/>
      <c r="D30" s="268"/>
      <c r="E30" s="268"/>
      <c r="F30" s="268"/>
      <c r="G30" s="268"/>
      <c r="H30" s="268"/>
      <c r="I30" s="266" t="str">
        <f>IF(C30="","",VLOOKUP(C30,STD!$A$13:$G$18,2,FALSE))</f>
        <v/>
      </c>
      <c r="J30" s="266"/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3" t="str">
        <f>IF(C30="","",VLOOKUP(C30,STD!$A$13:$G$18,4,FALSE))</f>
        <v/>
      </c>
      <c r="AA30" s="263"/>
      <c r="AB30" s="263"/>
      <c r="AC30" s="263"/>
      <c r="AD30" s="263"/>
      <c r="AE30" s="263"/>
      <c r="AF30" s="263" t="str">
        <f>IF(C30="","",VLOOKUP(C30,STD!$A$13:$G$18,5,FALSE))</f>
        <v/>
      </c>
      <c r="AG30" s="263"/>
      <c r="AH30" s="263"/>
      <c r="AI30" s="263"/>
      <c r="AJ30" s="263"/>
      <c r="AK30" s="263"/>
      <c r="AL30" s="263"/>
      <c r="AM30" s="263"/>
      <c r="AN30" s="254" t="str">
        <f>IF(C30="","",VLOOKUP(C30,STD!$A$13:$G$18,6,FALSE))</f>
        <v/>
      </c>
      <c r="AO30" s="254"/>
      <c r="AP30" s="254"/>
      <c r="AQ30" s="254"/>
      <c r="AR30" s="254"/>
      <c r="AS30" s="254"/>
      <c r="AT30" s="254"/>
      <c r="AU30" s="23"/>
    </row>
    <row r="31" spans="1:55" ht="16.5" customHeight="1">
      <c r="B31" s="41"/>
      <c r="C31" s="232"/>
      <c r="D31" s="232"/>
      <c r="E31" s="232"/>
      <c r="F31" s="232"/>
      <c r="G31" s="232"/>
      <c r="H31" s="232"/>
      <c r="I31" s="267" t="str">
        <f>IF(C31="","",VLOOKUP(C31,STD!$A$13:$G$18,2,FALSE))</f>
        <v/>
      </c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4" t="str">
        <f>IF(C31="","",VLOOKUP(C31,STD!$A$13:$G$18,4,FALSE))</f>
        <v/>
      </c>
      <c r="AA31" s="263"/>
      <c r="AB31" s="263"/>
      <c r="AC31" s="263"/>
      <c r="AD31" s="263"/>
      <c r="AE31" s="263"/>
      <c r="AF31" s="264" t="str">
        <f>IF(C31="","",VLOOKUP(C31,STD!$A$13:$G$18,5,FALSE))</f>
        <v/>
      </c>
      <c r="AG31" s="263"/>
      <c r="AH31" s="263"/>
      <c r="AI31" s="263"/>
      <c r="AJ31" s="263"/>
      <c r="AK31" s="263"/>
      <c r="AL31" s="263"/>
      <c r="AM31" s="263"/>
      <c r="AN31" s="265" t="str">
        <f>IF(C31="","",VLOOKUP(C31,STD!$A$13:$G$18,6,FALSE))</f>
        <v/>
      </c>
      <c r="AO31" s="254"/>
      <c r="AP31" s="254"/>
      <c r="AQ31" s="254"/>
      <c r="AR31" s="254"/>
      <c r="AS31" s="254"/>
      <c r="AT31" s="254"/>
    </row>
    <row r="32" spans="1:55" ht="16.5" customHeight="1">
      <c r="B32" s="41"/>
      <c r="C32" s="232"/>
      <c r="D32" s="232"/>
      <c r="E32" s="232"/>
      <c r="F32" s="232"/>
      <c r="G32" s="232"/>
      <c r="H32" s="232"/>
      <c r="I32" s="267" t="str">
        <f>IF(C32="","",VLOOKUP(C32,STD!$A$13:$G$18,2,FALSE))</f>
        <v/>
      </c>
      <c r="J32" s="266"/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4" t="str">
        <f>IF(C32="","",VLOOKUP(C32,STD!$A$13:$G$18,4,FALSE))</f>
        <v/>
      </c>
      <c r="AA32" s="263"/>
      <c r="AB32" s="263"/>
      <c r="AC32" s="263"/>
      <c r="AD32" s="263"/>
      <c r="AE32" s="263"/>
      <c r="AF32" s="264" t="str">
        <f>IF(C32="","",VLOOKUP(C32,STD!$A$13:$G$18,5,FALSE))</f>
        <v/>
      </c>
      <c r="AG32" s="263"/>
      <c r="AH32" s="263"/>
      <c r="AI32" s="263"/>
      <c r="AJ32" s="263"/>
      <c r="AK32" s="263"/>
      <c r="AL32" s="263"/>
      <c r="AM32" s="263"/>
      <c r="AN32" s="265" t="str">
        <f>IF(C32="","",VLOOKUP(C32,STD!$A$13:$G$18,6,FALSE))</f>
        <v/>
      </c>
      <c r="AO32" s="254"/>
      <c r="AP32" s="254"/>
      <c r="AQ32" s="254"/>
      <c r="AR32" s="254"/>
      <c r="AS32" s="254"/>
      <c r="AT32" s="254"/>
    </row>
    <row r="33" spans="1:49" ht="16.5" customHeight="1">
      <c r="C33" s="20"/>
      <c r="E33" s="20"/>
      <c r="G33" s="20"/>
      <c r="I33" s="20"/>
      <c r="K33" s="20"/>
      <c r="M33" s="20"/>
      <c r="O33" s="20"/>
      <c r="Q33" s="20"/>
      <c r="S33" s="20"/>
      <c r="U33" s="20"/>
      <c r="W33" s="20"/>
      <c r="Y33" s="20"/>
      <c r="AA33" s="20"/>
      <c r="AC33" s="20"/>
      <c r="AE33" s="20"/>
      <c r="AG33" s="20"/>
      <c r="AI33" s="20"/>
      <c r="AK33" s="20"/>
      <c r="AM33" s="20"/>
      <c r="AO33" s="20"/>
      <c r="AQ33" s="20"/>
      <c r="AS33" s="20"/>
    </row>
    <row r="34" spans="1:49" ht="16.5" customHeight="1">
      <c r="K34" s="23"/>
      <c r="L34" s="23"/>
      <c r="M34" s="23"/>
      <c r="N34" s="23"/>
      <c r="O34" s="23"/>
      <c r="P34" s="23"/>
      <c r="Q34" s="23"/>
      <c r="R34" s="23"/>
      <c r="S34" s="23"/>
      <c r="T34" s="23"/>
    </row>
    <row r="35" spans="1:49" ht="16.5" customHeight="1">
      <c r="F35" s="28"/>
      <c r="G35" s="28"/>
      <c r="H35" s="28"/>
      <c r="I35" s="23"/>
      <c r="J35" s="23"/>
      <c r="K35" s="23"/>
      <c r="L35" s="23"/>
      <c r="M35" s="23"/>
      <c r="R35" s="28"/>
      <c r="S35" s="28"/>
      <c r="T35" s="28"/>
      <c r="U35" s="23"/>
      <c r="V35" s="23"/>
      <c r="AD35" s="28"/>
      <c r="AE35" s="28"/>
      <c r="AF35" s="28"/>
      <c r="AG35" s="23"/>
      <c r="AH35" s="23"/>
      <c r="AP35" s="28"/>
      <c r="AQ35" s="28"/>
      <c r="AR35" s="28"/>
      <c r="AS35" s="23"/>
      <c r="AT35" s="23"/>
    </row>
    <row r="36" spans="1:49" ht="16.5" customHeight="1">
      <c r="B36" s="23"/>
      <c r="C36" s="23"/>
      <c r="D36" s="23"/>
      <c r="E36" s="23"/>
      <c r="F36" s="23"/>
      <c r="G36" s="23"/>
      <c r="H36" s="23"/>
      <c r="I36" s="23"/>
      <c r="J36" s="20"/>
      <c r="K36" s="20"/>
      <c r="L36" s="20"/>
      <c r="M36" s="20"/>
      <c r="N36" s="23"/>
      <c r="O36" s="23"/>
      <c r="P36" s="23"/>
      <c r="AT36" s="28"/>
      <c r="AU36" s="28"/>
    </row>
    <row r="37" spans="1:49" ht="16.5" customHeight="1">
      <c r="A37" s="261" t="s">
        <v>12</v>
      </c>
      <c r="B37" s="261"/>
      <c r="C37" s="261"/>
      <c r="D37" s="261"/>
      <c r="E37" s="261"/>
      <c r="F37" s="260"/>
      <c r="G37" s="260"/>
      <c r="H37" s="260"/>
      <c r="I37" s="260"/>
      <c r="J37" s="260"/>
      <c r="K37" s="260"/>
      <c r="L37" s="260"/>
      <c r="M37" s="260"/>
      <c r="N37" s="260"/>
      <c r="O37" s="260"/>
      <c r="Q37" s="20" t="s">
        <v>13</v>
      </c>
      <c r="R37" s="23"/>
      <c r="S37" s="262" t="str">
        <f ca="1">IF(I18="","",I18)</f>
        <v/>
      </c>
      <c r="T37" s="262"/>
      <c r="U37" s="262"/>
      <c r="V37" s="262"/>
      <c r="W37" s="262"/>
      <c r="X37" s="261" t="s">
        <v>87</v>
      </c>
      <c r="Y37" s="261"/>
      <c r="Z37" s="261"/>
      <c r="AA37" s="261"/>
      <c r="AB37" s="261"/>
      <c r="AC37" s="260"/>
      <c r="AD37" s="260"/>
      <c r="AE37" s="260"/>
      <c r="AF37" s="260"/>
      <c r="AG37" s="260"/>
      <c r="AH37" s="260"/>
      <c r="AI37" s="260"/>
      <c r="AJ37" s="260"/>
      <c r="AK37" s="260"/>
      <c r="AL37" s="260"/>
      <c r="AN37" s="251" t="s">
        <v>13</v>
      </c>
      <c r="AO37" s="251"/>
      <c r="AP37" s="259" t="str">
        <f ca="1">IF(I18="","",I18)</f>
        <v/>
      </c>
      <c r="AQ37" s="259"/>
      <c r="AR37" s="259"/>
      <c r="AS37" s="259"/>
      <c r="AT37" s="259"/>
    </row>
    <row r="38" spans="1:49" ht="16.5" customHeight="1">
      <c r="B38" s="11" t="s">
        <v>15</v>
      </c>
      <c r="C38" s="11"/>
      <c r="D38" s="258"/>
      <c r="E38" s="258"/>
      <c r="F38" s="258"/>
      <c r="G38" s="258"/>
      <c r="H38" s="258"/>
      <c r="I38" s="258"/>
      <c r="J38" s="258"/>
      <c r="K38" s="258"/>
      <c r="L38" s="258"/>
      <c r="M38" s="258"/>
      <c r="N38" s="258"/>
      <c r="O38" s="258"/>
      <c r="P38" s="258"/>
      <c r="Q38" s="258"/>
      <c r="R38" s="258"/>
      <c r="S38" s="258"/>
      <c r="T38" s="258"/>
      <c r="U38" s="258"/>
      <c r="V38" s="258"/>
      <c r="W38" s="258"/>
      <c r="X38" s="258"/>
      <c r="Y38" s="258"/>
      <c r="Z38" s="258"/>
      <c r="AA38" s="258"/>
      <c r="AB38" s="258"/>
      <c r="AC38" s="258"/>
      <c r="AD38" s="258"/>
      <c r="AE38" s="258"/>
      <c r="AF38" s="258"/>
      <c r="AG38" s="258"/>
      <c r="AH38" s="258"/>
      <c r="AI38" s="258"/>
      <c r="AJ38" s="258"/>
      <c r="AK38" s="258"/>
      <c r="AL38" s="258"/>
      <c r="AM38" s="258"/>
      <c r="AN38" s="258"/>
      <c r="AO38" s="258"/>
      <c r="AP38" s="258"/>
      <c r="AQ38" s="258"/>
      <c r="AR38" s="258"/>
      <c r="AS38" s="258"/>
      <c r="AT38" s="258"/>
    </row>
    <row r="39" spans="1:49" ht="16.5" customHeight="1">
      <c r="C39" s="258"/>
      <c r="D39" s="258"/>
      <c r="E39" s="258"/>
      <c r="F39" s="258"/>
      <c r="G39" s="258"/>
      <c r="H39" s="258"/>
      <c r="I39" s="258"/>
      <c r="J39" s="258"/>
      <c r="K39" s="258"/>
      <c r="L39" s="258"/>
      <c r="M39" s="258"/>
      <c r="N39" s="258"/>
      <c r="O39" s="258"/>
      <c r="P39" s="258"/>
      <c r="Q39" s="258"/>
      <c r="R39" s="258"/>
      <c r="S39" s="258"/>
      <c r="T39" s="258"/>
      <c r="U39" s="258"/>
      <c r="V39" s="258"/>
      <c r="W39" s="258"/>
      <c r="X39" s="258"/>
      <c r="Y39" s="258"/>
      <c r="Z39" s="258"/>
      <c r="AA39" s="258"/>
      <c r="AB39" s="258"/>
      <c r="AC39" s="258"/>
      <c r="AD39" s="258"/>
      <c r="AE39" s="258"/>
      <c r="AF39" s="258"/>
      <c r="AG39" s="258"/>
      <c r="AH39" s="258"/>
      <c r="AI39" s="258"/>
      <c r="AJ39" s="258"/>
      <c r="AK39" s="258"/>
      <c r="AL39" s="258"/>
      <c r="AM39" s="258"/>
      <c r="AN39" s="258"/>
      <c r="AO39" s="258"/>
      <c r="AP39" s="258"/>
      <c r="AQ39" s="258"/>
      <c r="AR39" s="258"/>
      <c r="AS39" s="258"/>
      <c r="AT39" s="258"/>
    </row>
    <row r="40" spans="1:49" ht="16.5" customHeight="1"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9" ht="16.5" customHeight="1">
      <c r="A41" s="257"/>
      <c r="B41" s="257"/>
      <c r="C41" s="257"/>
      <c r="D41" s="257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</row>
    <row r="42" spans="1:49">
      <c r="AW42" s="23"/>
    </row>
  </sheetData>
  <protectedRanges>
    <protectedRange sqref="AO1" name="Range10_2_1"/>
    <protectedRange sqref="AR1" name="Range11_2_1"/>
    <protectedRange sqref="O19:P19" name="Range4_2"/>
    <protectedRange sqref="F19:I19" name="Range3_2"/>
    <protectedRange sqref="F10 I10:S10" name="Range2_3"/>
    <protectedRange sqref="AQ4:AR5 AQ6 AO4:AO6" name="Range1_2"/>
    <protectedRange sqref="AD1" name="Range10_2"/>
    <protectedRange sqref="AG1" name="Range11_2"/>
    <protectedRange sqref="Z18:Z19" name="Range5_1_1"/>
    <protectedRange sqref="AS9 AP9:AP11 AN9 AK9:AK11" name="Range12_2_3"/>
    <protectedRange sqref="I11:T15" name="Range2_3_1"/>
    <protectedRange sqref="I17:N18 I16:T16" name="Range2_3_2_1"/>
    <protectedRange sqref="T18:U18 T17" name="Range4_1_2_1"/>
    <protectedRange sqref="I7:S9" name="Range2_3_1_1"/>
    <protectedRange sqref="U17" name="Range4_1_2_1_1"/>
  </protectedRanges>
  <dataConsolidate/>
  <mergeCells count="103">
    <mergeCell ref="AL1:AN1"/>
    <mergeCell ref="AO1:AP1"/>
    <mergeCell ref="AR1:AS1"/>
    <mergeCell ref="AR4:AS4"/>
    <mergeCell ref="AO4:AQ4"/>
    <mergeCell ref="I10:AC10"/>
    <mergeCell ref="AK8:AO8"/>
    <mergeCell ref="AP9:AR9"/>
    <mergeCell ref="AS9:AT9"/>
    <mergeCell ref="AH5:AN5"/>
    <mergeCell ref="AO5:AS5"/>
    <mergeCell ref="AO6:AP6"/>
    <mergeCell ref="I7:AC7"/>
    <mergeCell ref="AI4:AN4"/>
    <mergeCell ref="AE8:AJ8"/>
    <mergeCell ref="I9:AC9"/>
    <mergeCell ref="AE9:AJ9"/>
    <mergeCell ref="AH6:AN6"/>
    <mergeCell ref="AN9:AO9"/>
    <mergeCell ref="AN10:AO10"/>
    <mergeCell ref="I6:K6"/>
    <mergeCell ref="I8:AC8"/>
    <mergeCell ref="AE7:AM7"/>
    <mergeCell ref="B27:H27"/>
    <mergeCell ref="I11:AC11"/>
    <mergeCell ref="C25:H25"/>
    <mergeCell ref="Z23:AE23"/>
    <mergeCell ref="C23:H23"/>
    <mergeCell ref="C24:H24"/>
    <mergeCell ref="I22:Y22"/>
    <mergeCell ref="I23:Y23"/>
    <mergeCell ref="I24:Y24"/>
    <mergeCell ref="B20:I20"/>
    <mergeCell ref="I16:T16"/>
    <mergeCell ref="I17:T17"/>
    <mergeCell ref="I18:T18"/>
    <mergeCell ref="I13:AC13"/>
    <mergeCell ref="I12:AC12"/>
    <mergeCell ref="I14:AC14"/>
    <mergeCell ref="I15:AC15"/>
    <mergeCell ref="AE13:AS13"/>
    <mergeCell ref="AJ14:AO14"/>
    <mergeCell ref="AP14:AS14"/>
    <mergeCell ref="AJ15:AO15"/>
    <mergeCell ref="AN22:AT22"/>
    <mergeCell ref="C22:H22"/>
    <mergeCell ref="Z22:AE22"/>
    <mergeCell ref="C32:H32"/>
    <mergeCell ref="Z29:AE29"/>
    <mergeCell ref="Z31:AE31"/>
    <mergeCell ref="AF31:AM31"/>
    <mergeCell ref="AN31:AT31"/>
    <mergeCell ref="Z32:AE32"/>
    <mergeCell ref="C31:H31"/>
    <mergeCell ref="I29:Y29"/>
    <mergeCell ref="I30:Y30"/>
    <mergeCell ref="I31:Y31"/>
    <mergeCell ref="I32:Y32"/>
    <mergeCell ref="AF32:AM32"/>
    <mergeCell ref="AN32:AT32"/>
    <mergeCell ref="AF29:AM29"/>
    <mergeCell ref="AN29:AT29"/>
    <mergeCell ref="Z30:AE30"/>
    <mergeCell ref="AF30:AM30"/>
    <mergeCell ref="AN30:AT30"/>
    <mergeCell ref="C29:H29"/>
    <mergeCell ref="C30:H30"/>
    <mergeCell ref="A41:AT41"/>
    <mergeCell ref="C39:AT39"/>
    <mergeCell ref="AP37:AT37"/>
    <mergeCell ref="AC37:AL37"/>
    <mergeCell ref="X37:AB37"/>
    <mergeCell ref="A37:E37"/>
    <mergeCell ref="F37:O37"/>
    <mergeCell ref="S37:W37"/>
    <mergeCell ref="AN37:AO37"/>
    <mergeCell ref="D38:AT38"/>
    <mergeCell ref="Z27:AE27"/>
    <mergeCell ref="AF27:AM27"/>
    <mergeCell ref="AN27:AT27"/>
    <mergeCell ref="AS10:AT10"/>
    <mergeCell ref="AB17:AT17"/>
    <mergeCell ref="AG19:AT19"/>
    <mergeCell ref="AN20:AT20"/>
    <mergeCell ref="Z25:AE25"/>
    <mergeCell ref="AF25:AM25"/>
    <mergeCell ref="Z20:AE20"/>
    <mergeCell ref="AF20:AM20"/>
    <mergeCell ref="AN23:AT23"/>
    <mergeCell ref="AE10:AJ10"/>
    <mergeCell ref="AN24:AT24"/>
    <mergeCell ref="AN25:AT25"/>
    <mergeCell ref="AL16:AP16"/>
    <mergeCell ref="AF23:AM23"/>
    <mergeCell ref="I25:Y25"/>
    <mergeCell ref="AF22:AM22"/>
    <mergeCell ref="Z24:AE24"/>
    <mergeCell ref="AF24:AM24"/>
    <mergeCell ref="AV8:AW8"/>
    <mergeCell ref="AP8:AT8"/>
    <mergeCell ref="AP10:AR10"/>
    <mergeCell ref="AK9:AM9"/>
    <mergeCell ref="AK10:AM10"/>
  </mergeCells>
  <phoneticPr fontId="8" type="noConversion"/>
  <dataValidations count="3">
    <dataValidation type="list" allowBlank="1" showInputMessage="1" showErrorMessage="1" sqref="AC37:AL37 F37:O37" xr:uid="{C63DA030-1071-46A9-9776-2C1D8BD76892}">
      <formula1>Name.Personnel</formula1>
    </dataValidation>
    <dataValidation type="list" allowBlank="1" showInputMessage="1" showErrorMessage="1" sqref="C31:C32" xr:uid="{205C2F80-CC3B-4D23-BC37-7BA675F5F487}">
      <formula1>Toolcode.Apparatus</formula1>
    </dataValidation>
    <dataValidation type="list" allowBlank="1" showInputMessage="1" showErrorMessage="1" sqref="C24:H25" xr:uid="{E31C7F79-5BC8-49BE-9B5E-B080C4035C9C}">
      <formula1>INDIRECT($C$22)</formula1>
    </dataValidation>
  </dataValidations>
  <pageMargins left="0.19685039370078741" right="0.19685039370078741" top="0.19685039370078741" bottom="0.19685039370078741" header="0.31496062992125984" footer="0.31496062992125984"/>
  <pageSetup paperSize="9" scale="80" orientation="portrait" r:id="rId1"/>
  <headerFooter>
    <oddFooter>&amp;L&amp;"Times New Roman,Regular"P-WI-09-TEM-003-3 R03 (19/08/68) P&amp;P/&amp;N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" r:id="rId4" name="Check Box 23">
              <controlPr defaultSize="0" autoFill="0" autoLine="0" autoPict="0">
                <anchor moveWithCells="1">
                  <from>
                    <xdr:col>26</xdr:col>
                    <xdr:colOff>161925</xdr:colOff>
                    <xdr:row>17</xdr:row>
                    <xdr:rowOff>9525</xdr:rowOff>
                  </from>
                  <to>
                    <xdr:col>30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Check Box 26">
              <controlPr defaultSize="0" autoFill="0" autoLine="0" autoPict="0">
                <anchor moveWithCells="1">
                  <from>
                    <xdr:col>26</xdr:col>
                    <xdr:colOff>171450</xdr:colOff>
                    <xdr:row>17</xdr:row>
                    <xdr:rowOff>200025</xdr:rowOff>
                  </from>
                  <to>
                    <xdr:col>28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6" name="Button 29">
              <controlPr defaultSize="0" print="0" autoFill="0" autoPict="0" macro="[0]!create_cal">
                <anchor moveWithCells="1" sizeWithCells="1">
                  <from>
                    <xdr:col>50</xdr:col>
                    <xdr:colOff>9525</xdr:colOff>
                    <xdr:row>14</xdr:row>
                    <xdr:rowOff>19050</xdr:rowOff>
                  </from>
                  <to>
                    <xdr:col>51</xdr:col>
                    <xdr:colOff>457200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C4BEE8B-454B-4BFB-AC84-0E83165DF436}">
          <x14:formula1>
            <xm:f>Data!$K$2:$K$12</xm:f>
          </x14:formula1>
          <xm:sqref>I11:AC11</xm:sqref>
        </x14:dataValidation>
        <x14:dataValidation type="list" allowBlank="1" showInputMessage="1" showErrorMessage="1" xr:uid="{40012379-36CB-4700-802B-57CEF0D622C3}">
          <x14:formula1>
            <xm:f>STD!$A$3:$A$6</xm:f>
          </x14:formula1>
          <xm:sqref>C22:H22</xm:sqref>
        </x14:dataValidation>
        <x14:dataValidation type="list" allowBlank="1" showInputMessage="1" showErrorMessage="1" xr:uid="{DA3F88AE-A20A-402D-AA5D-BF7FFA046234}">
          <x14:formula1>
            <xm:f>STD!$A$26:$A$32</xm:f>
          </x14:formula1>
          <xm:sqref>C23:H23</xm:sqref>
        </x14:dataValidation>
        <x14:dataValidation type="list" allowBlank="1" showInputMessage="1" showErrorMessage="1" xr:uid="{293D5241-56A1-4100-83BA-604EDC9A20A6}">
          <x14:formula1>
            <xm:f>STD!$A$13:$A$18</xm:f>
          </x14:formula1>
          <xm:sqref>C29:H30</xm:sqref>
        </x14:dataValidation>
        <x14:dataValidation type="list" allowBlank="1" showInputMessage="1" showErrorMessage="1" xr:uid="{0C225EF4-3705-4F8A-AE7A-688E6A22D55E}">
          <x14:formula1>
            <xm:f>Data!$A$2:$A$53</xm:f>
          </x14:formula1>
          <xm:sqref>I6:K6</xm:sqref>
        </x14:dataValidation>
        <x14:dataValidation type="list" allowBlank="1" showInputMessage="1" showErrorMessage="1" xr:uid="{36AC6654-FA4A-4183-AA12-53057B839B33}">
          <x14:formula1>
            <xm:f>STD!$W$25</xm:f>
          </x14:formula1>
          <xm:sqref>AJ14:AO14 AE13:AS13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4F5FF-6E7D-492B-AF7B-B862A9539E37}">
  <dimension ref="A1:T33"/>
  <sheetViews>
    <sheetView workbookViewId="0">
      <selection activeCell="F28" sqref="F28"/>
    </sheetView>
  </sheetViews>
  <sheetFormatPr defaultRowHeight="12.75"/>
  <cols>
    <col min="1" max="1" width="17.5703125" bestFit="1" customWidth="1"/>
    <col min="2" max="2" width="41" bestFit="1" customWidth="1"/>
    <col min="3" max="4" width="11.28515625" bestFit="1" customWidth="1"/>
    <col min="5" max="5" width="13.140625" bestFit="1" customWidth="1"/>
    <col min="6" max="6" width="18" bestFit="1" customWidth="1"/>
    <col min="7" max="9" width="11.28515625" bestFit="1" customWidth="1"/>
    <col min="10" max="10" width="12.28515625" bestFit="1" customWidth="1"/>
    <col min="11" max="11" width="15.5703125" bestFit="1" customWidth="1"/>
    <col min="12" max="14" width="13.42578125" bestFit="1" customWidth="1"/>
    <col min="15" max="15" width="12.28515625" bestFit="1" customWidth="1"/>
    <col min="16" max="16" width="30.28515625" bestFit="1" customWidth="1"/>
    <col min="17" max="17" width="12.28515625" bestFit="1" customWidth="1"/>
    <col min="18" max="18" width="27.7109375" bestFit="1" customWidth="1"/>
    <col min="19" max="19" width="30" bestFit="1" customWidth="1"/>
    <col min="20" max="20" width="12.28515625" bestFit="1" customWidth="1"/>
  </cols>
  <sheetData>
    <row r="1" spans="1:20">
      <c r="A1" t="s">
        <v>512</v>
      </c>
      <c r="B1" t="s">
        <v>496</v>
      </c>
      <c r="C1" t="s">
        <v>497</v>
      </c>
      <c r="D1" t="s">
        <v>498</v>
      </c>
      <c r="E1" t="s">
        <v>499</v>
      </c>
      <c r="F1" t="s">
        <v>500</v>
      </c>
      <c r="G1" t="s">
        <v>501</v>
      </c>
      <c r="H1" t="s">
        <v>513</v>
      </c>
      <c r="I1" t="s">
        <v>502</v>
      </c>
      <c r="J1" t="s">
        <v>503</v>
      </c>
      <c r="K1" t="s">
        <v>514</v>
      </c>
      <c r="L1" t="s">
        <v>515</v>
      </c>
      <c r="M1" t="s">
        <v>516</v>
      </c>
      <c r="N1" t="s">
        <v>517</v>
      </c>
      <c r="O1" t="s">
        <v>518</v>
      </c>
      <c r="P1" t="s">
        <v>519</v>
      </c>
      <c r="Q1" t="s">
        <v>520</v>
      </c>
      <c r="R1" t="s">
        <v>521</v>
      </c>
      <c r="S1" t="s">
        <v>522</v>
      </c>
      <c r="T1" t="s">
        <v>523</v>
      </c>
    </row>
    <row r="2" spans="1:20">
      <c r="A2" t="s">
        <v>26</v>
      </c>
      <c r="K2" t="s">
        <v>303</v>
      </c>
      <c r="P2" t="s">
        <v>524</v>
      </c>
      <c r="Q2" t="s">
        <v>525</v>
      </c>
      <c r="R2" t="s">
        <v>454</v>
      </c>
      <c r="S2" t="s">
        <v>526</v>
      </c>
    </row>
    <row r="3" spans="1:20">
      <c r="A3" t="s">
        <v>295</v>
      </c>
      <c r="B3" t="s">
        <v>294</v>
      </c>
      <c r="C3" t="s">
        <v>296</v>
      </c>
      <c r="D3" t="s">
        <v>27</v>
      </c>
      <c r="E3" t="s">
        <v>28</v>
      </c>
      <c r="F3" t="s">
        <v>293</v>
      </c>
      <c r="G3" t="s">
        <v>182</v>
      </c>
      <c r="K3" t="s">
        <v>479</v>
      </c>
      <c r="L3" t="s">
        <v>445</v>
      </c>
      <c r="M3" t="s">
        <v>446</v>
      </c>
      <c r="N3" t="s">
        <v>447</v>
      </c>
      <c r="P3" t="s">
        <v>527</v>
      </c>
      <c r="Q3" t="s">
        <v>528</v>
      </c>
      <c r="R3" t="s">
        <v>465</v>
      </c>
      <c r="S3" t="s">
        <v>526</v>
      </c>
    </row>
    <row r="4" spans="1:20">
      <c r="A4" t="s">
        <v>446</v>
      </c>
      <c r="B4" t="s">
        <v>297</v>
      </c>
      <c r="C4" t="s">
        <v>104</v>
      </c>
      <c r="D4" t="s">
        <v>105</v>
      </c>
      <c r="E4" t="s">
        <v>289</v>
      </c>
      <c r="F4" t="s">
        <v>564</v>
      </c>
      <c r="G4" t="s">
        <v>565</v>
      </c>
      <c r="K4" t="s">
        <v>484</v>
      </c>
      <c r="L4" t="s">
        <v>448</v>
      </c>
      <c r="M4" t="s">
        <v>449</v>
      </c>
      <c r="N4" t="s">
        <v>450</v>
      </c>
      <c r="P4" t="s">
        <v>529</v>
      </c>
      <c r="Q4" t="s">
        <v>530</v>
      </c>
      <c r="R4" t="s">
        <v>382</v>
      </c>
      <c r="S4" t="s">
        <v>526</v>
      </c>
    </row>
    <row r="5" spans="1:20">
      <c r="A5" t="s">
        <v>447</v>
      </c>
      <c r="B5" t="s">
        <v>297</v>
      </c>
      <c r="C5" t="s">
        <v>104</v>
      </c>
      <c r="D5" t="s">
        <v>105</v>
      </c>
      <c r="E5" t="s">
        <v>109</v>
      </c>
      <c r="F5" t="s">
        <v>576</v>
      </c>
      <c r="G5" t="s">
        <v>577</v>
      </c>
      <c r="K5" t="s">
        <v>488</v>
      </c>
      <c r="L5" t="s">
        <v>451</v>
      </c>
      <c r="M5" t="s">
        <v>452</v>
      </c>
      <c r="P5" t="s">
        <v>531</v>
      </c>
      <c r="Q5" t="s">
        <v>532</v>
      </c>
      <c r="R5" t="s">
        <v>478</v>
      </c>
      <c r="S5" t="s">
        <v>526</v>
      </c>
    </row>
    <row r="6" spans="1:20">
      <c r="A6" t="s">
        <v>445</v>
      </c>
      <c r="B6" t="s">
        <v>297</v>
      </c>
      <c r="C6" t="s">
        <v>104</v>
      </c>
      <c r="D6" t="s">
        <v>105</v>
      </c>
      <c r="E6" t="s">
        <v>290</v>
      </c>
      <c r="F6" t="s">
        <v>578</v>
      </c>
      <c r="G6" t="s">
        <v>579</v>
      </c>
      <c r="P6" t="s">
        <v>533</v>
      </c>
      <c r="Q6" t="s">
        <v>534</v>
      </c>
      <c r="R6" t="s">
        <v>455</v>
      </c>
      <c r="S6" t="s">
        <v>535</v>
      </c>
    </row>
    <row r="7" spans="1:20">
      <c r="A7" t="s">
        <v>479</v>
      </c>
      <c r="B7" t="s">
        <v>480</v>
      </c>
      <c r="C7" t="s">
        <v>481</v>
      </c>
      <c r="D7" t="s">
        <v>482</v>
      </c>
      <c r="E7" t="s">
        <v>483</v>
      </c>
      <c r="F7" s="227">
        <v>45908</v>
      </c>
      <c r="G7" t="s">
        <v>557</v>
      </c>
      <c r="P7" t="s">
        <v>536</v>
      </c>
      <c r="Q7" t="s">
        <v>537</v>
      </c>
      <c r="R7" t="s">
        <v>538</v>
      </c>
      <c r="S7" t="s">
        <v>536</v>
      </c>
    </row>
    <row r="8" spans="1:20">
      <c r="P8" t="s">
        <v>539</v>
      </c>
      <c r="Q8" t="s">
        <v>539</v>
      </c>
      <c r="R8" t="s">
        <v>540</v>
      </c>
      <c r="S8" t="s">
        <v>526</v>
      </c>
    </row>
    <row r="9" spans="1:20">
      <c r="P9" t="s">
        <v>541</v>
      </c>
      <c r="Q9" t="s">
        <v>542</v>
      </c>
      <c r="R9" t="s">
        <v>543</v>
      </c>
      <c r="S9" t="s">
        <v>541</v>
      </c>
    </row>
    <row r="12" spans="1:20">
      <c r="A12" t="s">
        <v>1</v>
      </c>
    </row>
    <row r="13" spans="1:20">
      <c r="A13" t="s">
        <v>295</v>
      </c>
      <c r="B13" t="s">
        <v>294</v>
      </c>
      <c r="C13" t="s">
        <v>296</v>
      </c>
      <c r="D13" t="s">
        <v>27</v>
      </c>
      <c r="E13" t="s">
        <v>28</v>
      </c>
      <c r="F13" t="s">
        <v>293</v>
      </c>
      <c r="G13" t="s">
        <v>182</v>
      </c>
      <c r="P13" t="s">
        <v>544</v>
      </c>
      <c r="Q13" t="s">
        <v>542</v>
      </c>
    </row>
    <row r="14" spans="1:20">
      <c r="A14" t="s">
        <v>461</v>
      </c>
      <c r="B14" t="s">
        <v>103</v>
      </c>
      <c r="C14" t="s">
        <v>106</v>
      </c>
      <c r="D14" t="s">
        <v>75</v>
      </c>
      <c r="E14" t="s">
        <v>99</v>
      </c>
      <c r="F14" t="s">
        <v>561</v>
      </c>
      <c r="G14" t="s">
        <v>562</v>
      </c>
      <c r="P14" t="s">
        <v>545</v>
      </c>
      <c r="Q14" t="s">
        <v>546</v>
      </c>
    </row>
    <row r="15" spans="1:20">
      <c r="A15" t="s">
        <v>462</v>
      </c>
      <c r="B15" t="s">
        <v>103</v>
      </c>
      <c r="C15" t="s">
        <v>106</v>
      </c>
      <c r="D15" t="s">
        <v>75</v>
      </c>
      <c r="E15" t="s">
        <v>107</v>
      </c>
      <c r="F15" t="s">
        <v>551</v>
      </c>
      <c r="G15" t="s">
        <v>552</v>
      </c>
      <c r="P15" t="s">
        <v>547</v>
      </c>
      <c r="Q15" t="s">
        <v>539</v>
      </c>
    </row>
    <row r="16" spans="1:20">
      <c r="A16" t="s">
        <v>463</v>
      </c>
      <c r="B16" t="s">
        <v>103</v>
      </c>
      <c r="C16" t="s">
        <v>106</v>
      </c>
      <c r="D16" t="s">
        <v>75</v>
      </c>
      <c r="E16" t="s">
        <v>108</v>
      </c>
      <c r="F16" t="s">
        <v>553</v>
      </c>
      <c r="G16" t="s">
        <v>554</v>
      </c>
    </row>
    <row r="17" spans="1:7">
      <c r="A17" t="s">
        <v>476</v>
      </c>
      <c r="B17" t="s">
        <v>103</v>
      </c>
      <c r="C17" t="s">
        <v>106</v>
      </c>
      <c r="D17" t="s">
        <v>75</v>
      </c>
      <c r="E17" t="s">
        <v>477</v>
      </c>
      <c r="F17" t="s">
        <v>551</v>
      </c>
      <c r="G17" t="s">
        <v>555</v>
      </c>
    </row>
    <row r="18" spans="1:7">
      <c r="A18" t="s">
        <v>453</v>
      </c>
      <c r="B18" t="s">
        <v>178</v>
      </c>
      <c r="C18" t="s">
        <v>104</v>
      </c>
      <c r="D18" t="s">
        <v>179</v>
      </c>
      <c r="E18" t="s">
        <v>181</v>
      </c>
      <c r="F18" s="227">
        <v>45931</v>
      </c>
      <c r="G18" t="s">
        <v>558</v>
      </c>
    </row>
    <row r="19" spans="1:7">
      <c r="A19" t="s">
        <v>464</v>
      </c>
      <c r="B19" t="s">
        <v>178</v>
      </c>
      <c r="C19" t="s">
        <v>104</v>
      </c>
      <c r="D19" t="s">
        <v>179</v>
      </c>
      <c r="E19" t="s">
        <v>180</v>
      </c>
      <c r="F19" s="227">
        <v>45883</v>
      </c>
      <c r="G19" t="s">
        <v>556</v>
      </c>
    </row>
    <row r="25" spans="1:7">
      <c r="A25" t="s">
        <v>302</v>
      </c>
    </row>
    <row r="26" spans="1:7">
      <c r="A26" t="s">
        <v>295</v>
      </c>
      <c r="B26" t="s">
        <v>294</v>
      </c>
      <c r="C26" t="s">
        <v>296</v>
      </c>
      <c r="D26" t="s">
        <v>27</v>
      </c>
      <c r="E26" t="s">
        <v>28</v>
      </c>
      <c r="F26" t="s">
        <v>293</v>
      </c>
      <c r="G26" t="s">
        <v>182</v>
      </c>
    </row>
    <row r="27" spans="1:7">
      <c r="A27" t="s">
        <v>484</v>
      </c>
      <c r="B27" t="s">
        <v>485</v>
      </c>
      <c r="C27" t="s">
        <v>104</v>
      </c>
      <c r="D27" t="s">
        <v>486</v>
      </c>
      <c r="E27" t="s">
        <v>487</v>
      </c>
      <c r="F27" s="227">
        <v>45944</v>
      </c>
      <c r="G27" t="s">
        <v>563</v>
      </c>
    </row>
    <row r="28" spans="1:7">
      <c r="A28" t="s">
        <v>488</v>
      </c>
      <c r="B28" t="s">
        <v>485</v>
      </c>
      <c r="C28" t="s">
        <v>104</v>
      </c>
      <c r="D28" t="s">
        <v>486</v>
      </c>
      <c r="E28" t="s">
        <v>489</v>
      </c>
      <c r="F28" s="227">
        <v>45896</v>
      </c>
      <c r="G28" t="s">
        <v>559</v>
      </c>
    </row>
    <row r="29" spans="1:7">
      <c r="A29" t="s">
        <v>449</v>
      </c>
      <c r="B29" t="s">
        <v>300</v>
      </c>
      <c r="C29" t="s">
        <v>104</v>
      </c>
      <c r="D29" t="s">
        <v>298</v>
      </c>
      <c r="E29" t="s">
        <v>454</v>
      </c>
    </row>
    <row r="30" spans="1:7">
      <c r="A30" t="s">
        <v>452</v>
      </c>
      <c r="B30" t="s">
        <v>301</v>
      </c>
      <c r="C30" t="s">
        <v>104</v>
      </c>
      <c r="D30" t="s">
        <v>298</v>
      </c>
      <c r="E30" t="s">
        <v>465</v>
      </c>
    </row>
    <row r="31" spans="1:7">
      <c r="A31" t="s">
        <v>450</v>
      </c>
      <c r="B31" t="s">
        <v>300</v>
      </c>
      <c r="C31" t="s">
        <v>104</v>
      </c>
      <c r="D31" t="s">
        <v>298</v>
      </c>
      <c r="E31" t="s">
        <v>382</v>
      </c>
    </row>
    <row r="32" spans="1:7">
      <c r="A32" t="s">
        <v>466</v>
      </c>
      <c r="B32" t="s">
        <v>301</v>
      </c>
      <c r="C32" t="s">
        <v>104</v>
      </c>
      <c r="D32" t="s">
        <v>299</v>
      </c>
      <c r="E32" t="s">
        <v>478</v>
      </c>
    </row>
    <row r="33" spans="1:5">
      <c r="A33" t="s">
        <v>451</v>
      </c>
      <c r="B33" t="s">
        <v>301</v>
      </c>
      <c r="C33" t="s">
        <v>104</v>
      </c>
      <c r="D33" t="s">
        <v>298</v>
      </c>
      <c r="E33" t="s">
        <v>455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47F8C-4787-447C-B076-3121DA91B9B4}">
  <sheetPr codeName="Sheet5"/>
  <dimension ref="A1:K53"/>
  <sheetViews>
    <sheetView topLeftCell="E1" zoomScale="115" zoomScaleNormal="115" workbookViewId="0">
      <selection activeCell="I20" sqref="I20"/>
    </sheetView>
  </sheetViews>
  <sheetFormatPr defaultRowHeight="18.75"/>
  <cols>
    <col min="1" max="1" width="8.85546875" style="59" bestFit="1" customWidth="1"/>
    <col min="2" max="2" width="31.28515625" style="59" customWidth="1"/>
    <col min="3" max="3" width="55.28515625" style="59" bestFit="1" customWidth="1"/>
    <col min="4" max="4" width="57.7109375" style="59" bestFit="1" customWidth="1"/>
    <col min="5" max="5" width="21.5703125" style="59" bestFit="1" customWidth="1"/>
    <col min="6" max="6" width="11.5703125" style="59" customWidth="1"/>
    <col min="7" max="7" width="6.85546875" style="59" customWidth="1"/>
    <col min="8" max="8" width="27.42578125" style="59" customWidth="1"/>
    <col min="9" max="9" width="10.85546875" style="59" customWidth="1"/>
    <col min="10" max="10" width="9.140625" style="59"/>
    <col min="11" max="12" width="47.7109375" style="59" customWidth="1"/>
    <col min="13" max="16384" width="9.140625" style="59"/>
  </cols>
  <sheetData>
    <row r="1" spans="1:11">
      <c r="A1" s="63" t="s">
        <v>36</v>
      </c>
      <c r="B1" s="64" t="s">
        <v>193</v>
      </c>
      <c r="C1" s="64" t="s">
        <v>286</v>
      </c>
      <c r="D1" s="64" t="s">
        <v>284</v>
      </c>
      <c r="E1" s="64" t="s">
        <v>285</v>
      </c>
      <c r="F1" s="65" t="s">
        <v>194</v>
      </c>
      <c r="H1" s="298" t="s">
        <v>287</v>
      </c>
      <c r="I1" s="298"/>
      <c r="J1" s="60"/>
      <c r="K1" s="60" t="s">
        <v>10</v>
      </c>
    </row>
    <row r="2" spans="1:11">
      <c r="A2" s="39">
        <f>'Data (2)'!A3</f>
        <v>101</v>
      </c>
      <c r="B2" s="39" t="str">
        <f>'Data (2)'!B3</f>
        <v>กรมแพทย์ทหารบก</v>
      </c>
      <c r="C2" s="39" t="str">
        <f>'Data (2)'!C3</f>
        <v>Army Medical Department</v>
      </c>
      <c r="D2" s="39" t="str">
        <f>'Data (2)'!D3</f>
        <v>8 Phayathai, Thung phayathai, Ratchathewi</v>
      </c>
      <c r="E2" s="39" t="str">
        <f>'Data (2)'!E3</f>
        <v>Bangkok</v>
      </c>
      <c r="F2" s="39">
        <f>'Data (2)'!F3</f>
        <v>10400</v>
      </c>
      <c r="G2" s="61"/>
      <c r="H2" s="62" t="s">
        <v>86</v>
      </c>
      <c r="I2" s="62" t="s">
        <v>291</v>
      </c>
      <c r="J2" s="60"/>
      <c r="K2" s="59" t="str">
        <f>Data_1[[#This Row],[UUC]]</f>
        <v>Temperature indicator with Resistance thermometer</v>
      </c>
    </row>
    <row r="3" spans="1:11" ht="21.75">
      <c r="A3" s="39">
        <f>'Data (2)'!A4</f>
        <v>102</v>
      </c>
      <c r="B3" s="39" t="str">
        <f>'Data (2)'!B4</f>
        <v>รพ.พระมงกุฏเกล้า</v>
      </c>
      <c r="C3" s="39" t="str">
        <f>'Data (2)'!C4</f>
        <v>Phramongkutklao Hospital</v>
      </c>
      <c r="D3" s="39" t="str">
        <f>'Data (2)'!D4</f>
        <v>315 Ratchawithi, Thung phayathai, Ratchathewi</v>
      </c>
      <c r="E3" s="39" t="str">
        <f>'Data (2)'!E4</f>
        <v>Bangkok</v>
      </c>
      <c r="F3" s="39">
        <f>'Data (2)'!F4</f>
        <v>10400</v>
      </c>
      <c r="H3" s="40" t="str">
        <f>Data_1[[#This Row],[Personnel]]</f>
        <v>Satit  Tipmanee</v>
      </c>
      <c r="I3" s="40" t="str">
        <f>Data_1[[#This Row],[Column9]]</f>
        <v>Col.</v>
      </c>
      <c r="J3" s="33"/>
      <c r="K3" s="59" t="str">
        <f>Data_1[[#This Row],[UUC]]</f>
        <v>Temperature indicator with Thermocouple Type K</v>
      </c>
    </row>
    <row r="4" spans="1:11" ht="21.75">
      <c r="A4" s="39">
        <f>'Data (2)'!A5</f>
        <v>103</v>
      </c>
      <c r="B4" s="39" t="str">
        <f>'Data (2)'!B5</f>
        <v>สถาบันพยาธิวิทยา</v>
      </c>
      <c r="C4" s="39" t="str">
        <f>'Data (2)'!C5</f>
        <v>Institute of Pathology</v>
      </c>
      <c r="D4" s="39" t="str">
        <f>'Data (2)'!D5</f>
        <v>2/2 Phayathai , Thung phayathai, Ratchathewi</v>
      </c>
      <c r="E4" s="39" t="str">
        <f>'Data (2)'!E5</f>
        <v>Bangkok</v>
      </c>
      <c r="F4" s="39">
        <f>'Data (2)'!F5</f>
        <v>10400</v>
      </c>
      <c r="H4" s="40" t="str">
        <f>Data_1[[#This Row],[Personnel]]</f>
        <v>Santipap  Chankan</v>
      </c>
      <c r="I4" s="40" t="str">
        <f>Data_1[[#This Row],[Column9]]</f>
        <v>Lt.Col.</v>
      </c>
      <c r="J4" s="33"/>
      <c r="K4" s="59" t="str">
        <f>Data_1[[#This Row],[UUC]]</f>
        <v>Thermo-hygrometer with probe</v>
      </c>
    </row>
    <row r="5" spans="1:11" ht="21.75">
      <c r="A5" s="39">
        <f>'Data (2)'!A6</f>
        <v>104</v>
      </c>
      <c r="B5" s="39" t="str">
        <f>'Data (2)'!B6</f>
        <v>รพ.อานันทมหิดล</v>
      </c>
      <c r="C5" s="39" t="str">
        <f>'Data (2)'!C6</f>
        <v>Ananda Mahidol Hospital</v>
      </c>
      <c r="D5" s="39" t="str">
        <f>'Data (2)'!D6</f>
        <v>35 Khao Sam Yot , Mueang Lopburi</v>
      </c>
      <c r="E5" s="39" t="str">
        <f>'Data (2)'!E6</f>
        <v xml:space="preserve"> Lopburi</v>
      </c>
      <c r="F5" s="39">
        <f>'Data (2)'!F6</f>
        <v>15000</v>
      </c>
      <c r="H5" s="40" t="str">
        <f>Data_1[[#This Row],[Personnel]]</f>
        <v>Totsaphon  Alunpipatthanachai</v>
      </c>
      <c r="I5" s="40" t="str">
        <f>Data_1[[#This Row],[Column9]]</f>
        <v>Maj.</v>
      </c>
      <c r="J5" s="33"/>
      <c r="K5" s="59" t="str">
        <f>Data_1[[#This Row],[UUC]]</f>
        <v>Freezer</v>
      </c>
    </row>
    <row r="6" spans="1:11" ht="21.75">
      <c r="A6" s="39">
        <f>'Data (2)'!A7</f>
        <v>105</v>
      </c>
      <c r="B6" s="39" t="str">
        <f>'Data (2)'!B7</f>
        <v>รพ.ค่ายธนะรัชต์</v>
      </c>
      <c r="C6" s="39" t="str">
        <f>'Data (2)'!C7</f>
        <v>Fort Thanarat Hospital</v>
      </c>
      <c r="D6" s="39" t="str">
        <f>'Data (2)'!D7</f>
        <v>125 Phetkasem, Khao Noi, Pranburi</v>
      </c>
      <c r="E6" s="39" t="str">
        <f>'Data (2)'!E7</f>
        <v>Prachuap Khiri Khan</v>
      </c>
      <c r="F6" s="39">
        <f>'Data (2)'!F7</f>
        <v>77120</v>
      </c>
      <c r="H6" s="40" t="str">
        <f>Data_1[[#This Row],[Personnel]]</f>
        <v>Tawatchai  Inhom</v>
      </c>
      <c r="I6" s="40" t="str">
        <f>Data_1[[#This Row],[Column9]]</f>
        <v>Lt.</v>
      </c>
      <c r="J6" s="33"/>
      <c r="K6" s="59" t="str">
        <f>Data_1[[#This Row],[UUC]]</f>
        <v>Refrigerator</v>
      </c>
    </row>
    <row r="7" spans="1:11" ht="21.75">
      <c r="A7" s="39">
        <f>'Data (2)'!A8</f>
        <v>106</v>
      </c>
      <c r="B7" s="39" t="str">
        <f>'Data (2)'!B8</f>
        <v>รพ.รร.นายร้อยพระจุลจอมเกล้า</v>
      </c>
      <c r="C7" s="39" t="str">
        <f>'Data (2)'!C8</f>
        <v>Chulachomklao Royal Military Academy Hospital</v>
      </c>
      <c r="D7" s="39" t="str">
        <f>'Data (2)'!D8</f>
        <v>99 Suwansorn , Brahmani, Muang Nakhon Nayok</v>
      </c>
      <c r="E7" s="39" t="str">
        <f>'Data (2)'!E8</f>
        <v>Nakhon Nayok</v>
      </c>
      <c r="F7" s="39">
        <f>'Data (2)'!F8</f>
        <v>26001</v>
      </c>
      <c r="H7" s="40" t="str">
        <f>Data_1[[#This Row],[Personnel]]</f>
        <v>Sataporn Rakjaroen</v>
      </c>
      <c r="I7" s="40" t="str">
        <f>Data_1[[#This Row],[Column9]]</f>
        <v>SubLt.</v>
      </c>
      <c r="J7" s="33"/>
      <c r="K7" s="59" t="str">
        <f>Data_1[[#This Row],[UUC]]</f>
        <v>Incubator</v>
      </c>
    </row>
    <row r="8" spans="1:11" ht="21.75">
      <c r="A8" s="39">
        <f>'Data (2)'!A9</f>
        <v>107</v>
      </c>
      <c r="B8" s="39" t="str">
        <f>'Data (2)'!B9</f>
        <v>รพ.ค่ายจักรพงษ์</v>
      </c>
      <c r="C8" s="39" t="str">
        <f>'Data (2)'!C9</f>
        <v>Fort Chakkraphong Hospital</v>
      </c>
      <c r="D8" s="39" t="str">
        <f>'Data (2)'!D9</f>
        <v>779 Na Mueang, Muang Prachinburi</v>
      </c>
      <c r="E8" s="39" t="str">
        <f>'Data (2)'!E9</f>
        <v>Prachinburi</v>
      </c>
      <c r="F8" s="39">
        <f>'Data (2)'!F9</f>
        <v>25000</v>
      </c>
      <c r="H8" s="40" t="str">
        <f>Data_1[[#This Row],[Personnel]]</f>
        <v>Kriangkrai  Taisawang</v>
      </c>
      <c r="I8" s="40" t="str">
        <f>Data_1[[#This Row],[Column9]]</f>
        <v>SM1</v>
      </c>
      <c r="J8" s="33"/>
      <c r="K8" s="59" t="str">
        <f>Data_1[[#This Row],[UUC]]</f>
        <v>Oven</v>
      </c>
    </row>
    <row r="9" spans="1:11" ht="21.75">
      <c r="A9" s="39">
        <f>'Data (2)'!A10</f>
        <v>108</v>
      </c>
      <c r="B9" s="39" t="str">
        <f>'Data (2)'!B10</f>
        <v>รพ.ค่ายสุรสีห์</v>
      </c>
      <c r="C9" s="39" t="str">
        <f>'Data (2)'!C10</f>
        <v>Fort Surasi Hospital</v>
      </c>
      <c r="D9" s="39" t="str">
        <f>'Data (2)'!D10</f>
        <v>281 Lat Ya, Muang Kanchanaburi</v>
      </c>
      <c r="E9" s="39" t="str">
        <f>'Data (2)'!E10</f>
        <v>Kanchanaburi</v>
      </c>
      <c r="F9" s="39">
        <f>'Data (2)'!F10</f>
        <v>71190</v>
      </c>
      <c r="H9" s="40" t="str">
        <f>Data_1[[#This Row],[Personnel]]</f>
        <v>Sarayut  Ek-onsang</v>
      </c>
      <c r="I9" s="40" t="str">
        <f>Data_1[[#This Row],[Column9]]</f>
        <v>SM1</v>
      </c>
      <c r="J9" s="33"/>
      <c r="K9" s="59" t="str">
        <f>Data_1[[#This Row],[UUC]]</f>
        <v>Liquid Bath</v>
      </c>
    </row>
    <row r="10" spans="1:11" ht="21.75">
      <c r="A10" s="39">
        <f>'Data (2)'!A11</f>
        <v>109</v>
      </c>
      <c r="B10" s="39" t="str">
        <f>'Data (2)'!B11</f>
        <v>รพ.ค่ายสุรสิงหนาท</v>
      </c>
      <c r="C10" s="39" t="str">
        <f>'Data (2)'!C11</f>
        <v>Fort Surasinghanart Hospital</v>
      </c>
      <c r="D10" s="39" t="str">
        <f>'Data (2)'!D11</f>
        <v>1/30 Phak Huai , Aranyaprathet</v>
      </c>
      <c r="E10" s="39" t="str">
        <f>'Data (2)'!E11</f>
        <v>Sa Kaeo</v>
      </c>
      <c r="F10" s="39">
        <f>'Data (2)'!F11</f>
        <v>27120</v>
      </c>
      <c r="H10" s="40" t="str">
        <f>Data_1[[#This Row],[Personnel]]</f>
        <v>Songkiet  Yamaumpon</v>
      </c>
      <c r="I10" s="40" t="str">
        <f>Data_1[[#This Row],[Column9]]</f>
        <v>SM1</v>
      </c>
      <c r="J10" s="33"/>
      <c r="K10" s="59" t="str">
        <f>Data_1[[#This Row],[UUC]]</f>
        <v>Autoclave</v>
      </c>
    </row>
    <row r="11" spans="1:11" ht="21.75">
      <c r="A11" s="39">
        <f>'Data (2)'!A12</f>
        <v>110</v>
      </c>
      <c r="B11" s="39" t="str">
        <f>'Data (2)'!B12</f>
        <v>รพ.ค่ายภาณุรังษี</v>
      </c>
      <c r="C11" s="39" t="str">
        <f>'Data (2)'!C12</f>
        <v>Fort Panurangsi Hospital</v>
      </c>
      <c r="D11" s="39" t="str">
        <f>'Data (2)'!D12</f>
        <v>285/1 Khok Mo , Muang Ratchaburi</v>
      </c>
      <c r="E11" s="39" t="str">
        <f>'Data (2)'!E12</f>
        <v>Ratchaburi</v>
      </c>
      <c r="F11" s="39">
        <f>'Data (2)'!F12</f>
        <v>70000</v>
      </c>
      <c r="H11" s="40" t="str">
        <f>Data_1[[#This Row],[Personnel]]</f>
        <v>Thawadchai  Pruksarattananon</v>
      </c>
      <c r="I11" s="40" t="str">
        <f>Data_1[[#This Row],[Column9]]</f>
        <v>SM1</v>
      </c>
      <c r="J11" s="33"/>
      <c r="K11" s="59" t="str">
        <f>Data_1[[#This Row],[UUC]]</f>
        <v>Centrifuge</v>
      </c>
    </row>
    <row r="12" spans="1:11" ht="21.75">
      <c r="A12" s="39">
        <f>'Data (2)'!A13</f>
        <v>111</v>
      </c>
      <c r="B12" s="39" t="str">
        <f>'Data (2)'!B13</f>
        <v>รพ.ค่ายอดิศร</v>
      </c>
      <c r="C12" s="39" t="str">
        <f>'Data (2)'!C13</f>
        <v>Fort Adison Hospital</v>
      </c>
      <c r="D12" s="39" t="str">
        <f>'Data (2)'!D13</f>
        <v>54 Pak Sleao, Mitraphap, Mueang Saraburi</v>
      </c>
      <c r="E12" s="39" t="str">
        <f>'Data (2)'!E13</f>
        <v>Saraburi</v>
      </c>
      <c r="F12" s="39">
        <f>'Data (2)'!F13</f>
        <v>18000</v>
      </c>
      <c r="H12" s="40" t="str">
        <f>Data_1[[#This Row],[Personnel]]</f>
        <v>Nattapong  Yubram</v>
      </c>
      <c r="I12" s="40" t="str">
        <f>Data_1[[#This Row],[Column9]]</f>
        <v>SM2</v>
      </c>
      <c r="J12" s="33"/>
      <c r="K12" s="59" t="str">
        <f>Data_1[[#This Row],[UUC]]</f>
        <v>Shaker</v>
      </c>
    </row>
    <row r="13" spans="1:11" ht="21.75">
      <c r="A13" s="39">
        <f>'Data (2)'!A14</f>
        <v>112</v>
      </c>
      <c r="B13" s="39" t="str">
        <f>'Data (2)'!B14</f>
        <v>รพ.ค่ายนวมินทราชินี</v>
      </c>
      <c r="C13" s="39" t="str">
        <f>'Data (2)'!C14</f>
        <v>Fort Nawamintharachini Hospital</v>
      </c>
      <c r="D13" s="39" t="str">
        <f>'Data (2)'!D14</f>
        <v>301 Ban Suan, Mueang Chon Buri</v>
      </c>
      <c r="E13" s="39" t="str">
        <f>'Data (2)'!E14</f>
        <v>Chon Buri</v>
      </c>
      <c r="F13" s="39">
        <f>'Data (2)'!F14</f>
        <v>20000</v>
      </c>
      <c r="H13" s="40" t="str">
        <f>Data_1[[#This Row],[Personnel]]</f>
        <v>Chaloem Thongim</v>
      </c>
      <c r="I13" s="40" t="str">
        <f>Data_1[[#This Row],[Column9]]</f>
        <v>Sgt.</v>
      </c>
      <c r="J13" s="33"/>
      <c r="K13" s="59">
        <f>Data_1[[#This Row],[UUC]]</f>
        <v>0</v>
      </c>
    </row>
    <row r="14" spans="1:11" ht="21.75">
      <c r="A14" s="39">
        <f>'Data (2)'!A15</f>
        <v>113</v>
      </c>
      <c r="B14" s="39" t="str">
        <f>'Data (2)'!B15</f>
        <v>รพ.ค่ายรามราชนิเวศน์</v>
      </c>
      <c r="C14" s="39" t="str">
        <f>'Data (2)'!C15</f>
        <v>Fort Ramratchaniwet Hospital</v>
      </c>
      <c r="D14" s="39" t="str">
        <f>'Data (2)'!D15</f>
        <v>121 Khlong Krasang, Mueang Phetchaburi</v>
      </c>
      <c r="E14" s="39" t="str">
        <f>'Data (2)'!E15</f>
        <v>Phetchaburi</v>
      </c>
      <c r="F14" s="39">
        <f>'Data (2)'!F15</f>
        <v>76000</v>
      </c>
      <c r="H14" s="40" t="str">
        <f>Data_1[[#This Row],[Personnel]]</f>
        <v>Kritdanai  Rergwitee</v>
      </c>
      <c r="I14" s="40" t="str">
        <f>Data_1[[#This Row],[Column9]]</f>
        <v>Sgt.</v>
      </c>
      <c r="J14" s="33"/>
    </row>
    <row r="15" spans="1:11">
      <c r="A15" s="39">
        <f>'Data (2)'!A16</f>
        <v>114</v>
      </c>
      <c r="B15" s="39" t="str">
        <f>'Data (2)'!B16</f>
        <v>วิทยาลัยแพทยศาสตร์พระมงกุฎเกล้า</v>
      </c>
      <c r="C15" s="39" t="str">
        <f>'Data (2)'!C16</f>
        <v>Phramongkutklao College of Medicine</v>
      </c>
      <c r="D15" s="39" t="str">
        <f>'Data (2)'!D16</f>
        <v>317 Ratchawithi, Thung phayathai, Ratchathewi</v>
      </c>
      <c r="E15" s="39" t="str">
        <f>'Data (2)'!E16</f>
        <v>Bangkok</v>
      </c>
      <c r="F15" s="39">
        <f>'Data (2)'!F16</f>
        <v>10400</v>
      </c>
      <c r="H15" s="40" t="str">
        <f>Data_1[[#This Row],[Personnel]]</f>
        <v>Ramesh  Autsadayuth</v>
      </c>
      <c r="I15" s="40" t="str">
        <f>Data_1[[#This Row],[Column9]]</f>
        <v>Sgt.</v>
      </c>
    </row>
    <row r="16" spans="1:11">
      <c r="A16" s="39">
        <f>'Data (2)'!A17</f>
        <v>115</v>
      </c>
      <c r="B16" s="39" t="str">
        <f>'Data (2)'!B17</f>
        <v>วิทยาลัยพยาบาลกองทัพบก</v>
      </c>
      <c r="C16" s="39" t="str">
        <f>'Data (2)'!C17</f>
        <v>The Royal Thai Army Nursing College</v>
      </c>
      <c r="D16" s="39" t="str">
        <f>'Data (2)'!D17</f>
        <v>317/6 Ratchawithi, Thung phayathai, Ratchathewi</v>
      </c>
      <c r="E16" s="39" t="str">
        <f>'Data (2)'!E17</f>
        <v>Bangkok</v>
      </c>
      <c r="F16" s="39">
        <f>'Data (2)'!F17</f>
        <v>10400</v>
      </c>
      <c r="H16" s="40" t="str">
        <f>Data_1[[#This Row],[Personnel]]</f>
        <v>Anotai  Kloekratok</v>
      </c>
      <c r="I16" s="40" t="str">
        <f>Data_1[[#This Row],[Column9]]</f>
        <v>Sgt.</v>
      </c>
    </row>
    <row r="17" spans="1:9">
      <c r="A17" s="39">
        <f>'Data (2)'!A18</f>
        <v>116</v>
      </c>
      <c r="B17" s="39" t="str">
        <f>'Data (2)'!B18</f>
        <v>สถาบันวิจัยวิทยาศาสตร์การแพทย์ทหาร</v>
      </c>
      <c r="C17" s="39" t="str">
        <f>'Data (2)'!C18</f>
        <v>Armed Forces Research Institute of Medical Sciences</v>
      </c>
      <c r="D17" s="39" t="str">
        <f>'Data (2)'!D18</f>
        <v>315/6 Ratchawithi, Thung phayathai, Ratchathewi</v>
      </c>
      <c r="E17" s="39" t="str">
        <f>'Data (2)'!E18</f>
        <v>Bangkok</v>
      </c>
      <c r="F17" s="39">
        <f>'Data (2)'!F18</f>
        <v>10400</v>
      </c>
      <c r="H17" s="40" t="str">
        <f>Data_1[[#This Row],[Personnel]]</f>
        <v>Chombhunut  Thanatphonphakdee</v>
      </c>
      <c r="I17" s="40" t="str">
        <f>Data_1[[#This Row],[Column9]]</f>
        <v>Miss</v>
      </c>
    </row>
    <row r="18" spans="1:9">
      <c r="A18" s="39">
        <f>'Data (2)'!A19</f>
        <v>201</v>
      </c>
      <c r="B18" s="39" t="str">
        <f>'Data (2)'!B19</f>
        <v>รพ.ค่ายสุรนารี</v>
      </c>
      <c r="C18" s="39" t="str">
        <f>'Data (2)'!C19</f>
        <v>Fort Suranari Hospital</v>
      </c>
      <c r="D18" s="39" t="str">
        <f>'Data (2)'!D19</f>
        <v>211 pibul la-aied, Nong Phai lom, Muang Nakhon Ratchasima</v>
      </c>
      <c r="E18" s="39" t="str">
        <f>'Data (2)'!E19</f>
        <v>Nakhon Ratchasima</v>
      </c>
      <c r="F18" s="39">
        <f>'Data (2)'!F19</f>
        <v>30000</v>
      </c>
      <c r="H18" s="40">
        <f>Data_1[[#This Row],[Personnel]]</f>
        <v>0</v>
      </c>
      <c r="I18" s="40">
        <f>Data_1[[#This Row],[Column9]]</f>
        <v>0</v>
      </c>
    </row>
    <row r="19" spans="1:9">
      <c r="A19" s="39">
        <f>'Data (2)'!A20</f>
        <v>202</v>
      </c>
      <c r="B19" s="39" t="str">
        <f>'Data (2)'!B20</f>
        <v>รพ.ค่ายสรรพสิทธิประสงค์</v>
      </c>
      <c r="C19" s="39" t="str">
        <f>'Data (2)'!C20</f>
        <v>Fort Sunpasitthiprasong Hospital</v>
      </c>
      <c r="D19" s="39" t="str">
        <f>'Data (2)'!D20</f>
        <v>383 Warin-Pibul , Saensuk, Warin Chamrap</v>
      </c>
      <c r="E19" s="39" t="str">
        <f>'Data (2)'!E20</f>
        <v>Ratchathani</v>
      </c>
      <c r="F19" s="39">
        <f>'Data (2)'!F20</f>
        <v>34190</v>
      </c>
    </row>
    <row r="20" spans="1:9">
      <c r="A20" s="39">
        <f>'Data (2)'!A21</f>
        <v>203</v>
      </c>
      <c r="B20" s="39" t="str">
        <f>'Data (2)'!B21</f>
        <v>รพ.ค่ายประจักษ์ศิลปาคม</v>
      </c>
      <c r="C20" s="39" t="str">
        <f>'Data (2)'!C21</f>
        <v>Fort Prackaksinlapakhom Hospital</v>
      </c>
      <c r="D20" s="39" t="str">
        <f>'Data (2)'!D21</f>
        <v>550 Thahan, Mak Khaeng, Muang Udon Thani</v>
      </c>
      <c r="E20" s="39" t="str">
        <f>'Data (2)'!E21</f>
        <v>Udon Thani</v>
      </c>
      <c r="F20" s="39">
        <f>'Data (2)'!F21</f>
        <v>41000</v>
      </c>
    </row>
    <row r="21" spans="1:9">
      <c r="A21" s="39">
        <f>'Data (2)'!A22</f>
        <v>204</v>
      </c>
      <c r="B21" s="39" t="str">
        <f>'Data (2)'!B22</f>
        <v>รพ.ค่ายสมเด็จพระพุทธยอดฟ้าฯ</v>
      </c>
      <c r="C21" s="39" t="str">
        <f>'Data (2)'!C22</f>
        <v>Fort Somdej Phrabuddha Yodfachulaloke Maharaja Hospital</v>
      </c>
      <c r="D21" s="39" t="str">
        <f>'Data (2)'!D22</f>
        <v>124 Chaeng Sanit Rd, Pho Sai, Mueang Roi Et</v>
      </c>
      <c r="E21" s="39" t="str">
        <f>'Data (2)'!E22</f>
        <v>Roi Et</v>
      </c>
      <c r="F21" s="39">
        <f>'Data (2)'!F22</f>
        <v>45280</v>
      </c>
    </row>
    <row r="22" spans="1:9">
      <c r="A22" s="39">
        <f>'Data (2)'!A23</f>
        <v>205</v>
      </c>
      <c r="B22" s="39" t="str">
        <f>'Data (2)'!B23</f>
        <v>รพ.ค่ายวีรวัฒน์โยธิน</v>
      </c>
      <c r="C22" s="39" t="str">
        <f>'Data (2)'!C23</f>
        <v>Fort Weerawatyothin Hospital</v>
      </c>
      <c r="D22" s="39" t="str">
        <f>'Data (2)'!D23</f>
        <v>777 Surin-Prasat , Nong Muang , Mueang Surin</v>
      </c>
      <c r="E22" s="39" t="str">
        <f>'Data (2)'!E23</f>
        <v>Surin</v>
      </c>
      <c r="F22" s="39">
        <f>'Data (2)'!F23</f>
        <v>32000</v>
      </c>
    </row>
    <row r="23" spans="1:9">
      <c r="A23" s="39">
        <f>'Data (2)'!A24</f>
        <v>206</v>
      </c>
      <c r="B23" s="39" t="str">
        <f>'Data (2)'!B24</f>
        <v>รพ.ค่ายกฤษณ์สีวะรา</v>
      </c>
      <c r="C23" s="39" t="str">
        <f>'Data (2)'!C24</f>
        <v>Fort Krit Siwara Hospital</v>
      </c>
      <c r="D23" s="39" t="str">
        <f>'Data (2)'!D24</f>
        <v>100/123 Thatnaweng, Muang Sakon Nakhon</v>
      </c>
      <c r="E23" s="39" t="str">
        <f>'Data (2)'!E24</f>
        <v>Sakon Nakhon</v>
      </c>
      <c r="F23" s="39">
        <f>'Data (2)'!F24</f>
        <v>47000</v>
      </c>
    </row>
    <row r="24" spans="1:9">
      <c r="A24" s="39">
        <f>'Data (2)'!A25</f>
        <v>207</v>
      </c>
      <c r="B24" s="39" t="str">
        <f>'Data (2)'!B25</f>
        <v>รพ.ค่ายศรีพัชรินทร</v>
      </c>
      <c r="C24" s="39" t="str">
        <f>'Data (2)'!C25</f>
        <v>Fort Sri-patcharinthorn Hospital</v>
      </c>
      <c r="D24" s="39" t="str">
        <f>'Data (2)'!D25</f>
        <v>100 Kasikorn ThungSang , Sila , Mueang Khon Kaen</v>
      </c>
      <c r="E24" s="39" t="str">
        <f>'Data (2)'!E25</f>
        <v>Khon Kaen</v>
      </c>
      <c r="F24" s="39">
        <f>'Data (2)'!F25</f>
        <v>40000</v>
      </c>
    </row>
    <row r="25" spans="1:9">
      <c r="A25" s="39">
        <f>'Data (2)'!A26</f>
        <v>208</v>
      </c>
      <c r="B25" s="39" t="str">
        <f>'Data (2)'!B26</f>
        <v>รพ.ค่ายสมเด็จเจ้าพระยามหากษัตริย์ศึก</v>
      </c>
      <c r="C25" s="39" t="str">
        <f>'Data (2)'!C26</f>
        <v>Fort Somdet Chao Phraya Mahakasatsuek Hospital</v>
      </c>
      <c r="D25" s="39" t="str">
        <f>'Data (2)'!D26</f>
        <v>147 Buriram Prakhonchai,  Samet , Mueang Buriram</v>
      </c>
      <c r="E25" s="39" t="str">
        <f>'Data (2)'!E26</f>
        <v>Buriram</v>
      </c>
      <c r="F25" s="39">
        <f>'Data (2)'!F26</f>
        <v>31000</v>
      </c>
    </row>
    <row r="26" spans="1:9">
      <c r="A26" s="39">
        <f>'Data (2)'!A27</f>
        <v>209</v>
      </c>
      <c r="B26" s="39" t="str">
        <f>'Data (2)'!B27</f>
        <v>รพ.ค่ายศรีสองรัก</v>
      </c>
      <c r="C26" s="39" t="str">
        <f>'Data (2)'!C27</f>
        <v>Fort Srisongrak Hospital</v>
      </c>
      <c r="D26" s="39" t="str">
        <f>'Data (2)'!D27</f>
        <v>68 Loei-Chiang Khan , Srisamrak, Muang Loei</v>
      </c>
      <c r="E26" s="39" t="str">
        <f>'Data (2)'!E27</f>
        <v>Loei</v>
      </c>
      <c r="F26" s="39">
        <f>'Data (2)'!F27</f>
        <v>42100</v>
      </c>
    </row>
    <row r="27" spans="1:9">
      <c r="A27" s="39">
        <f>'Data (2)'!A28</f>
        <v>210</v>
      </c>
      <c r="B27" s="39" t="str">
        <f>'Data (2)'!B28</f>
        <v>รพ.ค่ายพระยอดเมืองขวาง</v>
      </c>
      <c r="C27" s="39" t="str">
        <f>'Data (2)'!C28</f>
        <v>Fort Phrayotmueangkhwang Hospital</v>
      </c>
      <c r="D27" s="39" t="str">
        <f>'Data (2)'!D28</f>
        <v>Kurukhu, Mueang Nakhon Phanom</v>
      </c>
      <c r="E27" s="39" t="str">
        <f>'Data (2)'!E28</f>
        <v>Nakhon Phanom</v>
      </c>
      <c r="F27" s="39">
        <f>'Data (2)'!F28</f>
        <v>48000</v>
      </c>
    </row>
    <row r="28" spans="1:9">
      <c r="A28" s="39">
        <f>'Data (2)'!A29</f>
        <v>301</v>
      </c>
      <c r="B28" s="39" t="str">
        <f>'Data (2)'!B29</f>
        <v>รพ.ค่ายสมเด็จพระนเรศวรมหาราช</v>
      </c>
      <c r="C28" s="39" t="str">
        <f>'Data (2)'!C29</f>
        <v>Fort Somdej Phranaresuan Maharaj Hospital</v>
      </c>
      <c r="D28" s="39" t="str">
        <f>'Data (2)'!D29</f>
        <v>9 Ban Khlong, Muang Phitsanulok</v>
      </c>
      <c r="E28" s="39" t="str">
        <f>'Data (2)'!E29</f>
        <v>Phitsanulok</v>
      </c>
      <c r="F28" s="39">
        <f>'Data (2)'!F29</f>
        <v>65000</v>
      </c>
    </row>
    <row r="29" spans="1:9">
      <c r="A29" s="39">
        <f>'Data (2)'!A30</f>
        <v>302</v>
      </c>
      <c r="B29" s="39" t="str">
        <f>'Data (2)'!B30</f>
        <v>รพ.ค่ายจิรประวัติ</v>
      </c>
      <c r="C29" s="39" t="str">
        <f>'Data (2)'!C30</f>
        <v>Fort Chiraprawat Hospital</v>
      </c>
      <c r="D29" s="39" t="str">
        <f>'Data (2)'!D30</f>
        <v>161 Phaholyothin, Klangsaeng, Muang Nakhon Sawan</v>
      </c>
      <c r="E29" s="39" t="str">
        <f>'Data (2)'!E30</f>
        <v>Nakhon Sawan</v>
      </c>
      <c r="F29" s="39">
        <f>'Data (2)'!F30</f>
        <v>60000</v>
      </c>
    </row>
    <row r="30" spans="1:9">
      <c r="A30" s="39">
        <f>'Data (2)'!A31</f>
        <v>303</v>
      </c>
      <c r="B30" s="39" t="str">
        <f>'Data (2)'!B31</f>
        <v>รพ.ค่ายกาวิละ</v>
      </c>
      <c r="C30" s="39" t="str">
        <f>'Data (2)'!C31</f>
        <v>Fort Kawila Hospital</v>
      </c>
      <c r="D30" s="39" t="str">
        <f>'Data (2)'!D31</f>
        <v>285 Chiangmai-lamphun, Wat Ket , Mueang Chiang Mai</v>
      </c>
      <c r="E30" s="39" t="str">
        <f>'Data (2)'!E31</f>
        <v>Chiang Mai</v>
      </c>
      <c r="F30" s="39">
        <f>'Data (2)'!F31</f>
        <v>50000</v>
      </c>
    </row>
    <row r="31" spans="1:9">
      <c r="A31" s="39">
        <f>'Data (2)'!A32</f>
        <v>304</v>
      </c>
      <c r="B31" s="39" t="str">
        <f>'Data (2)'!B32</f>
        <v>รพ.ค่ายเม็งรายมหาราช</v>
      </c>
      <c r="C31" s="39" t="str">
        <f>'Data (2)'!C32</f>
        <v>Fort Mengraimaharaj Hospital</v>
      </c>
      <c r="D31" s="39" t="str">
        <f>'Data (2)'!D32</f>
        <v>256 Rob Wiang, Mueang Chiang Rai</v>
      </c>
      <c r="E31" s="39" t="str">
        <f>'Data (2)'!E32</f>
        <v>Chiang Rai</v>
      </c>
      <c r="F31" s="39">
        <f>'Data (2)'!F32</f>
        <v>57000</v>
      </c>
    </row>
    <row r="32" spans="1:9">
      <c r="A32" s="39">
        <f>'Data (2)'!A33</f>
        <v>305</v>
      </c>
      <c r="B32" s="39" t="str">
        <f>'Data (2)'!B33</f>
        <v>รพ.ค่ายพิชัยดาบหัก</v>
      </c>
      <c r="C32" s="39" t="str">
        <f>'Data (2)'!C33</f>
        <v>Fort Pichai Dap Hak Hospital</v>
      </c>
      <c r="D32" s="39" t="str">
        <f>'Data (2)'!D33</f>
        <v>102 Samranruen, Tha Sao, Mueang Uttaradit</v>
      </c>
      <c r="E32" s="39" t="str">
        <f>'Data (2)'!E33</f>
        <v>Uttaradit</v>
      </c>
      <c r="F32" s="39">
        <f>'Data (2)'!F33</f>
        <v>53000</v>
      </c>
    </row>
    <row r="33" spans="1:6">
      <c r="A33" s="39">
        <f>'Data (2)'!A34</f>
        <v>306</v>
      </c>
      <c r="B33" s="39" t="str">
        <f>'Data (2)'!B34</f>
        <v>รพ.ค่ายสุรศักดิ์มนตรี</v>
      </c>
      <c r="C33" s="39" t="str">
        <f>'Data (2)'!C34</f>
        <v>Fort Surasakmontri Hospital</v>
      </c>
      <c r="D33" s="39" t="str">
        <f>'Data (2)'!D34</f>
        <v>1 Phaholyothin, Phicha, Mueang Lampang</v>
      </c>
      <c r="E33" s="39" t="str">
        <f>'Data (2)'!E34</f>
        <v>Lampang</v>
      </c>
      <c r="F33" s="39">
        <f>'Data (2)'!F34</f>
        <v>52000</v>
      </c>
    </row>
    <row r="34" spans="1:6">
      <c r="A34" s="39">
        <f>'Data (2)'!A35</f>
        <v>307</v>
      </c>
      <c r="B34" s="39" t="str">
        <f>'Data (2)'!B35</f>
        <v>รพ.ค่ายพ่อขุนผาเมือง</v>
      </c>
      <c r="C34" s="39" t="str">
        <f>'Data (2)'!C35</f>
        <v>Fort Phokhunphamueang Hospital</v>
      </c>
      <c r="D34" s="39" t="str">
        <f>'Data (2)'!D35</f>
        <v>99/2329 Saraburi-Lomsak, Satang , Mueang Phetchabun</v>
      </c>
      <c r="E34" s="39" t="str">
        <f>'Data (2)'!E35</f>
        <v>Phetchabun</v>
      </c>
      <c r="F34" s="39">
        <f>'Data (2)'!F35</f>
        <v>67000</v>
      </c>
    </row>
    <row r="35" spans="1:6">
      <c r="A35" s="39">
        <f>'Data (2)'!A36</f>
        <v>308</v>
      </c>
      <c r="B35" s="39" t="str">
        <f>'Data (2)'!B36</f>
        <v>รพ.ค่ายวชิรปราการ</v>
      </c>
      <c r="C35" s="39" t="str">
        <f>'Data (2)'!C36</f>
        <v>Fort Wachiraprakan Hospital</v>
      </c>
      <c r="D35" s="39" t="str">
        <f>'Data (2)'!D36</f>
        <v>337 Mai Ngam, Mueang Tak</v>
      </c>
      <c r="E35" s="39" t="str">
        <f>'Data (2)'!E36</f>
        <v>Tak</v>
      </c>
      <c r="F35" s="39">
        <f>'Data (2)'!F36</f>
        <v>63000</v>
      </c>
    </row>
    <row r="36" spans="1:6">
      <c r="A36" s="39">
        <f>'Data (2)'!A37</f>
        <v>309</v>
      </c>
      <c r="B36" s="39" t="str">
        <f>'Data (2)'!B37</f>
        <v xml:space="preserve">รพ.ค่ายขุนเจืองธรรมิกราช </v>
      </c>
      <c r="C36" s="39" t="str">
        <f>'Data (2)'!C37</f>
        <v>Fort Khunchueangthammikkarat Hospital</v>
      </c>
      <c r="D36" s="39" t="str">
        <f>'Data (2)'!D37</f>
        <v>200 Thawangthong, Muang Phayao</v>
      </c>
      <c r="E36" s="39" t="str">
        <f>'Data (2)'!E37</f>
        <v>Phayao</v>
      </c>
      <c r="F36" s="39">
        <f>'Data (2)'!F37</f>
        <v>56000</v>
      </c>
    </row>
    <row r="37" spans="1:6">
      <c r="A37" s="39">
        <f>'Data (2)'!A38</f>
        <v>310</v>
      </c>
      <c r="B37" s="39" t="str">
        <f>'Data (2)'!B38</f>
        <v>รพ.ค่ายสุริยพงษ์</v>
      </c>
      <c r="C37" s="39" t="str">
        <f>'Data (2)'!C38</f>
        <v>Fort Suriyaphong Hospital</v>
      </c>
      <c r="D37" s="39" t="str">
        <f>'Data (2)'!D38</f>
        <v>330 Nan-Santisuk, fai-kaeo, Phu Phiang</v>
      </c>
      <c r="E37" s="39" t="str">
        <f>'Data (2)'!E38</f>
        <v>Nan</v>
      </c>
      <c r="F37" s="39">
        <f>'Data (2)'!F38</f>
        <v>55000</v>
      </c>
    </row>
    <row r="38" spans="1:6">
      <c r="A38" s="39">
        <f>'Data (2)'!A39</f>
        <v>401</v>
      </c>
      <c r="B38" s="39" t="str">
        <f>'Data (2)'!B39</f>
        <v>รพ.ค่ายวชิราวุธ</v>
      </c>
      <c r="C38" s="39" t="str">
        <f>'Data (2)'!C39</f>
        <v>Fort Wachirawut Hospital</v>
      </c>
      <c r="D38" s="39" t="str">
        <f>'Data (2)'!D39</f>
        <v>283 Ratchadamnoen, Pakpoon, Mueang Nakhon Si Thammarat</v>
      </c>
      <c r="E38" s="39" t="str">
        <f>'Data (2)'!E39</f>
        <v>Nakhon Si Thammarat</v>
      </c>
      <c r="F38" s="39">
        <f>'Data (2)'!F39</f>
        <v>80000</v>
      </c>
    </row>
    <row r="39" spans="1:6">
      <c r="A39" s="39">
        <f>'Data (2)'!A40</f>
        <v>402</v>
      </c>
      <c r="B39" s="39" t="str">
        <f>'Data (2)'!B40</f>
        <v>รพ.ค่ายเสนาณรงค์</v>
      </c>
      <c r="C39" s="39" t="str">
        <f>'Data (2)'!C40</f>
        <v>Fort Senanarong Hospital</v>
      </c>
      <c r="D39" s="39" t="str">
        <f>'Data (2)'!D40</f>
        <v>191 Kanchanavanich, Kho Hong, Hat Yai</v>
      </c>
      <c r="E39" s="39" t="str">
        <f>'Data (2)'!E40</f>
        <v>Songkhla</v>
      </c>
      <c r="F39" s="39">
        <f>'Data (2)'!F40</f>
        <v>90110</v>
      </c>
    </row>
    <row r="40" spans="1:6">
      <c r="A40" s="39">
        <f>'Data (2)'!A41</f>
        <v>403</v>
      </c>
      <c r="B40" s="39" t="str">
        <f>'Data (2)'!B41</f>
        <v>รพ.ค่ายวิภาวดีรังสิต</v>
      </c>
      <c r="C40" s="39" t="str">
        <f>'Data (2)'!C41</f>
        <v>Fort Wiphavadirangsit Hospital</v>
      </c>
      <c r="D40" s="39" t="str">
        <f>'Data (2)'!D41</f>
        <v>233 Makham Tia, Muang Surat Thani</v>
      </c>
      <c r="E40" s="39" t="str">
        <f>'Data (2)'!E41</f>
        <v>Surat Thani</v>
      </c>
      <c r="F40" s="39">
        <f>'Data (2)'!F41</f>
        <v>84000</v>
      </c>
    </row>
    <row r="41" spans="1:6">
      <c r="A41" s="39">
        <f>'Data (2)'!A42</f>
        <v>404</v>
      </c>
      <c r="B41" s="39" t="str">
        <f>'Data (2)'!B42</f>
        <v>รพ.ค่ายเทพสตรีศรีสุนทร</v>
      </c>
      <c r="C41" s="39" t="str">
        <f>'Data (2)'!C42</f>
        <v>Fort Thepsatsrisunthon Hospital</v>
      </c>
      <c r="D41" s="39" t="str">
        <f>'Data (2)'!D42</f>
        <v>181 Kapang, Thungsong</v>
      </c>
      <c r="E41" s="39" t="str">
        <f>'Data (2)'!E42</f>
        <v>Nakhon Si Thammarat</v>
      </c>
      <c r="F41" s="39">
        <f>'Data (2)'!F42</f>
        <v>80310</v>
      </c>
    </row>
    <row r="42" spans="1:6">
      <c r="A42" s="39">
        <f>'Data (2)'!A43</f>
        <v>405</v>
      </c>
      <c r="B42" s="39" t="str">
        <f>'Data (2)'!B43</f>
        <v>รพ.ค่ายอิงคยุทธบริหาร</v>
      </c>
      <c r="C42" s="39" t="str">
        <f>'Data (2)'!C43</f>
        <v>Fort Ingkhayutthaborihan Hospital</v>
      </c>
      <c r="D42" s="39" t="str">
        <f>'Data (2)'!D43</f>
        <v>2 Bo Thong, Nong Chik</v>
      </c>
      <c r="E42" s="39" t="str">
        <f>'Data (2)'!E43</f>
        <v>Pattani</v>
      </c>
      <c r="F42" s="39">
        <f>'Data (2)'!F43</f>
        <v>94170</v>
      </c>
    </row>
    <row r="43" spans="1:6">
      <c r="A43" s="39">
        <f>'Data (2)'!A44</f>
        <v>406</v>
      </c>
      <c r="B43" s="39" t="str">
        <f>'Data (2)'!B44</f>
        <v>รพ.ค่ายเขตอุดมศักดิ์</v>
      </c>
      <c r="C43" s="39" t="str">
        <f>'Data (2)'!C44</f>
        <v>Fort Khetudomsak Hospital</v>
      </c>
      <c r="D43" s="39" t="str">
        <f>'Data (2)'!D44</f>
        <v>193 Moo 1, Wang Mai, Mueang Chumphon</v>
      </c>
      <c r="E43" s="39" t="str">
        <f>'Data (2)'!E44</f>
        <v>Chumphon</v>
      </c>
      <c r="F43" s="39">
        <f>'Data (2)'!F44</f>
        <v>86190</v>
      </c>
    </row>
    <row r="44" spans="1:6">
      <c r="A44" s="39">
        <f>'Data (2)'!A45</f>
        <v>501</v>
      </c>
      <c r="B44" s="39" t="str">
        <f>'Data (2)'!B45</f>
        <v>พัน.สร.1</v>
      </c>
      <c r="C44" s="39" t="str">
        <f>'Data (2)'!C45</f>
        <v>1st Combat Medical Battalion</v>
      </c>
      <c r="D44" s="39" t="str">
        <f>'Data (2)'!D45</f>
        <v>35 Phichaidadhak, Khao Sam Yot, Mueang Lopburi</v>
      </c>
      <c r="E44" s="39" t="str">
        <f>'Data (2)'!E45</f>
        <v xml:space="preserve"> Lopburi</v>
      </c>
      <c r="F44" s="39">
        <f>'Data (2)'!F45</f>
        <v>15000</v>
      </c>
    </row>
    <row r="45" spans="1:6">
      <c r="A45" s="39">
        <f>'Data (2)'!A46</f>
        <v>502</v>
      </c>
      <c r="B45" s="39" t="str">
        <f>'Data (2)'!B46</f>
        <v>พัน.สร.2</v>
      </c>
      <c r="C45" s="39" t="str">
        <f>'Data (2)'!C46</f>
        <v>2nd Combat Medical Battalion</v>
      </c>
      <c r="D45" s="39" t="str">
        <f>'Data (2)'!D46</f>
        <v>Mai ked, Muang Prachinburi</v>
      </c>
      <c r="E45" s="39" t="str">
        <f>'Data (2)'!E46</f>
        <v>Prachinburi</v>
      </c>
      <c r="F45" s="39">
        <f>'Data (2)'!F46</f>
        <v>25230</v>
      </c>
    </row>
    <row r="46" spans="1:6">
      <c r="A46" s="39">
        <f>'Data (2)'!A47</f>
        <v>503</v>
      </c>
      <c r="B46" s="39" t="str">
        <f>'Data (2)'!B47</f>
        <v>พัน.สร.3</v>
      </c>
      <c r="C46" s="39" t="str">
        <f>'Data (2)'!C47</f>
        <v>3rd Combat Medical Battalion</v>
      </c>
      <c r="D46" s="39" t="str">
        <f>'Data (2)'!D47</f>
        <v>Pho glang, Muang Nakhon Ratchasima</v>
      </c>
      <c r="E46" s="39" t="str">
        <f>'Data (2)'!E47</f>
        <v>Nakhon Ratchasima</v>
      </c>
      <c r="F46" s="39">
        <f>'Data (2)'!F47</f>
        <v>30000</v>
      </c>
    </row>
    <row r="47" spans="1:6">
      <c r="A47" s="39">
        <f>'Data (2)'!A48</f>
        <v>504</v>
      </c>
      <c r="B47" s="39" t="str">
        <f>'Data (2)'!B48</f>
        <v>พัน.สร.4</v>
      </c>
      <c r="C47" s="39" t="str">
        <f>'Data (2)'!C48</f>
        <v>4th Combat Medical Battalion</v>
      </c>
      <c r="D47" s="39" t="str">
        <f>'Data (2)'!D48</f>
        <v>Ban Khlong, Muang Phitsanulok</v>
      </c>
      <c r="E47" s="39" t="str">
        <f>'Data (2)'!E48</f>
        <v>Phitsanulok</v>
      </c>
      <c r="F47" s="39">
        <f>'Data (2)'!F48</f>
        <v>65000</v>
      </c>
    </row>
    <row r="48" spans="1:6">
      <c r="A48" s="39">
        <f>'Data (2)'!A49</f>
        <v>505</v>
      </c>
      <c r="B48" s="39" t="str">
        <f>'Data (2)'!B49</f>
        <v>พัน.สร.5</v>
      </c>
      <c r="C48" s="39" t="str">
        <f>'Data (2)'!C49</f>
        <v>5th Combat Medical Battalion</v>
      </c>
      <c r="D48" s="39" t="str">
        <f>'Data (2)'!D49</f>
        <v>181 Kapang, Thungsong</v>
      </c>
      <c r="E48" s="39" t="str">
        <f>'Data (2)'!E49</f>
        <v>Nakhon Si Thammarat</v>
      </c>
      <c r="F48" s="39">
        <f>'Data (2)'!F49</f>
        <v>80310</v>
      </c>
    </row>
    <row r="49" spans="1:6">
      <c r="A49" s="39">
        <f>'Data (2)'!A50</f>
        <v>506</v>
      </c>
      <c r="B49" s="39" t="str">
        <f>'Data (2)'!B50</f>
        <v>พัน.สร.6</v>
      </c>
      <c r="C49" s="39" t="str">
        <f>'Data (2)'!C50</f>
        <v>6th Combat Medical Battalion</v>
      </c>
      <c r="D49" s="39" t="str">
        <f>'Data (2)'!D50</f>
        <v>119 , Phosai, Srisomdet</v>
      </c>
      <c r="E49" s="39" t="str">
        <f>'Data (2)'!E50</f>
        <v>Roi Et</v>
      </c>
      <c r="F49" s="39">
        <f>'Data (2)'!F50</f>
        <v>45280</v>
      </c>
    </row>
    <row r="50" spans="1:6">
      <c r="A50" s="39">
        <f>'Data (2)'!A51</f>
        <v>507</v>
      </c>
      <c r="B50" s="39" t="str">
        <f>'Data (2)'!B51</f>
        <v>พัน.สร.8</v>
      </c>
      <c r="C50" s="39" t="str">
        <f>'Data (2)'!C51</f>
        <v>8th Combat Medical Battalion</v>
      </c>
      <c r="D50" s="39" t="str">
        <f>'Data (2)'!D51</f>
        <v>Sadiang, Mueang Phetchabun</v>
      </c>
      <c r="E50" s="39" t="str">
        <f>'Data (2)'!E51</f>
        <v>Phetchabun</v>
      </c>
      <c r="F50" s="39">
        <f>'Data (2)'!F51</f>
        <v>67000</v>
      </c>
    </row>
    <row r="51" spans="1:6">
      <c r="A51" s="39">
        <f>'Data (2)'!A52</f>
        <v>508</v>
      </c>
      <c r="B51" s="39" t="str">
        <f>'Data (2)'!B52</f>
        <v>พัน.สร.กรม สน.พล.ร.9</v>
      </c>
      <c r="C51" s="39" t="str">
        <f>'Data (2)'!C52</f>
        <v>Combat Medical Battalion, 9th Service Support Regiment</v>
      </c>
      <c r="D51" s="39" t="str">
        <f>'Data (2)'!D52</f>
        <v>286 Lat Ya, Mueang Kanchanaburi</v>
      </c>
      <c r="E51" s="39" t="str">
        <f>'Data (2)'!E52</f>
        <v>Kanchanaburi</v>
      </c>
      <c r="F51" s="39">
        <f>'Data (2)'!F52</f>
        <v>71190</v>
      </c>
    </row>
    <row r="52" spans="1:6">
      <c r="A52" s="39">
        <f>'Data (2)'!A53</f>
        <v>509</v>
      </c>
      <c r="B52" s="39" t="str">
        <f>'Data (2)'!B53</f>
        <v>พัน.สร.13</v>
      </c>
      <c r="C52" s="39" t="str">
        <f>'Data (2)'!C53</f>
        <v>13th Combat Medical Battalion</v>
      </c>
      <c r="D52" s="39" t="str">
        <f>'Data (2)'!D53</f>
        <v>51/8 Thahan, Nakhonchaisri, Dusit</v>
      </c>
      <c r="E52" s="39" t="str">
        <f>'Data (2)'!E53</f>
        <v>Bangkok</v>
      </c>
      <c r="F52" s="39">
        <f>'Data (2)'!F53</f>
        <v>10300</v>
      </c>
    </row>
    <row r="53" spans="1:6">
      <c r="A53" s="39">
        <f>'Data (2)'!A57</f>
        <v>513</v>
      </c>
      <c r="B53" s="39" t="str">
        <f>'Data (2)'!B57</f>
        <v>ควภ.บชร.4</v>
      </c>
      <c r="C53" s="39" t="str">
        <f>'Data (2)'!C57</f>
        <v>4th Army Support Command</v>
      </c>
      <c r="D53" s="39" t="str">
        <f>'Data (2)'!D57</f>
        <v>181 Kapang, Thungsong</v>
      </c>
      <c r="E53" s="39" t="str">
        <f>'Data (2)'!E57</f>
        <v>Nakhon Si Thammarat</v>
      </c>
      <c r="F53" s="39">
        <f>'Data (2)'!F57</f>
        <v>80310</v>
      </c>
    </row>
  </sheetData>
  <dataConsolidate/>
  <mergeCells count="1">
    <mergeCell ref="H1:I1"/>
  </mergeCells>
  <pageMargins left="0.7" right="0.7" top="0.75" bottom="0.75" header="0.3" footer="0.3"/>
  <pageSetup paperSize="9"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F9BD9-D062-4552-B1A1-E23ACB1C8AF3}">
  <dimension ref="A1:K57"/>
  <sheetViews>
    <sheetView topLeftCell="D1" workbookViewId="0">
      <selection activeCell="E38" sqref="E38"/>
    </sheetView>
  </sheetViews>
  <sheetFormatPr defaultRowHeight="12.75"/>
  <cols>
    <col min="1" max="1" width="11.85546875" bestFit="1" customWidth="1"/>
    <col min="2" max="2" width="31.28515625" bestFit="1" customWidth="1"/>
    <col min="3" max="3" width="51.5703125" bestFit="1" customWidth="1"/>
    <col min="4" max="4" width="54.7109375" bestFit="1" customWidth="1"/>
    <col min="5" max="5" width="19.7109375" bestFit="1" customWidth="1"/>
    <col min="6" max="7" width="11.28515625" bestFit="1" customWidth="1"/>
    <col min="8" max="8" width="29.85546875" bestFit="1" customWidth="1"/>
    <col min="9" max="9" width="11.28515625" bestFit="1" customWidth="1"/>
    <col min="10" max="10" width="12.28515625" bestFit="1" customWidth="1"/>
    <col min="11" max="11" width="44.7109375" bestFit="1" customWidth="1"/>
  </cols>
  <sheetData>
    <row r="1" spans="1:11">
      <c r="A1" t="s">
        <v>59</v>
      </c>
      <c r="B1" t="s">
        <v>496</v>
      </c>
      <c r="C1" t="s">
        <v>497</v>
      </c>
      <c r="D1" t="s">
        <v>498</v>
      </c>
      <c r="E1" t="s">
        <v>499</v>
      </c>
      <c r="F1" t="s">
        <v>500</v>
      </c>
      <c r="G1" t="s">
        <v>501</v>
      </c>
      <c r="H1" t="s">
        <v>287</v>
      </c>
      <c r="I1" t="s">
        <v>502</v>
      </c>
      <c r="J1" t="s">
        <v>503</v>
      </c>
      <c r="K1" t="s">
        <v>10</v>
      </c>
    </row>
    <row r="2" spans="1:11">
      <c r="A2" t="s">
        <v>36</v>
      </c>
      <c r="B2" t="s">
        <v>193</v>
      </c>
      <c r="C2" t="s">
        <v>286</v>
      </c>
      <c r="D2" t="s">
        <v>284</v>
      </c>
      <c r="E2" t="s">
        <v>285</v>
      </c>
      <c r="F2" t="s">
        <v>194</v>
      </c>
      <c r="H2" t="s">
        <v>86</v>
      </c>
      <c r="I2" t="s">
        <v>291</v>
      </c>
      <c r="K2" t="s">
        <v>165</v>
      </c>
    </row>
    <row r="3" spans="1:11">
      <c r="A3">
        <v>101</v>
      </c>
      <c r="B3" t="s">
        <v>118</v>
      </c>
      <c r="C3" t="s">
        <v>117</v>
      </c>
      <c r="D3" t="s">
        <v>195</v>
      </c>
      <c r="E3" t="s">
        <v>173</v>
      </c>
      <c r="F3">
        <v>10400</v>
      </c>
      <c r="H3" t="s">
        <v>467</v>
      </c>
      <c r="I3" t="s">
        <v>166</v>
      </c>
      <c r="K3" t="s">
        <v>111</v>
      </c>
    </row>
    <row r="4" spans="1:11">
      <c r="A4">
        <v>102</v>
      </c>
      <c r="B4" t="s">
        <v>196</v>
      </c>
      <c r="C4" t="s">
        <v>172</v>
      </c>
      <c r="D4" t="s">
        <v>197</v>
      </c>
      <c r="E4" t="s">
        <v>173</v>
      </c>
      <c r="F4">
        <v>10400</v>
      </c>
      <c r="H4" t="s">
        <v>84</v>
      </c>
      <c r="I4" t="s">
        <v>167</v>
      </c>
      <c r="K4" t="s">
        <v>112</v>
      </c>
    </row>
    <row r="5" spans="1:11">
      <c r="A5">
        <v>103</v>
      </c>
      <c r="B5" t="s">
        <v>119</v>
      </c>
      <c r="C5" t="s">
        <v>198</v>
      </c>
      <c r="D5" t="s">
        <v>199</v>
      </c>
      <c r="E5" t="s">
        <v>173</v>
      </c>
      <c r="F5">
        <v>10400</v>
      </c>
      <c r="H5" t="s">
        <v>468</v>
      </c>
      <c r="I5" t="s">
        <v>492</v>
      </c>
      <c r="K5" t="s">
        <v>174</v>
      </c>
    </row>
    <row r="6" spans="1:11">
      <c r="A6">
        <v>104</v>
      </c>
      <c r="B6" t="s">
        <v>121</v>
      </c>
      <c r="C6" t="s">
        <v>332</v>
      </c>
      <c r="D6" t="s">
        <v>323</v>
      </c>
      <c r="E6" t="s">
        <v>308</v>
      </c>
      <c r="F6">
        <v>15000</v>
      </c>
      <c r="H6" t="s">
        <v>469</v>
      </c>
      <c r="I6" t="s">
        <v>493</v>
      </c>
      <c r="K6" t="s">
        <v>175</v>
      </c>
    </row>
    <row r="7" spans="1:11">
      <c r="A7">
        <v>105</v>
      </c>
      <c r="B7" t="s">
        <v>120</v>
      </c>
      <c r="C7" t="s">
        <v>200</v>
      </c>
      <c r="D7" t="s">
        <v>324</v>
      </c>
      <c r="E7" t="s">
        <v>309</v>
      </c>
      <c r="F7">
        <v>77120</v>
      </c>
      <c r="H7" t="s">
        <v>494</v>
      </c>
      <c r="I7" t="s">
        <v>168</v>
      </c>
      <c r="K7" t="s">
        <v>176</v>
      </c>
    </row>
    <row r="8" spans="1:11">
      <c r="A8">
        <v>106</v>
      </c>
      <c r="B8" t="s">
        <v>201</v>
      </c>
      <c r="C8" t="s">
        <v>202</v>
      </c>
      <c r="D8" t="s">
        <v>504</v>
      </c>
      <c r="E8" t="s">
        <v>203</v>
      </c>
      <c r="F8">
        <v>26001</v>
      </c>
      <c r="H8" t="s">
        <v>470</v>
      </c>
      <c r="I8" t="s">
        <v>169</v>
      </c>
      <c r="K8" t="s">
        <v>177</v>
      </c>
    </row>
    <row r="9" spans="1:11">
      <c r="A9">
        <v>107</v>
      </c>
      <c r="B9" t="s">
        <v>123</v>
      </c>
      <c r="C9" t="s">
        <v>204</v>
      </c>
      <c r="D9" t="s">
        <v>205</v>
      </c>
      <c r="E9" t="s">
        <v>310</v>
      </c>
      <c r="F9">
        <v>25000</v>
      </c>
      <c r="H9" t="s">
        <v>471</v>
      </c>
      <c r="I9" t="s">
        <v>169</v>
      </c>
      <c r="K9" t="s">
        <v>113</v>
      </c>
    </row>
    <row r="10" spans="1:11">
      <c r="A10">
        <v>108</v>
      </c>
      <c r="B10" t="s">
        <v>126</v>
      </c>
      <c r="C10" t="s">
        <v>206</v>
      </c>
      <c r="D10" t="s">
        <v>207</v>
      </c>
      <c r="E10" t="s">
        <v>208</v>
      </c>
      <c r="F10">
        <v>71190</v>
      </c>
      <c r="H10" t="s">
        <v>472</v>
      </c>
      <c r="I10" t="s">
        <v>169</v>
      </c>
      <c r="K10" t="s">
        <v>114</v>
      </c>
    </row>
    <row r="11" spans="1:11">
      <c r="A11">
        <v>109</v>
      </c>
      <c r="B11" t="s">
        <v>124</v>
      </c>
      <c r="C11" t="s">
        <v>209</v>
      </c>
      <c r="D11" t="s">
        <v>505</v>
      </c>
      <c r="E11" t="s">
        <v>210</v>
      </c>
      <c r="F11">
        <v>27120</v>
      </c>
      <c r="H11" t="s">
        <v>473</v>
      </c>
      <c r="I11" t="s">
        <v>169</v>
      </c>
      <c r="K11" t="s">
        <v>115</v>
      </c>
    </row>
    <row r="12" spans="1:11">
      <c r="A12">
        <v>110</v>
      </c>
      <c r="B12" t="s">
        <v>127</v>
      </c>
      <c r="C12" t="s">
        <v>211</v>
      </c>
      <c r="D12" t="s">
        <v>506</v>
      </c>
      <c r="E12" t="s">
        <v>212</v>
      </c>
      <c r="F12">
        <v>70000</v>
      </c>
      <c r="H12" t="s">
        <v>474</v>
      </c>
      <c r="I12" t="s">
        <v>566</v>
      </c>
      <c r="K12" t="s">
        <v>116</v>
      </c>
    </row>
    <row r="13" spans="1:11">
      <c r="A13">
        <v>111</v>
      </c>
      <c r="B13" t="s">
        <v>122</v>
      </c>
      <c r="C13" t="s">
        <v>433</v>
      </c>
      <c r="D13" t="s">
        <v>325</v>
      </c>
      <c r="E13" t="s">
        <v>213</v>
      </c>
      <c r="F13">
        <v>18000</v>
      </c>
      <c r="H13" t="s">
        <v>85</v>
      </c>
      <c r="I13" t="s">
        <v>170</v>
      </c>
    </row>
    <row r="14" spans="1:11">
      <c r="A14">
        <v>112</v>
      </c>
      <c r="B14" t="s">
        <v>125</v>
      </c>
      <c r="C14" t="s">
        <v>434</v>
      </c>
      <c r="D14" t="s">
        <v>214</v>
      </c>
      <c r="E14" t="s">
        <v>311</v>
      </c>
      <c r="F14">
        <v>20000</v>
      </c>
      <c r="H14" t="s">
        <v>458</v>
      </c>
      <c r="I14" t="s">
        <v>170</v>
      </c>
    </row>
    <row r="15" spans="1:11">
      <c r="A15">
        <v>113</v>
      </c>
      <c r="B15" t="s">
        <v>128</v>
      </c>
      <c r="C15" t="s">
        <v>215</v>
      </c>
      <c r="D15" t="s">
        <v>326</v>
      </c>
      <c r="E15" t="s">
        <v>312</v>
      </c>
      <c r="F15">
        <v>76000</v>
      </c>
      <c r="H15" t="s">
        <v>459</v>
      </c>
      <c r="I15" t="s">
        <v>170</v>
      </c>
    </row>
    <row r="16" spans="1:11">
      <c r="A16">
        <v>114</v>
      </c>
      <c r="B16" t="s">
        <v>567</v>
      </c>
      <c r="C16" t="s">
        <v>568</v>
      </c>
      <c r="D16" t="s">
        <v>569</v>
      </c>
      <c r="E16" t="s">
        <v>173</v>
      </c>
      <c r="F16">
        <v>10400</v>
      </c>
      <c r="H16" t="s">
        <v>460</v>
      </c>
      <c r="I16" t="s">
        <v>170</v>
      </c>
    </row>
    <row r="17" spans="1:9">
      <c r="A17">
        <v>115</v>
      </c>
      <c r="B17" t="s">
        <v>570</v>
      </c>
      <c r="C17" t="s">
        <v>571</v>
      </c>
      <c r="D17" t="s">
        <v>572</v>
      </c>
      <c r="E17" t="s">
        <v>173</v>
      </c>
      <c r="F17">
        <v>10400</v>
      </c>
      <c r="H17" t="s">
        <v>495</v>
      </c>
      <c r="I17" t="s">
        <v>171</v>
      </c>
    </row>
    <row r="18" spans="1:9">
      <c r="A18">
        <v>116</v>
      </c>
      <c r="B18" t="s">
        <v>573</v>
      </c>
      <c r="C18" t="s">
        <v>574</v>
      </c>
      <c r="D18" t="s">
        <v>575</v>
      </c>
      <c r="E18" t="s">
        <v>173</v>
      </c>
      <c r="F18">
        <v>10400</v>
      </c>
    </row>
    <row r="19" spans="1:9">
      <c r="A19">
        <v>201</v>
      </c>
      <c r="B19" t="s">
        <v>129</v>
      </c>
      <c r="C19" t="s">
        <v>216</v>
      </c>
      <c r="D19" t="s">
        <v>217</v>
      </c>
      <c r="E19" t="s">
        <v>313</v>
      </c>
      <c r="F19">
        <v>30000</v>
      </c>
    </row>
    <row r="20" spans="1:9">
      <c r="A20">
        <v>202</v>
      </c>
      <c r="B20" t="s">
        <v>136</v>
      </c>
      <c r="C20" t="s">
        <v>218</v>
      </c>
      <c r="D20" t="s">
        <v>507</v>
      </c>
      <c r="E20" t="s">
        <v>508</v>
      </c>
      <c r="F20">
        <v>34190</v>
      </c>
    </row>
    <row r="21" spans="1:9">
      <c r="A21">
        <v>203</v>
      </c>
      <c r="B21" t="s">
        <v>134</v>
      </c>
      <c r="C21" t="s">
        <v>219</v>
      </c>
      <c r="D21" t="s">
        <v>220</v>
      </c>
      <c r="E21" t="s">
        <v>221</v>
      </c>
      <c r="F21">
        <v>41000</v>
      </c>
    </row>
    <row r="22" spans="1:9">
      <c r="A22">
        <v>204</v>
      </c>
      <c r="B22" t="s">
        <v>132</v>
      </c>
      <c r="C22" t="s">
        <v>222</v>
      </c>
      <c r="D22" t="s">
        <v>457</v>
      </c>
      <c r="E22" t="s">
        <v>223</v>
      </c>
      <c r="F22">
        <v>45280</v>
      </c>
    </row>
    <row r="23" spans="1:9">
      <c r="A23">
        <v>205</v>
      </c>
      <c r="B23" t="s">
        <v>131</v>
      </c>
      <c r="C23" t="s">
        <v>333</v>
      </c>
      <c r="D23" t="s">
        <v>509</v>
      </c>
      <c r="E23" t="s">
        <v>314</v>
      </c>
      <c r="F23">
        <v>32000</v>
      </c>
    </row>
    <row r="24" spans="1:9">
      <c r="A24">
        <v>206</v>
      </c>
      <c r="B24" t="s">
        <v>137</v>
      </c>
      <c r="C24" t="s">
        <v>224</v>
      </c>
      <c r="D24" t="s">
        <v>327</v>
      </c>
      <c r="E24" t="s">
        <v>315</v>
      </c>
      <c r="F24">
        <v>47000</v>
      </c>
    </row>
    <row r="25" spans="1:9">
      <c r="A25">
        <v>207</v>
      </c>
      <c r="B25" t="s">
        <v>133</v>
      </c>
      <c r="C25" t="s">
        <v>435</v>
      </c>
      <c r="D25" t="s">
        <v>510</v>
      </c>
      <c r="E25" t="s">
        <v>316</v>
      </c>
      <c r="F25">
        <v>40000</v>
      </c>
    </row>
    <row r="26" spans="1:9">
      <c r="A26">
        <v>208</v>
      </c>
      <c r="B26" t="s">
        <v>130</v>
      </c>
      <c r="C26" t="s">
        <v>436</v>
      </c>
      <c r="D26" t="s">
        <v>328</v>
      </c>
      <c r="E26" t="s">
        <v>317</v>
      </c>
      <c r="F26">
        <v>31000</v>
      </c>
    </row>
    <row r="27" spans="1:9">
      <c r="A27">
        <v>209</v>
      </c>
      <c r="B27" t="s">
        <v>135</v>
      </c>
      <c r="C27" t="s">
        <v>225</v>
      </c>
      <c r="D27" t="s">
        <v>511</v>
      </c>
      <c r="E27" t="s">
        <v>226</v>
      </c>
      <c r="F27">
        <v>42100</v>
      </c>
    </row>
    <row r="28" spans="1:9">
      <c r="A28">
        <v>210</v>
      </c>
      <c r="B28" t="s">
        <v>437</v>
      </c>
      <c r="C28" t="s">
        <v>438</v>
      </c>
      <c r="D28" t="s">
        <v>439</v>
      </c>
      <c r="E28" t="s">
        <v>440</v>
      </c>
      <c r="F28">
        <v>48000</v>
      </c>
    </row>
    <row r="29" spans="1:9">
      <c r="A29">
        <v>301</v>
      </c>
      <c r="B29" t="s">
        <v>441</v>
      </c>
      <c r="C29" t="s">
        <v>227</v>
      </c>
      <c r="D29" t="s">
        <v>228</v>
      </c>
      <c r="E29" t="s">
        <v>268</v>
      </c>
      <c r="F29">
        <v>65000</v>
      </c>
    </row>
    <row r="30" spans="1:9">
      <c r="A30">
        <v>302</v>
      </c>
      <c r="B30" t="s">
        <v>138</v>
      </c>
      <c r="C30" t="s">
        <v>442</v>
      </c>
      <c r="D30" t="s">
        <v>329</v>
      </c>
      <c r="E30" t="s">
        <v>229</v>
      </c>
      <c r="F30">
        <v>60000</v>
      </c>
    </row>
    <row r="31" spans="1:9">
      <c r="A31">
        <v>303</v>
      </c>
      <c r="B31" t="s">
        <v>144</v>
      </c>
      <c r="C31" t="s">
        <v>334</v>
      </c>
      <c r="D31" t="s">
        <v>230</v>
      </c>
      <c r="E31" t="s">
        <v>231</v>
      </c>
      <c r="F31">
        <v>50000</v>
      </c>
    </row>
    <row r="32" spans="1:9">
      <c r="A32">
        <v>304</v>
      </c>
      <c r="B32" t="s">
        <v>145</v>
      </c>
      <c r="C32" t="s">
        <v>232</v>
      </c>
      <c r="D32" t="s">
        <v>330</v>
      </c>
      <c r="E32" t="s">
        <v>318</v>
      </c>
      <c r="F32">
        <v>57000</v>
      </c>
    </row>
    <row r="33" spans="1:6">
      <c r="A33">
        <v>305</v>
      </c>
      <c r="B33" t="s">
        <v>141</v>
      </c>
      <c r="C33" t="s">
        <v>233</v>
      </c>
      <c r="D33" t="s">
        <v>234</v>
      </c>
      <c r="E33" t="s">
        <v>235</v>
      </c>
      <c r="F33">
        <v>53000</v>
      </c>
    </row>
    <row r="34" spans="1:6">
      <c r="A34">
        <v>306</v>
      </c>
      <c r="B34" t="s">
        <v>236</v>
      </c>
      <c r="C34" t="s">
        <v>142</v>
      </c>
      <c r="D34" t="s">
        <v>237</v>
      </c>
      <c r="E34" t="s">
        <v>238</v>
      </c>
      <c r="F34">
        <v>52000</v>
      </c>
    </row>
    <row r="35" spans="1:6">
      <c r="A35">
        <v>307</v>
      </c>
      <c r="B35" t="s">
        <v>139</v>
      </c>
      <c r="C35" t="s">
        <v>239</v>
      </c>
      <c r="D35" t="s">
        <v>240</v>
      </c>
      <c r="E35" t="s">
        <v>274</v>
      </c>
      <c r="F35">
        <v>67000</v>
      </c>
    </row>
    <row r="36" spans="1:6">
      <c r="A36">
        <v>308</v>
      </c>
      <c r="B36" t="s">
        <v>140</v>
      </c>
      <c r="C36" t="s">
        <v>241</v>
      </c>
      <c r="D36" t="s">
        <v>331</v>
      </c>
      <c r="E36" t="s">
        <v>319</v>
      </c>
      <c r="F36">
        <v>63000</v>
      </c>
    </row>
    <row r="37" spans="1:6">
      <c r="A37">
        <v>309</v>
      </c>
      <c r="B37" t="s">
        <v>242</v>
      </c>
      <c r="C37" t="s">
        <v>443</v>
      </c>
      <c r="D37" t="s">
        <v>243</v>
      </c>
      <c r="E37" t="s">
        <v>244</v>
      </c>
      <c r="F37">
        <v>56000</v>
      </c>
    </row>
    <row r="38" spans="1:6">
      <c r="A38">
        <v>310</v>
      </c>
      <c r="B38" t="s">
        <v>143</v>
      </c>
      <c r="C38" t="s">
        <v>245</v>
      </c>
      <c r="D38" t="s">
        <v>246</v>
      </c>
      <c r="E38" t="s">
        <v>247</v>
      </c>
      <c r="F38">
        <v>55000</v>
      </c>
    </row>
    <row r="39" spans="1:6">
      <c r="A39">
        <v>401</v>
      </c>
      <c r="B39" t="s">
        <v>148</v>
      </c>
      <c r="C39" t="s">
        <v>248</v>
      </c>
      <c r="D39" t="s">
        <v>249</v>
      </c>
      <c r="E39" t="s">
        <v>307</v>
      </c>
      <c r="F39">
        <v>80000</v>
      </c>
    </row>
    <row r="40" spans="1:6">
      <c r="A40">
        <v>402</v>
      </c>
      <c r="B40" t="s">
        <v>150</v>
      </c>
      <c r="C40" t="s">
        <v>444</v>
      </c>
      <c r="D40" t="s">
        <v>250</v>
      </c>
      <c r="E40" t="s">
        <v>251</v>
      </c>
      <c r="F40">
        <v>90110</v>
      </c>
    </row>
    <row r="41" spans="1:6">
      <c r="A41">
        <v>403</v>
      </c>
      <c r="B41" t="s">
        <v>147</v>
      </c>
      <c r="C41" t="s">
        <v>252</v>
      </c>
      <c r="D41" t="s">
        <v>253</v>
      </c>
      <c r="E41" t="s">
        <v>254</v>
      </c>
      <c r="F41">
        <v>84000</v>
      </c>
    </row>
    <row r="42" spans="1:6">
      <c r="A42">
        <v>404</v>
      </c>
      <c r="B42" t="s">
        <v>149</v>
      </c>
      <c r="C42" t="s">
        <v>255</v>
      </c>
      <c r="D42" t="s">
        <v>256</v>
      </c>
      <c r="E42" t="s">
        <v>307</v>
      </c>
      <c r="F42">
        <v>80310</v>
      </c>
    </row>
    <row r="43" spans="1:6">
      <c r="A43">
        <v>405</v>
      </c>
      <c r="B43" t="s">
        <v>151</v>
      </c>
      <c r="C43" t="s">
        <v>257</v>
      </c>
      <c r="D43" t="s">
        <v>258</v>
      </c>
      <c r="E43" t="s">
        <v>259</v>
      </c>
      <c r="F43">
        <v>94170</v>
      </c>
    </row>
    <row r="44" spans="1:6">
      <c r="A44">
        <v>406</v>
      </c>
      <c r="B44" t="s">
        <v>146</v>
      </c>
      <c r="C44" t="s">
        <v>260</v>
      </c>
      <c r="D44" t="s">
        <v>548</v>
      </c>
      <c r="E44" t="s">
        <v>320</v>
      </c>
      <c r="F44">
        <v>86190</v>
      </c>
    </row>
    <row r="45" spans="1:6">
      <c r="A45">
        <v>501</v>
      </c>
      <c r="B45" t="s">
        <v>152</v>
      </c>
      <c r="C45" t="s">
        <v>261</v>
      </c>
      <c r="D45" t="s">
        <v>322</v>
      </c>
      <c r="E45" t="s">
        <v>308</v>
      </c>
      <c r="F45">
        <v>15000</v>
      </c>
    </row>
    <row r="46" spans="1:6">
      <c r="A46">
        <v>502</v>
      </c>
      <c r="B46" t="s">
        <v>153</v>
      </c>
      <c r="C46" t="s">
        <v>262</v>
      </c>
      <c r="D46" t="s">
        <v>263</v>
      </c>
      <c r="E46" t="s">
        <v>310</v>
      </c>
      <c r="F46">
        <v>25230</v>
      </c>
    </row>
    <row r="47" spans="1:6">
      <c r="A47">
        <v>503</v>
      </c>
      <c r="B47" t="s">
        <v>154</v>
      </c>
      <c r="C47" t="s">
        <v>264</v>
      </c>
      <c r="D47" t="s">
        <v>265</v>
      </c>
      <c r="E47" t="s">
        <v>313</v>
      </c>
      <c r="F47">
        <v>30000</v>
      </c>
    </row>
    <row r="48" spans="1:6">
      <c r="A48">
        <v>504</v>
      </c>
      <c r="B48" t="s">
        <v>155</v>
      </c>
      <c r="C48" t="s">
        <v>266</v>
      </c>
      <c r="D48" t="s">
        <v>267</v>
      </c>
      <c r="E48" t="s">
        <v>268</v>
      </c>
      <c r="F48">
        <v>65000</v>
      </c>
    </row>
    <row r="49" spans="1:6">
      <c r="A49">
        <v>505</v>
      </c>
      <c r="B49" t="s">
        <v>156</v>
      </c>
      <c r="C49" t="s">
        <v>269</v>
      </c>
      <c r="D49" t="s">
        <v>256</v>
      </c>
      <c r="E49" t="s">
        <v>307</v>
      </c>
      <c r="F49">
        <v>80310</v>
      </c>
    </row>
    <row r="50" spans="1:6">
      <c r="A50">
        <v>506</v>
      </c>
      <c r="B50" t="s">
        <v>157</v>
      </c>
      <c r="C50" t="s">
        <v>270</v>
      </c>
      <c r="D50" t="s">
        <v>271</v>
      </c>
      <c r="E50" t="s">
        <v>223</v>
      </c>
      <c r="F50">
        <v>45280</v>
      </c>
    </row>
    <row r="51" spans="1:6">
      <c r="A51">
        <v>507</v>
      </c>
      <c r="B51" t="s">
        <v>158</v>
      </c>
      <c r="C51" t="s">
        <v>272</v>
      </c>
      <c r="D51" t="s">
        <v>273</v>
      </c>
      <c r="E51" t="s">
        <v>274</v>
      </c>
      <c r="F51">
        <v>67000</v>
      </c>
    </row>
    <row r="52" spans="1:6">
      <c r="A52">
        <v>508</v>
      </c>
      <c r="B52" t="s">
        <v>159</v>
      </c>
      <c r="C52" t="s">
        <v>275</v>
      </c>
      <c r="D52" t="s">
        <v>321</v>
      </c>
      <c r="E52" t="s">
        <v>208</v>
      </c>
      <c r="F52">
        <v>71190</v>
      </c>
    </row>
    <row r="53" spans="1:6">
      <c r="A53">
        <v>509</v>
      </c>
      <c r="B53" t="s">
        <v>160</v>
      </c>
      <c r="C53" t="s">
        <v>276</v>
      </c>
      <c r="D53" t="s">
        <v>304</v>
      </c>
      <c r="E53" t="s">
        <v>173</v>
      </c>
      <c r="F53">
        <v>10300</v>
      </c>
    </row>
    <row r="54" spans="1:6">
      <c r="A54">
        <v>510</v>
      </c>
      <c r="B54" t="s">
        <v>161</v>
      </c>
      <c r="C54" t="s">
        <v>277</v>
      </c>
      <c r="D54" t="s">
        <v>278</v>
      </c>
      <c r="E54" t="s">
        <v>251</v>
      </c>
      <c r="F54">
        <v>90150</v>
      </c>
    </row>
    <row r="55" spans="1:6">
      <c r="A55">
        <v>511</v>
      </c>
      <c r="B55" t="s">
        <v>162</v>
      </c>
      <c r="C55" t="s">
        <v>279</v>
      </c>
      <c r="D55" t="s">
        <v>280</v>
      </c>
      <c r="E55" t="s">
        <v>313</v>
      </c>
      <c r="F55">
        <v>30000</v>
      </c>
    </row>
    <row r="56" spans="1:6">
      <c r="A56">
        <v>512</v>
      </c>
      <c r="B56" t="s">
        <v>163</v>
      </c>
      <c r="C56" t="s">
        <v>281</v>
      </c>
      <c r="D56" t="s">
        <v>282</v>
      </c>
      <c r="E56" t="s">
        <v>268</v>
      </c>
      <c r="F56">
        <v>65000</v>
      </c>
    </row>
    <row r="57" spans="1:6">
      <c r="A57">
        <v>513</v>
      </c>
      <c r="B57" t="s">
        <v>164</v>
      </c>
      <c r="C57" t="s">
        <v>283</v>
      </c>
      <c r="D57" t="s">
        <v>256</v>
      </c>
      <c r="E57" t="s">
        <v>307</v>
      </c>
      <c r="F57">
        <v>80310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0B965-4C19-42D1-B1F6-11D28F6E2365}">
  <sheetPr codeName="Sheet6"/>
  <dimension ref="A1:AB32"/>
  <sheetViews>
    <sheetView workbookViewId="0">
      <selection activeCell="C21" sqref="C21"/>
    </sheetView>
  </sheetViews>
  <sheetFormatPr defaultColWidth="68" defaultRowHeight="15.75"/>
  <cols>
    <col min="1" max="1" width="18.42578125" style="34" bestFit="1" customWidth="1"/>
    <col min="2" max="2" width="49.5703125" style="34" customWidth="1"/>
    <col min="3" max="3" width="12.5703125" style="34" bestFit="1" customWidth="1"/>
    <col min="4" max="4" width="11.85546875" style="34" bestFit="1" customWidth="1"/>
    <col min="5" max="5" width="15.140625" style="34" customWidth="1"/>
    <col min="6" max="6" width="16.28515625" style="34" bestFit="1" customWidth="1"/>
    <col min="7" max="7" width="17.5703125" style="34" customWidth="1"/>
    <col min="8" max="8" width="18.140625" style="34" customWidth="1"/>
    <col min="9" max="9" width="17.28515625" style="34" customWidth="1"/>
    <col min="10" max="10" width="14.85546875" style="34" customWidth="1"/>
    <col min="11" max="20" width="9.140625" style="34" customWidth="1"/>
    <col min="21" max="22" width="8" style="34" customWidth="1"/>
    <col min="23" max="23" width="12.85546875" style="34" bestFit="1" customWidth="1"/>
    <col min="24" max="26" width="17.140625" style="34" customWidth="1"/>
    <col min="27" max="27" width="15.28515625" style="34" bestFit="1" customWidth="1"/>
    <col min="28" max="30" width="10" style="34" customWidth="1"/>
    <col min="31" max="16384" width="68" style="34"/>
  </cols>
  <sheetData>
    <row r="1" spans="1:28" s="10" customFormat="1" ht="20.25" customHeight="1">
      <c r="A1" s="84" t="s">
        <v>26</v>
      </c>
      <c r="B1" s="34"/>
      <c r="C1" s="34"/>
      <c r="D1" s="34"/>
      <c r="E1" s="34"/>
      <c r="F1" s="34"/>
      <c r="G1" s="34"/>
      <c r="I1" s="300" t="s">
        <v>292</v>
      </c>
      <c r="J1" s="300"/>
      <c r="K1" s="67" t="s">
        <v>183</v>
      </c>
      <c r="L1" s="67" t="s">
        <v>184</v>
      </c>
      <c r="M1" s="67" t="s">
        <v>185</v>
      </c>
      <c r="N1" s="67" t="s">
        <v>186</v>
      </c>
      <c r="O1" s="67" t="s">
        <v>187</v>
      </c>
      <c r="P1" s="67" t="s">
        <v>188</v>
      </c>
      <c r="Q1" s="67" t="s">
        <v>189</v>
      </c>
      <c r="R1" s="67" t="s">
        <v>190</v>
      </c>
      <c r="S1" s="67" t="s">
        <v>191</v>
      </c>
      <c r="T1" s="67" t="s">
        <v>192</v>
      </c>
      <c r="X1" s="10" t="s">
        <v>303</v>
      </c>
    </row>
    <row r="2" spans="1:28">
      <c r="A2" s="78" t="s">
        <v>295</v>
      </c>
      <c r="B2" s="79" t="s">
        <v>294</v>
      </c>
      <c r="C2" s="79" t="s">
        <v>296</v>
      </c>
      <c r="D2" s="79" t="s">
        <v>27</v>
      </c>
      <c r="E2" s="79" t="s">
        <v>28</v>
      </c>
      <c r="F2" s="79" t="s">
        <v>293</v>
      </c>
      <c r="G2" s="80" t="s">
        <v>182</v>
      </c>
      <c r="I2" s="301">
        <v>47305007</v>
      </c>
      <c r="J2" s="69" t="str">
        <f>$I$2&amp;"D"</f>
        <v>47305007D</v>
      </c>
      <c r="K2" s="69"/>
      <c r="L2" s="69"/>
      <c r="M2" s="69"/>
      <c r="N2" s="69"/>
      <c r="O2" s="69"/>
      <c r="P2" s="69"/>
      <c r="Q2" s="69"/>
      <c r="R2" s="69"/>
      <c r="S2" s="69"/>
      <c r="T2" s="69"/>
      <c r="X2" s="85" t="str">
        <f>DTM!K3</f>
        <v>S_TEM_001</v>
      </c>
      <c r="Y2" s="85" t="str">
        <f>DTM!L3</f>
        <v>W_TEM_007</v>
      </c>
      <c r="Z2" s="85" t="str">
        <f>DTM!M3</f>
        <v>W_TEM_005</v>
      </c>
      <c r="AA2" s="85" t="str">
        <f>DTM!N3</f>
        <v>W_TEM_006</v>
      </c>
      <c r="AB2" s="85">
        <f>DTM!O3</f>
        <v>0</v>
      </c>
    </row>
    <row r="3" spans="1:28" ht="31.5">
      <c r="A3" s="76" t="str">
        <f>DTM!A4</f>
        <v>W_TEM_005</v>
      </c>
      <c r="B3" s="76" t="str">
        <f>DTM!B4</f>
        <v>Super-DAQ Precision Temperature Scanner</v>
      </c>
      <c r="C3" s="76" t="str">
        <f>DTM!C4</f>
        <v>FLUKE</v>
      </c>
      <c r="D3" s="76" t="str">
        <f>DTM!D4</f>
        <v xml:space="preserve">1586A </v>
      </c>
      <c r="E3" s="76" t="str">
        <f>DTM!E4</f>
        <v>44990026</v>
      </c>
      <c r="F3" s="76" t="str">
        <f>DTM!F4</f>
        <v>21-25 April 2026</v>
      </c>
      <c r="G3" s="76" t="str">
        <f>DTM!G4</f>
        <v>5397/69</v>
      </c>
      <c r="I3" s="301"/>
      <c r="J3" s="71" t="str">
        <f>$I$2&amp;"C"</f>
        <v>47305007C</v>
      </c>
      <c r="K3" s="71"/>
      <c r="L3" s="71"/>
      <c r="M3" s="71"/>
      <c r="N3" s="71"/>
      <c r="O3" s="71"/>
      <c r="P3" s="71"/>
      <c r="Q3" s="71"/>
      <c r="R3" s="71"/>
      <c r="S3" s="71"/>
      <c r="T3" s="71"/>
      <c r="X3" s="91" t="str">
        <f>DTM!K4</f>
        <v>S_TEM_002</v>
      </c>
      <c r="Y3" s="91" t="str">
        <f>DTM!L4</f>
        <v>W_TEM_007/1</v>
      </c>
      <c r="Z3" s="91" t="str">
        <f>DTM!M4</f>
        <v>W_TEM_005/1</v>
      </c>
      <c r="AA3" s="91" t="str">
        <f>DTM!N4</f>
        <v>W_TEM_006/1</v>
      </c>
      <c r="AB3" s="91">
        <f>DTM!O4</f>
        <v>0</v>
      </c>
    </row>
    <row r="4" spans="1:28" ht="31.5">
      <c r="A4" s="76" t="str">
        <f>DTM!A5</f>
        <v>W_TEM_006</v>
      </c>
      <c r="B4" s="76" t="str">
        <f>DTM!B5</f>
        <v>Super-DAQ Precision Temperature Scanner</v>
      </c>
      <c r="C4" s="76" t="str">
        <f>DTM!C5</f>
        <v>FLUKE</v>
      </c>
      <c r="D4" s="76" t="str">
        <f>DTM!D5</f>
        <v xml:space="preserve">1586A </v>
      </c>
      <c r="E4" s="76" t="str">
        <f>DTM!E5</f>
        <v>50125022</v>
      </c>
      <c r="F4" s="76" t="str">
        <f>DTM!F5</f>
        <v>24-26 March 2026</v>
      </c>
      <c r="G4" s="76" t="str">
        <f>DTM!G5</f>
        <v>4920/69</v>
      </c>
      <c r="I4" s="301"/>
      <c r="J4" s="71" t="str">
        <f>$I$2&amp;"B"</f>
        <v>47305007B</v>
      </c>
      <c r="K4" s="71"/>
      <c r="L4" s="71"/>
      <c r="M4" s="71"/>
      <c r="N4" s="71"/>
      <c r="O4" s="71"/>
      <c r="P4" s="71"/>
      <c r="Q4" s="71"/>
      <c r="R4" s="71"/>
      <c r="S4" s="71"/>
      <c r="T4" s="71"/>
      <c r="X4" s="90" t="str">
        <f>DTM!K5</f>
        <v>S_TEM_005</v>
      </c>
      <c r="Y4" s="90" t="str">
        <f>DTM!L5</f>
        <v>W_TEM_007/2</v>
      </c>
      <c r="Z4" s="90" t="str">
        <f>DTM!M5</f>
        <v>W_TEM_005/2</v>
      </c>
      <c r="AA4" s="90">
        <f>DTM!N5</f>
        <v>0</v>
      </c>
      <c r="AB4" s="90">
        <f>DTM!O5</f>
        <v>0</v>
      </c>
    </row>
    <row r="5" spans="1:28" ht="31.5">
      <c r="A5" s="76" t="str">
        <f>DTM!A6</f>
        <v>W_TEM_007</v>
      </c>
      <c r="B5" s="76" t="str">
        <f>DTM!B6</f>
        <v>Super-DAQ Precision Temperature Scanner</v>
      </c>
      <c r="C5" s="76" t="str">
        <f>DTM!C6</f>
        <v>FLUKE</v>
      </c>
      <c r="D5" s="76" t="str">
        <f>DTM!D6</f>
        <v xml:space="preserve">1586A </v>
      </c>
      <c r="E5" s="76" t="str">
        <f>DTM!E6</f>
        <v>47305009</v>
      </c>
      <c r="F5" s="76" t="str">
        <f>DTM!F6</f>
        <v>26-28 April 2026</v>
      </c>
      <c r="G5" s="76" t="str">
        <f>DTM!G6</f>
        <v>5065/69</v>
      </c>
      <c r="I5" s="301"/>
      <c r="J5" s="71" t="str">
        <f>$I$2&amp;"A"</f>
        <v>47305007A</v>
      </c>
      <c r="K5" s="71"/>
      <c r="L5" s="71"/>
      <c r="M5" s="71"/>
      <c r="N5" s="71"/>
      <c r="O5" s="71"/>
      <c r="P5" s="71"/>
      <c r="Q5" s="71"/>
      <c r="R5" s="71"/>
      <c r="S5" s="71"/>
      <c r="T5" s="71"/>
    </row>
    <row r="6" spans="1:28">
      <c r="A6" s="76" t="str">
        <f>DTM!A7</f>
        <v>S_TEM_001</v>
      </c>
      <c r="B6" s="76" t="str">
        <f>DTM!B7</f>
        <v>Reference Thermometer Readout</v>
      </c>
      <c r="C6" s="76" t="str">
        <f>DTM!C7</f>
        <v>Additel</v>
      </c>
      <c r="D6" s="76" t="str">
        <f>DTM!D7</f>
        <v>286</v>
      </c>
      <c r="E6" s="76" t="str">
        <f>DTM!E7</f>
        <v>685020010017</v>
      </c>
      <c r="F6" s="220">
        <f>DTM!F7</f>
        <v>45908</v>
      </c>
      <c r="G6" s="76" t="str">
        <f>DTM!G7</f>
        <v>ER-0109-25</v>
      </c>
      <c r="I6" s="301"/>
      <c r="J6" s="70" t="str">
        <f>$I$2&amp;"Residuals"</f>
        <v>47305007Residuals</v>
      </c>
      <c r="K6" s="70"/>
      <c r="L6" s="70"/>
      <c r="M6" s="70"/>
      <c r="N6" s="70"/>
      <c r="O6" s="70"/>
      <c r="P6" s="70"/>
      <c r="Q6" s="70"/>
      <c r="R6" s="70"/>
      <c r="S6" s="70"/>
      <c r="T6" s="70"/>
    </row>
    <row r="7" spans="1:28" ht="18.75">
      <c r="I7" s="301">
        <v>47305008</v>
      </c>
      <c r="J7" s="69" t="str">
        <f>I7&amp;"D"</f>
        <v>47305008D</v>
      </c>
      <c r="K7" s="98"/>
      <c r="L7" s="98"/>
      <c r="M7" s="98"/>
      <c r="N7" s="98"/>
      <c r="O7" s="98"/>
      <c r="P7" s="98"/>
      <c r="Q7" s="98"/>
      <c r="R7" s="98"/>
      <c r="S7" s="98"/>
      <c r="T7" s="69"/>
    </row>
    <row r="8" spans="1:28" ht="18.75">
      <c r="I8" s="301"/>
      <c r="J8" s="71" t="str">
        <f>I7&amp;"C"</f>
        <v>47305008C</v>
      </c>
      <c r="K8" s="98"/>
      <c r="L8" s="98"/>
      <c r="M8" s="98"/>
      <c r="N8" s="98"/>
      <c r="O8" s="98"/>
      <c r="P8" s="98"/>
      <c r="Q8" s="98"/>
      <c r="R8" s="98"/>
      <c r="S8" s="98"/>
      <c r="T8" s="71"/>
    </row>
    <row r="9" spans="1:28" ht="18.75">
      <c r="I9" s="301"/>
      <c r="J9" s="71" t="str">
        <f>I7&amp;"B"</f>
        <v>47305008B</v>
      </c>
      <c r="K9" s="194"/>
      <c r="L9" s="194"/>
      <c r="M9" s="194"/>
      <c r="N9" s="194"/>
      <c r="O9" s="194"/>
      <c r="P9" s="194"/>
      <c r="Q9" s="194"/>
      <c r="R9" s="194"/>
      <c r="S9" s="194"/>
      <c r="T9" s="71"/>
    </row>
    <row r="10" spans="1:28" ht="18.75">
      <c r="I10" s="301"/>
      <c r="J10" s="71" t="str">
        <f>I7&amp;"A"</f>
        <v>47305008A</v>
      </c>
      <c r="K10" s="194"/>
      <c r="L10" s="194"/>
      <c r="M10" s="194"/>
      <c r="N10" s="194"/>
      <c r="O10" s="194"/>
      <c r="P10" s="194"/>
      <c r="Q10" s="194"/>
      <c r="R10" s="194"/>
      <c r="S10" s="194"/>
      <c r="T10" s="71"/>
    </row>
    <row r="11" spans="1:28" ht="18.75">
      <c r="A11" s="84" t="s">
        <v>1</v>
      </c>
      <c r="I11" s="301"/>
      <c r="J11" s="70" t="str">
        <f>I7&amp;"Residuals"</f>
        <v>47305008Residuals</v>
      </c>
      <c r="K11" s="98"/>
      <c r="L11" s="98"/>
      <c r="M11" s="98"/>
      <c r="N11" s="98"/>
      <c r="O11" s="98"/>
      <c r="P11" s="98"/>
      <c r="Q11" s="98"/>
      <c r="R11" s="98"/>
      <c r="S11" s="98"/>
      <c r="T11" s="70"/>
    </row>
    <row r="12" spans="1:28">
      <c r="A12" s="81" t="s">
        <v>295</v>
      </c>
      <c r="B12" s="82" t="s">
        <v>294</v>
      </c>
      <c r="C12" s="82" t="s">
        <v>296</v>
      </c>
      <c r="D12" s="82" t="s">
        <v>27</v>
      </c>
      <c r="E12" s="82" t="s">
        <v>28</v>
      </c>
      <c r="F12" s="82" t="s">
        <v>293</v>
      </c>
      <c r="G12" s="83" t="s">
        <v>182</v>
      </c>
      <c r="I12" s="299" t="s">
        <v>382</v>
      </c>
      <c r="J12" s="69" t="str">
        <f>I12&amp;"D"</f>
        <v>44000189D</v>
      </c>
      <c r="K12" s="69"/>
      <c r="L12" s="69"/>
      <c r="M12" s="69"/>
      <c r="N12" s="69"/>
      <c r="O12" s="69"/>
      <c r="P12" s="69"/>
      <c r="Q12" s="69"/>
      <c r="R12" s="69"/>
      <c r="S12" s="69"/>
      <c r="T12" s="69"/>
    </row>
    <row r="13" spans="1:28" ht="31.5">
      <c r="A13" s="77" t="str">
        <f>DTM!A14</f>
        <v>W-ETC-001</v>
      </c>
      <c r="B13" s="77" t="str">
        <f>DTM!B14</f>
        <v>Digital Thermo Hygrometer</v>
      </c>
      <c r="C13" s="77" t="str">
        <f>DTM!C14</f>
        <v>ROTRONIC</v>
      </c>
      <c r="D13" s="77" t="str">
        <f>DTM!D14</f>
        <v>BL-1D</v>
      </c>
      <c r="E13" s="77" t="str">
        <f>DTM!E14</f>
        <v>A18061013</v>
      </c>
      <c r="F13" s="220" t="str">
        <f>DTM!F14</f>
        <v>30 Sep - 2 Oct 2025</v>
      </c>
      <c r="G13" s="77" t="str">
        <f>DTM!G14</f>
        <v>25H1893</v>
      </c>
      <c r="I13" s="299"/>
      <c r="J13" s="71" t="str">
        <f>I12&amp;"C"</f>
        <v>44000189C</v>
      </c>
      <c r="K13" s="71"/>
      <c r="L13" s="71"/>
      <c r="M13" s="71"/>
      <c r="N13" s="71"/>
      <c r="O13" s="71"/>
      <c r="P13" s="71"/>
      <c r="Q13" s="71"/>
      <c r="R13" s="71"/>
      <c r="S13" s="71"/>
      <c r="T13" s="71"/>
    </row>
    <row r="14" spans="1:28">
      <c r="A14" s="77" t="str">
        <f>DTM!A15</f>
        <v>W-ETC-002</v>
      </c>
      <c r="B14" s="77" t="str">
        <f>DTM!B15</f>
        <v>Digital Thermo Hygrometer</v>
      </c>
      <c r="C14" s="77" t="str">
        <f>DTM!C15</f>
        <v>ROTRONIC</v>
      </c>
      <c r="D14" s="77" t="str">
        <f>DTM!D15</f>
        <v>BL-1D</v>
      </c>
      <c r="E14" s="77" t="str">
        <f>DTM!E15</f>
        <v>A18061026</v>
      </c>
      <c r="F14" s="220" t="str">
        <f>DTM!F15</f>
        <v>8-13 Aug 2025</v>
      </c>
      <c r="G14" s="77" t="str">
        <f>DTM!G15</f>
        <v>25H1571</v>
      </c>
      <c r="I14" s="299"/>
      <c r="J14" s="71" t="str">
        <f>I12&amp;"B"</f>
        <v>44000189B</v>
      </c>
      <c r="K14" s="71"/>
      <c r="L14" s="71"/>
      <c r="M14" s="71"/>
      <c r="N14" s="71"/>
      <c r="O14" s="71"/>
      <c r="P14" s="71"/>
      <c r="Q14" s="71"/>
      <c r="R14" s="71"/>
      <c r="S14" s="71"/>
      <c r="T14" s="71"/>
    </row>
    <row r="15" spans="1:28">
      <c r="A15" s="77" t="str">
        <f>DTM!A16</f>
        <v>W-ETC-003</v>
      </c>
      <c r="B15" s="77" t="str">
        <f>DTM!B16</f>
        <v>Digital Thermo Hygrometer</v>
      </c>
      <c r="C15" s="77" t="str">
        <f>DTM!C16</f>
        <v>ROTRONIC</v>
      </c>
      <c r="D15" s="77" t="str">
        <f>DTM!D16</f>
        <v>BL-1D</v>
      </c>
      <c r="E15" s="77" t="str">
        <f>DTM!E16</f>
        <v>A18061029</v>
      </c>
      <c r="F15" s="220" t="str">
        <f>DTM!F16</f>
        <v>23-31 Jul 2025</v>
      </c>
      <c r="G15" s="77" t="str">
        <f>DTM!G16</f>
        <v>25H1490</v>
      </c>
      <c r="I15" s="299"/>
      <c r="J15" s="71" t="str">
        <f>I12&amp;"A"</f>
        <v>44000189A</v>
      </c>
      <c r="K15" s="71"/>
      <c r="L15" s="71"/>
      <c r="M15" s="71"/>
      <c r="N15" s="71"/>
      <c r="O15" s="71"/>
      <c r="P15" s="71"/>
      <c r="Q15" s="71"/>
      <c r="R15" s="71"/>
      <c r="S15" s="71"/>
      <c r="T15" s="71"/>
    </row>
    <row r="16" spans="1:28">
      <c r="A16" s="77" t="str">
        <f>DTM!A17</f>
        <v>W-ETC-007</v>
      </c>
      <c r="B16" s="77" t="str">
        <f>DTM!B17</f>
        <v>Digital Thermo Hygrometer</v>
      </c>
      <c r="C16" s="77" t="str">
        <f>DTM!C17</f>
        <v>ROTRONIC</v>
      </c>
      <c r="D16" s="77" t="str">
        <f>DTM!D17</f>
        <v>BL-1D</v>
      </c>
      <c r="E16" s="77" t="str">
        <f>DTM!E17</f>
        <v>A18061028</v>
      </c>
      <c r="F16" s="220" t="str">
        <f>DTM!F17</f>
        <v>8-13 Aug 2025</v>
      </c>
      <c r="G16" s="77" t="str">
        <f>DTM!G17</f>
        <v>25H1572</v>
      </c>
      <c r="I16" s="299"/>
      <c r="J16" s="72" t="str">
        <f>I12&amp;"Residuals"</f>
        <v>44000189Residuals</v>
      </c>
      <c r="K16" s="72"/>
      <c r="L16" s="72"/>
      <c r="M16" s="72"/>
      <c r="N16" s="72"/>
      <c r="O16" s="72"/>
      <c r="P16" s="72"/>
      <c r="Q16" s="72"/>
      <c r="R16" s="72"/>
      <c r="S16" s="72"/>
      <c r="T16" s="72"/>
    </row>
    <row r="17" spans="1:23">
      <c r="A17" s="77" t="str">
        <f>DTM!A18</f>
        <v>W-ETC-006</v>
      </c>
      <c r="B17" s="77" t="str">
        <f>DTM!B18</f>
        <v>True RMS Logging Multimeters</v>
      </c>
      <c r="C17" s="77" t="str">
        <f>DTM!C18</f>
        <v>FLUKE</v>
      </c>
      <c r="D17" s="77" t="str">
        <f>DTM!D18</f>
        <v>289</v>
      </c>
      <c r="E17" s="77" t="str">
        <f>DTM!E18</f>
        <v>48620135</v>
      </c>
      <c r="F17" s="220">
        <f>DTM!F18</f>
        <v>45931</v>
      </c>
      <c r="G17" s="77" t="str">
        <f>DTM!G18</f>
        <v>25E3134</v>
      </c>
      <c r="I17" s="299">
        <v>50195015</v>
      </c>
      <c r="J17" s="73" t="str">
        <f>I17&amp;"D"</f>
        <v>50195015D</v>
      </c>
      <c r="K17" s="195"/>
      <c r="L17" s="195"/>
      <c r="M17" s="195"/>
      <c r="N17" s="195"/>
      <c r="O17" s="195"/>
      <c r="P17" s="195"/>
      <c r="Q17" s="195"/>
      <c r="R17" s="195"/>
      <c r="S17" s="195"/>
      <c r="T17" s="195"/>
    </row>
    <row r="18" spans="1:23">
      <c r="A18" s="77" t="str">
        <f>DTM!A19</f>
        <v>W-ETC-011</v>
      </c>
      <c r="B18" s="77" t="str">
        <f>DTM!B19</f>
        <v>True RMS Logging Multimeters</v>
      </c>
      <c r="C18" s="77" t="str">
        <f>DTM!C19</f>
        <v>FLUKE</v>
      </c>
      <c r="D18" s="77" t="str">
        <f>DTM!D19</f>
        <v>289</v>
      </c>
      <c r="E18" s="77" t="str">
        <f>DTM!E19</f>
        <v>50310144</v>
      </c>
      <c r="F18" s="220">
        <f>DTM!F19</f>
        <v>45883</v>
      </c>
      <c r="G18" s="77" t="str">
        <f>DTM!G19</f>
        <v>25E2622</v>
      </c>
      <c r="I18" s="299"/>
      <c r="J18" s="71" t="str">
        <f>I17&amp;"C"</f>
        <v>50195015C</v>
      </c>
      <c r="K18" s="196"/>
      <c r="L18" s="196"/>
      <c r="M18" s="196"/>
      <c r="N18" s="196"/>
      <c r="O18" s="196"/>
      <c r="P18" s="196"/>
      <c r="Q18" s="196"/>
      <c r="R18" s="196"/>
      <c r="S18" s="196"/>
      <c r="T18" s="196"/>
    </row>
    <row r="19" spans="1:23">
      <c r="I19" s="299"/>
      <c r="J19" s="71" t="str">
        <f>I17&amp;"B"</f>
        <v>50195015B</v>
      </c>
      <c r="K19" s="196"/>
      <c r="L19" s="196"/>
      <c r="M19" s="196"/>
      <c r="N19" s="196"/>
      <c r="O19" s="196"/>
      <c r="P19" s="196"/>
      <c r="Q19" s="196"/>
      <c r="R19" s="196"/>
      <c r="S19" s="196"/>
      <c r="T19" s="196"/>
    </row>
    <row r="20" spans="1:23">
      <c r="I20" s="299"/>
      <c r="J20" s="71" t="str">
        <f>I17&amp;"A"</f>
        <v>50195015A</v>
      </c>
      <c r="K20" s="196"/>
      <c r="L20" s="196"/>
      <c r="M20" s="196"/>
      <c r="N20" s="196"/>
      <c r="O20" s="196"/>
      <c r="P20" s="196"/>
      <c r="Q20" s="196"/>
      <c r="R20" s="196"/>
      <c r="S20" s="196"/>
      <c r="T20" s="196"/>
    </row>
    <row r="21" spans="1:23">
      <c r="I21" s="299"/>
      <c r="J21" s="68" t="str">
        <f>I17&amp;"Residuals"</f>
        <v>50195015Residuals</v>
      </c>
      <c r="K21" s="197"/>
      <c r="L21" s="197"/>
      <c r="M21" s="197"/>
      <c r="N21" s="197"/>
      <c r="O21" s="197"/>
      <c r="P21" s="197"/>
      <c r="Q21" s="197"/>
      <c r="R21" s="197"/>
      <c r="S21" s="197"/>
      <c r="T21" s="197"/>
    </row>
    <row r="22" spans="1:23">
      <c r="I22" s="299" t="s">
        <v>335</v>
      </c>
      <c r="J22" s="72" t="str">
        <f>I22&amp;"D"</f>
        <v>43930196D</v>
      </c>
      <c r="K22" s="72"/>
      <c r="L22" s="72"/>
      <c r="M22" s="72"/>
      <c r="N22" s="72"/>
      <c r="O22" s="72"/>
      <c r="P22" s="72"/>
      <c r="Q22" s="72"/>
      <c r="R22" s="72"/>
      <c r="S22" s="72"/>
      <c r="T22" s="72"/>
    </row>
    <row r="23" spans="1:23">
      <c r="I23" s="299"/>
      <c r="J23" s="71" t="str">
        <f>I22&amp;"C"</f>
        <v>43930196C</v>
      </c>
      <c r="K23" s="71"/>
      <c r="L23" s="71"/>
      <c r="M23" s="71"/>
      <c r="N23" s="71"/>
      <c r="O23" s="71"/>
      <c r="P23" s="71"/>
      <c r="Q23" s="71"/>
      <c r="R23" s="71"/>
      <c r="S23" s="71"/>
      <c r="T23" s="71"/>
    </row>
    <row r="24" spans="1:23">
      <c r="A24" s="34" t="s">
        <v>302</v>
      </c>
      <c r="I24" s="299"/>
      <c r="J24" s="71" t="str">
        <f>I22&amp;"B"</f>
        <v>43930196B</v>
      </c>
      <c r="K24" s="71"/>
      <c r="L24" s="71"/>
      <c r="M24" s="71"/>
      <c r="N24" s="71"/>
      <c r="O24" s="71"/>
      <c r="P24" s="71"/>
      <c r="Q24" s="71"/>
      <c r="R24" s="71"/>
      <c r="S24" s="71"/>
      <c r="T24" s="71"/>
    </row>
    <row r="25" spans="1:23">
      <c r="A25" s="86" t="s">
        <v>295</v>
      </c>
      <c r="B25" s="87" t="s">
        <v>294</v>
      </c>
      <c r="C25" s="87" t="s">
        <v>296</v>
      </c>
      <c r="D25" s="87" t="s">
        <v>27</v>
      </c>
      <c r="E25" s="87" t="s">
        <v>28</v>
      </c>
      <c r="F25" s="87" t="s">
        <v>293</v>
      </c>
      <c r="G25" s="88" t="s">
        <v>182</v>
      </c>
      <c r="I25" s="299"/>
      <c r="J25" s="71" t="str">
        <f>I22&amp;"A"</f>
        <v>43930196A</v>
      </c>
      <c r="K25" s="71"/>
      <c r="L25" s="71"/>
      <c r="M25" s="71"/>
      <c r="N25" s="71"/>
      <c r="O25" s="71"/>
      <c r="P25" s="71"/>
      <c r="Q25" s="71"/>
      <c r="R25" s="71"/>
      <c r="S25" s="71"/>
      <c r="T25" s="71"/>
      <c r="W25" s="34" t="s">
        <v>490</v>
      </c>
    </row>
    <row r="26" spans="1:23">
      <c r="A26" s="89" t="str">
        <f>DTM!A27</f>
        <v>S_TEM_002</v>
      </c>
      <c r="B26" s="89" t="str">
        <f>DTM!B27</f>
        <v>Standard Platinum Resistance Thermometer</v>
      </c>
      <c r="C26" s="89" t="str">
        <f>DTM!C27</f>
        <v>FLUKE</v>
      </c>
      <c r="D26" s="89" t="str">
        <f>DTM!D27</f>
        <v>5699</v>
      </c>
      <c r="E26" s="89" t="str">
        <f>DTM!E27</f>
        <v>1400</v>
      </c>
      <c r="F26" s="220">
        <f>DTM!F27</f>
        <v>45944</v>
      </c>
      <c r="G26" s="89" t="str">
        <f>DTM!G27</f>
        <v>TC-0044-25</v>
      </c>
      <c r="I26" s="299"/>
      <c r="J26" s="70" t="str">
        <f>I22&amp;"Residuals"</f>
        <v>43930196Residuals</v>
      </c>
      <c r="K26" s="70"/>
      <c r="L26" s="70"/>
      <c r="M26" s="70"/>
      <c r="N26" s="70"/>
      <c r="O26" s="70"/>
      <c r="P26" s="70"/>
      <c r="Q26" s="70"/>
      <c r="R26" s="70"/>
      <c r="S26" s="70"/>
      <c r="T26" s="70"/>
    </row>
    <row r="27" spans="1:23">
      <c r="A27" s="89" t="str">
        <f>DTM!A28</f>
        <v>S_TEM_005</v>
      </c>
      <c r="B27" s="89" t="str">
        <f>DTM!B28</f>
        <v>Standard Platinum Resistance Thermometer</v>
      </c>
      <c r="C27" s="89" t="str">
        <f>DTM!C28</f>
        <v>FLUKE</v>
      </c>
      <c r="D27" s="89" t="str">
        <f>DTM!D28</f>
        <v>5699</v>
      </c>
      <c r="E27" s="89" t="str">
        <f>DTM!E28</f>
        <v>1449</v>
      </c>
      <c r="F27" s="220">
        <f>DTM!F28</f>
        <v>45896</v>
      </c>
      <c r="G27" s="89" t="str">
        <f>DTM!G28</f>
        <v>TC-0039-25</v>
      </c>
    </row>
    <row r="28" spans="1:23">
      <c r="A28" s="89" t="str">
        <f>DTM!A29</f>
        <v>W_TEM_005/1</v>
      </c>
      <c r="B28" s="89" t="str">
        <f>DTM!B29</f>
        <v>High-Capacity Module with RTD ID.No. 101-110</v>
      </c>
      <c r="C28" s="89" t="str">
        <f>DTM!C29</f>
        <v>FLUKE</v>
      </c>
      <c r="D28" s="89" t="str">
        <f>DTM!D29</f>
        <v>1586-2586</v>
      </c>
      <c r="E28" s="89" t="str">
        <f>DTM!E29</f>
        <v>47305007</v>
      </c>
      <c r="F28" s="89">
        <f>DTM!F29</f>
        <v>0</v>
      </c>
      <c r="G28" s="89">
        <f>DTM!G29</f>
        <v>0</v>
      </c>
    </row>
    <row r="29" spans="1:23">
      <c r="A29" s="89" t="str">
        <f>DTM!A30</f>
        <v>W_TEM_005/2</v>
      </c>
      <c r="B29" s="89" t="str">
        <f>DTM!B30</f>
        <v>High-Capacity Module with RTD ID.No. 201-210</v>
      </c>
      <c r="C29" s="89" t="str">
        <f>DTM!C30</f>
        <v>FLUKE</v>
      </c>
      <c r="D29" s="89" t="str">
        <f>DTM!D30</f>
        <v>1586-2586</v>
      </c>
      <c r="E29" s="89" t="str">
        <f>DTM!E30</f>
        <v>50195015</v>
      </c>
      <c r="F29" s="89">
        <f>DTM!F30</f>
        <v>0</v>
      </c>
      <c r="G29" s="89">
        <f>DTM!G30</f>
        <v>0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23">
      <c r="A30" s="89" t="str">
        <f>DTM!A31</f>
        <v>W_TEM_006/1</v>
      </c>
      <c r="B30" s="89" t="str">
        <f>DTM!B31</f>
        <v>High-Capacity Module with RTD ID.No. 101-110</v>
      </c>
      <c r="C30" s="89" t="str">
        <f>DTM!C31</f>
        <v>FLUKE</v>
      </c>
      <c r="D30" s="89" t="str">
        <f>DTM!D31</f>
        <v>1586-2586</v>
      </c>
      <c r="E30" s="89" t="str">
        <f>DTM!E31</f>
        <v>44000189</v>
      </c>
      <c r="F30" s="89">
        <f>DTM!F31</f>
        <v>0</v>
      </c>
      <c r="G30" s="89">
        <f>DTM!G31</f>
        <v>0</v>
      </c>
    </row>
    <row r="31" spans="1:23">
      <c r="A31" s="89" t="str">
        <f>DTM!A32</f>
        <v>W_TEM_006/2</v>
      </c>
      <c r="B31" s="89" t="str">
        <f>DTM!B32</f>
        <v>High-Capacity Module with RTD ID.No. 201-210</v>
      </c>
      <c r="C31" s="89" t="str">
        <f>DTM!C32</f>
        <v>FLUKE</v>
      </c>
      <c r="D31" s="89" t="str">
        <f>DTM!D32</f>
        <v>1586-2588</v>
      </c>
      <c r="E31" s="89" t="str">
        <f>DTM!E32</f>
        <v>59895012</v>
      </c>
      <c r="F31" s="89">
        <f>DTM!F32</f>
        <v>0</v>
      </c>
      <c r="G31" s="89">
        <f>DTM!G32</f>
        <v>0</v>
      </c>
    </row>
    <row r="32" spans="1:23">
      <c r="A32" s="89" t="str">
        <f>DTM!A33</f>
        <v>W_TEM_007/2</v>
      </c>
      <c r="B32" s="89" t="str">
        <f>DTM!B33</f>
        <v>High-Capacity Module with RTD ID.No. 201-210</v>
      </c>
      <c r="C32" s="89" t="str">
        <f>DTM!C33</f>
        <v>FLUKE</v>
      </c>
      <c r="D32" s="89" t="str">
        <f>DTM!D33</f>
        <v>1586-2586</v>
      </c>
      <c r="E32" s="89" t="str">
        <f>DTM!E33</f>
        <v>47305008</v>
      </c>
      <c r="F32" s="89">
        <f>DTM!F33</f>
        <v>0</v>
      </c>
      <c r="G32" s="89">
        <f>DTM!G33</f>
        <v>0</v>
      </c>
    </row>
  </sheetData>
  <mergeCells count="6">
    <mergeCell ref="I22:I26"/>
    <mergeCell ref="I1:J1"/>
    <mergeCell ref="I2:I6"/>
    <mergeCell ref="I7:I11"/>
    <mergeCell ref="I12:I16"/>
    <mergeCell ref="I17:I21"/>
  </mergeCells>
  <phoneticPr fontId="8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6BA3-F582-4E9D-B300-647D84E985AF}">
  <sheetPr codeName="Sheet7"/>
  <dimension ref="A1:BW71"/>
  <sheetViews>
    <sheetView zoomScale="115" zoomScaleNormal="115" workbookViewId="0">
      <selection activeCell="U15" sqref="U15:X15"/>
    </sheetView>
  </sheetViews>
  <sheetFormatPr defaultRowHeight="14.85" customHeight="1"/>
  <cols>
    <col min="1" max="4" width="2.85546875" style="106" customWidth="1"/>
    <col min="5" max="26" width="2.42578125" style="106" customWidth="1"/>
    <col min="27" max="29" width="2.85546875" style="106" customWidth="1"/>
    <col min="30" max="52" width="2.42578125" style="106" customWidth="1"/>
    <col min="53" max="53" width="5.42578125" style="106" customWidth="1"/>
    <col min="54" max="54" width="11" style="111" customWidth="1"/>
    <col min="55" max="64" width="10.28515625" style="111" customWidth="1"/>
    <col min="65" max="65" width="11" style="111" customWidth="1"/>
    <col min="66" max="66" width="1.7109375" style="111" customWidth="1"/>
    <col min="67" max="70" width="11" style="111" customWidth="1"/>
    <col min="71" max="71" width="9.140625" style="112"/>
    <col min="72" max="72" width="16.28515625" style="112" bestFit="1" customWidth="1"/>
    <col min="73" max="16384" width="9.140625" style="112"/>
  </cols>
  <sheetData>
    <row r="1" spans="1:72" ht="14.85" customHeight="1">
      <c r="B1" s="107"/>
      <c r="C1" s="107"/>
      <c r="D1" s="107"/>
      <c r="E1" s="107"/>
      <c r="F1" s="107"/>
      <c r="G1" s="107"/>
      <c r="H1" s="108"/>
      <c r="J1" s="107"/>
      <c r="K1" s="107"/>
      <c r="AS1" s="350" t="s">
        <v>5</v>
      </c>
      <c r="AT1" s="350"/>
      <c r="AU1" s="350"/>
      <c r="AV1" s="386">
        <f>Page1!AO1+1</f>
        <v>2</v>
      </c>
      <c r="AW1" s="386"/>
      <c r="AX1" s="109" t="s">
        <v>6</v>
      </c>
      <c r="AY1" s="386">
        <f>Page1!AR1</f>
        <v>1</v>
      </c>
      <c r="AZ1" s="386"/>
      <c r="BB1" s="182" t="s">
        <v>417</v>
      </c>
      <c r="BC1" s="111">
        <v>0.1</v>
      </c>
      <c r="BD1" s="110"/>
      <c r="BE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S1" s="111"/>
      <c r="BT1" s="111"/>
    </row>
    <row r="2" spans="1:72" ht="12.75" customHeight="1">
      <c r="AQ2" s="113"/>
      <c r="BB2" s="182" t="s">
        <v>418</v>
      </c>
      <c r="BC2" s="111">
        <v>0.44</v>
      </c>
      <c r="BD2" s="114"/>
      <c r="BE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S2" s="111"/>
      <c r="BT2" s="111"/>
    </row>
    <row r="3" spans="1:72" ht="12.75" customHeight="1">
      <c r="A3" s="115"/>
      <c r="B3" s="112"/>
      <c r="C3" s="116"/>
      <c r="D3" s="116" t="s">
        <v>337</v>
      </c>
      <c r="F3" s="117"/>
      <c r="G3" s="118"/>
      <c r="H3" s="146"/>
      <c r="I3" s="106" t="s">
        <v>343</v>
      </c>
      <c r="O3" s="147"/>
      <c r="P3" s="106" t="s">
        <v>0</v>
      </c>
      <c r="T3" s="387" t="s">
        <v>336</v>
      </c>
      <c r="U3" s="387"/>
      <c r="V3" s="387"/>
      <c r="W3" s="387"/>
      <c r="X3" s="387"/>
      <c r="Y3" s="387"/>
      <c r="Z3" s="387"/>
      <c r="AA3" s="387"/>
      <c r="AB3" s="390"/>
      <c r="AC3" s="390"/>
      <c r="AD3" s="390"/>
      <c r="AE3" s="349" t="s">
        <v>92</v>
      </c>
      <c r="AF3" s="350"/>
      <c r="AO3" s="387" t="s">
        <v>7</v>
      </c>
      <c r="AP3" s="387"/>
      <c r="AQ3" s="387"/>
      <c r="AR3" s="387"/>
      <c r="AS3" s="387"/>
      <c r="AT3" s="387"/>
      <c r="AU3" s="387"/>
      <c r="AV3" s="391" t="str">
        <f>IF(Page1!AO6=""," "&amp;Page1!AO4&amp;Page1!AR4&amp;" "&amp;Page1!AT4," "&amp;Page1!AO4&amp;Page1!AR4&amp;" "&amp;"R"&amp;Page1!AO6)</f>
        <v xml:space="preserve"> /69 </v>
      </c>
      <c r="AW3" s="391"/>
      <c r="AX3" s="391"/>
      <c r="AY3" s="391"/>
      <c r="AZ3" s="391"/>
      <c r="BB3" s="106"/>
      <c r="BC3" s="106"/>
      <c r="BD3" s="114"/>
      <c r="BE3" s="114"/>
      <c r="BG3" s="114"/>
      <c r="BH3" s="114"/>
      <c r="BI3" s="114"/>
      <c r="BJ3" s="114"/>
      <c r="BK3" s="114"/>
      <c r="BL3" s="114"/>
      <c r="BM3" s="114"/>
      <c r="BN3" s="114"/>
      <c r="BO3" s="114"/>
      <c r="BP3" s="114"/>
      <c r="BQ3" s="114"/>
      <c r="BS3" s="111"/>
      <c r="BT3" s="111"/>
    </row>
    <row r="4" spans="1:72" ht="14.85" customHeight="1">
      <c r="A4" s="115"/>
      <c r="S4" s="116"/>
      <c r="T4" s="116"/>
      <c r="U4" s="116"/>
      <c r="V4" s="387" t="s">
        <v>416</v>
      </c>
      <c r="W4" s="387"/>
      <c r="X4" s="387"/>
      <c r="Y4" s="387"/>
      <c r="Z4" s="387"/>
      <c r="AA4" s="387"/>
      <c r="AB4" s="302"/>
      <c r="AC4" s="302"/>
      <c r="AD4" s="302"/>
      <c r="AE4" s="302"/>
      <c r="AF4" s="302"/>
      <c r="AG4" s="165"/>
      <c r="AH4" s="165"/>
      <c r="AI4" s="165"/>
      <c r="AJ4" s="165"/>
      <c r="AO4" s="387" t="s">
        <v>2</v>
      </c>
      <c r="AP4" s="387"/>
      <c r="AQ4" s="387"/>
      <c r="AR4" s="387"/>
      <c r="AS4" s="387"/>
      <c r="AT4" s="387"/>
      <c r="AU4" s="387"/>
      <c r="AV4" s="392">
        <f>Page1!AO5</f>
        <v>0</v>
      </c>
      <c r="AW4" s="392"/>
      <c r="AX4" s="392"/>
      <c r="AY4" s="392"/>
      <c r="AZ4" s="392"/>
      <c r="BN4" s="114"/>
      <c r="BO4" s="114"/>
      <c r="BP4" s="114"/>
      <c r="BQ4" s="114"/>
      <c r="BS4" s="111"/>
      <c r="BT4" s="111"/>
    </row>
    <row r="5" spans="1:72" ht="14.85" customHeight="1" thickBot="1">
      <c r="A5" s="119"/>
      <c r="B5" s="387" t="s">
        <v>8</v>
      </c>
      <c r="C5" s="387"/>
      <c r="D5" s="387"/>
      <c r="E5" s="387"/>
      <c r="F5" s="387"/>
      <c r="G5" s="387"/>
      <c r="H5" s="387"/>
      <c r="I5" s="387"/>
      <c r="J5" s="388"/>
      <c r="K5" s="388"/>
      <c r="L5" s="388"/>
      <c r="M5" s="350" t="s">
        <v>92</v>
      </c>
      <c r="N5" s="350"/>
      <c r="O5" s="120"/>
      <c r="P5" s="120"/>
      <c r="Q5" s="120"/>
      <c r="R5" s="120"/>
      <c r="S5" s="120"/>
      <c r="V5" s="116"/>
      <c r="W5" s="116"/>
      <c r="X5" s="116"/>
      <c r="Y5" s="116"/>
      <c r="Z5" s="116"/>
      <c r="AA5" s="219" t="s">
        <v>428</v>
      </c>
      <c r="AB5" s="319"/>
      <c r="AC5" s="319"/>
      <c r="AD5" s="319"/>
      <c r="AE5" s="319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</row>
    <row r="6" spans="1:72" ht="11.25" customHeight="1" thickTop="1" thickBot="1">
      <c r="A6" s="121"/>
      <c r="B6" s="351" t="s">
        <v>9</v>
      </c>
      <c r="C6" s="352"/>
      <c r="D6" s="353"/>
      <c r="E6" s="354" t="s">
        <v>35</v>
      </c>
      <c r="F6" s="355"/>
      <c r="G6" s="355"/>
      <c r="H6" s="355"/>
      <c r="I6" s="355"/>
      <c r="J6" s="355"/>
      <c r="K6" s="355"/>
      <c r="L6" s="355"/>
      <c r="M6" s="355"/>
      <c r="N6" s="355"/>
      <c r="O6" s="355"/>
      <c r="P6" s="355"/>
      <c r="Q6" s="355"/>
      <c r="R6" s="355"/>
      <c r="S6" s="355"/>
      <c r="T6" s="355"/>
      <c r="U6" s="355"/>
      <c r="V6" s="355"/>
      <c r="W6" s="355"/>
      <c r="X6" s="355"/>
      <c r="Y6" s="355"/>
      <c r="Z6" s="355"/>
      <c r="AA6" s="355"/>
      <c r="AB6" s="389"/>
      <c r="AC6" s="389"/>
      <c r="AD6" s="389"/>
      <c r="AE6" s="389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7" t="s">
        <v>427</v>
      </c>
      <c r="BB6" s="398" t="b">
        <v>0</v>
      </c>
      <c r="BC6" s="401" t="s">
        <v>338</v>
      </c>
      <c r="BD6" s="401"/>
      <c r="BE6" s="401"/>
      <c r="BF6" s="401"/>
      <c r="BG6" s="401"/>
      <c r="BH6" s="401"/>
      <c r="BI6" s="401"/>
      <c r="BJ6" s="401"/>
      <c r="BK6" s="401"/>
      <c r="BL6" s="401"/>
      <c r="BM6" s="402"/>
      <c r="BN6" s="112"/>
      <c r="BO6" s="407" t="b">
        <v>0</v>
      </c>
      <c r="BP6" s="393" t="s">
        <v>339</v>
      </c>
      <c r="BQ6" s="393"/>
      <c r="BR6" s="394"/>
    </row>
    <row r="7" spans="1:72" ht="11.25" customHeight="1" thickTop="1">
      <c r="A7" s="121"/>
      <c r="B7" s="374" t="s">
        <v>6</v>
      </c>
      <c r="C7" s="375"/>
      <c r="D7" s="376"/>
      <c r="E7" s="377" t="s">
        <v>340</v>
      </c>
      <c r="F7" s="378"/>
      <c r="G7" s="378"/>
      <c r="H7" s="378"/>
      <c r="I7" s="360" t="str">
        <f>IF($BB$6=TRUE,IF($BO$6=TRUE,"","P1"),IF($BO$6=TRUE,"CH201","P1"))</f>
        <v>P1</v>
      </c>
      <c r="J7" s="361"/>
      <c r="K7" s="361"/>
      <c r="L7" s="361"/>
      <c r="M7" s="360" t="str">
        <f>IF($BB$6=TRUE,IF($BO$6=TRUE,"","P2"),IF($BO$6=TRUE,"CH201","P2"))</f>
        <v>P2</v>
      </c>
      <c r="N7" s="361"/>
      <c r="O7" s="361"/>
      <c r="P7" s="361"/>
      <c r="Q7" s="360" t="str">
        <f>IF($BB$6=TRUE,IF($BO$6=TRUE,"","P3"),IF($BO$6=TRUE,"","P3"))</f>
        <v>P3</v>
      </c>
      <c r="R7" s="361"/>
      <c r="S7" s="361"/>
      <c r="T7" s="361"/>
      <c r="U7" s="360" t="str">
        <f>IF($BB$6=TRUE,IF($BO$6=TRUE,"","P4"),IF($BO$6=TRUE,"","P4"))</f>
        <v>P4</v>
      </c>
      <c r="V7" s="361"/>
      <c r="W7" s="361"/>
      <c r="X7" s="361"/>
      <c r="Y7" s="360" t="str">
        <f>IF($BB$6=TRUE,IF($BO$6=TRUE,"","P5"),IF($BO$6=TRUE,"","P5"))</f>
        <v>P5</v>
      </c>
      <c r="Z7" s="361"/>
      <c r="AA7" s="361"/>
      <c r="AB7" s="361"/>
      <c r="AC7" s="360" t="str">
        <f>IF($BB$6=TRUE,IF($BO$6=TRUE,"","P6"),IF($BO$6=TRUE,"","P6"))</f>
        <v>P6</v>
      </c>
      <c r="AD7" s="361"/>
      <c r="AE7" s="361"/>
      <c r="AF7" s="361"/>
      <c r="AG7" s="360" t="str">
        <f>IF($BB$6=TRUE,IF($BO$6=TRUE,"","P7"),IF($BO$6=TRUE,"","P7"))</f>
        <v>P7</v>
      </c>
      <c r="AH7" s="361"/>
      <c r="AI7" s="361"/>
      <c r="AJ7" s="361"/>
      <c r="AK7" s="360" t="str">
        <f>IF($BB$6=TRUE,IF($BO$6=TRUE,"","P8"),IF($BO$6=TRUE,"","P8"))</f>
        <v>P8</v>
      </c>
      <c r="AL7" s="361"/>
      <c r="AM7" s="361"/>
      <c r="AN7" s="361"/>
      <c r="AO7" s="360" t="str">
        <f>IF($BB$6=TRUE,IF($BO$6=TRUE,"","P9"),IF($BO$6=TRUE,"","P9"))</f>
        <v>P9</v>
      </c>
      <c r="AP7" s="361"/>
      <c r="AQ7" s="361"/>
      <c r="AR7" s="361"/>
      <c r="AS7" s="360" t="str">
        <f>IF($BB$6=TRUE,IF($BO$6=TRUE,"","P10"),IF($BO$6=TRUE,"","P10"))</f>
        <v>P10</v>
      </c>
      <c r="AT7" s="361"/>
      <c r="AU7" s="361"/>
      <c r="AV7" s="361"/>
      <c r="AW7" s="377" t="s">
        <v>340</v>
      </c>
      <c r="AX7" s="378"/>
      <c r="AY7" s="378"/>
      <c r="AZ7" s="378"/>
      <c r="BA7" s="358"/>
      <c r="BB7" s="399"/>
      <c r="BC7" s="403"/>
      <c r="BD7" s="403"/>
      <c r="BE7" s="403"/>
      <c r="BF7" s="403"/>
      <c r="BG7" s="403"/>
      <c r="BH7" s="403"/>
      <c r="BI7" s="403"/>
      <c r="BJ7" s="403"/>
      <c r="BK7" s="403"/>
      <c r="BL7" s="403"/>
      <c r="BM7" s="404"/>
      <c r="BN7" s="112"/>
      <c r="BO7" s="407"/>
      <c r="BP7" s="393"/>
      <c r="BQ7" s="393"/>
      <c r="BR7" s="394"/>
    </row>
    <row r="8" spans="1:72" ht="11.25" customHeight="1" thickBot="1">
      <c r="A8" s="122"/>
      <c r="B8" s="383" t="s">
        <v>0</v>
      </c>
      <c r="C8" s="384"/>
      <c r="D8" s="385"/>
      <c r="E8" s="379"/>
      <c r="F8" s="380"/>
      <c r="G8" s="380"/>
      <c r="H8" s="380"/>
      <c r="I8" s="362"/>
      <c r="J8" s="363"/>
      <c r="K8" s="363"/>
      <c r="L8" s="363"/>
      <c r="M8" s="362"/>
      <c r="N8" s="363"/>
      <c r="O8" s="363"/>
      <c r="P8" s="363"/>
      <c r="Q8" s="362"/>
      <c r="R8" s="363"/>
      <c r="S8" s="363"/>
      <c r="T8" s="363"/>
      <c r="U8" s="362"/>
      <c r="V8" s="363"/>
      <c r="W8" s="363"/>
      <c r="X8" s="363"/>
      <c r="Y8" s="362"/>
      <c r="Z8" s="363"/>
      <c r="AA8" s="363"/>
      <c r="AB8" s="363"/>
      <c r="AC8" s="362"/>
      <c r="AD8" s="363"/>
      <c r="AE8" s="363"/>
      <c r="AF8" s="363"/>
      <c r="AG8" s="362"/>
      <c r="AH8" s="363"/>
      <c r="AI8" s="363"/>
      <c r="AJ8" s="363"/>
      <c r="AK8" s="362"/>
      <c r="AL8" s="363"/>
      <c r="AM8" s="363"/>
      <c r="AN8" s="363"/>
      <c r="AO8" s="362"/>
      <c r="AP8" s="363"/>
      <c r="AQ8" s="363"/>
      <c r="AR8" s="363"/>
      <c r="AS8" s="362"/>
      <c r="AT8" s="363"/>
      <c r="AU8" s="363"/>
      <c r="AV8" s="363"/>
      <c r="AW8" s="379"/>
      <c r="AX8" s="380"/>
      <c r="AY8" s="380"/>
      <c r="AZ8" s="380"/>
      <c r="BA8" s="358"/>
      <c r="BB8" s="400"/>
      <c r="BC8" s="405"/>
      <c r="BD8" s="405"/>
      <c r="BE8" s="405"/>
      <c r="BF8" s="405"/>
      <c r="BG8" s="405"/>
      <c r="BH8" s="405"/>
      <c r="BI8" s="405"/>
      <c r="BJ8" s="405"/>
      <c r="BK8" s="405"/>
      <c r="BL8" s="405"/>
      <c r="BM8" s="406"/>
      <c r="BN8" s="112"/>
      <c r="BO8" s="407"/>
      <c r="BP8" s="393"/>
      <c r="BQ8" s="393"/>
      <c r="BR8" s="394"/>
    </row>
    <row r="9" spans="1:72" ht="14.85" customHeight="1" thickTop="1" thickBot="1">
      <c r="A9" s="122"/>
      <c r="B9" s="364" t="s">
        <v>11</v>
      </c>
      <c r="C9" s="365"/>
      <c r="D9" s="366"/>
      <c r="E9" s="367" t="s">
        <v>93</v>
      </c>
      <c r="F9" s="368"/>
      <c r="G9" s="368"/>
      <c r="H9" s="369"/>
      <c r="I9" s="367" t="s">
        <v>93</v>
      </c>
      <c r="J9" s="368"/>
      <c r="K9" s="368"/>
      <c r="L9" s="369"/>
      <c r="M9" s="367" t="s">
        <v>93</v>
      </c>
      <c r="N9" s="368"/>
      <c r="O9" s="368"/>
      <c r="P9" s="369"/>
      <c r="Q9" s="367" t="s">
        <v>93</v>
      </c>
      <c r="R9" s="368"/>
      <c r="S9" s="368"/>
      <c r="T9" s="369"/>
      <c r="U9" s="367" t="s">
        <v>93</v>
      </c>
      <c r="V9" s="368"/>
      <c r="W9" s="368"/>
      <c r="X9" s="369"/>
      <c r="Y9" s="367" t="s">
        <v>93</v>
      </c>
      <c r="Z9" s="368"/>
      <c r="AA9" s="368"/>
      <c r="AB9" s="369"/>
      <c r="AC9" s="367" t="s">
        <v>93</v>
      </c>
      <c r="AD9" s="368"/>
      <c r="AE9" s="368"/>
      <c r="AF9" s="369"/>
      <c r="AG9" s="367" t="s">
        <v>93</v>
      </c>
      <c r="AH9" s="368"/>
      <c r="AI9" s="368"/>
      <c r="AJ9" s="369"/>
      <c r="AK9" s="367" t="s">
        <v>93</v>
      </c>
      <c r="AL9" s="368"/>
      <c r="AM9" s="368"/>
      <c r="AN9" s="369"/>
      <c r="AO9" s="367" t="s">
        <v>93</v>
      </c>
      <c r="AP9" s="368"/>
      <c r="AQ9" s="368"/>
      <c r="AR9" s="369"/>
      <c r="AS9" s="367" t="s">
        <v>93</v>
      </c>
      <c r="AT9" s="368"/>
      <c r="AU9" s="368"/>
      <c r="AV9" s="369"/>
      <c r="AW9" s="367" t="s">
        <v>93</v>
      </c>
      <c r="AX9" s="368"/>
      <c r="AY9" s="368"/>
      <c r="AZ9" s="368"/>
      <c r="BA9" s="358"/>
      <c r="BB9" s="166" t="s">
        <v>340</v>
      </c>
      <c r="BC9" s="166" t="s">
        <v>183</v>
      </c>
      <c r="BD9" s="166" t="s">
        <v>184</v>
      </c>
      <c r="BE9" s="166" t="s">
        <v>185</v>
      </c>
      <c r="BF9" s="166" t="s">
        <v>186</v>
      </c>
      <c r="BG9" s="166" t="s">
        <v>187</v>
      </c>
      <c r="BH9" s="166" t="s">
        <v>188</v>
      </c>
      <c r="BI9" s="166" t="s">
        <v>189</v>
      </c>
      <c r="BJ9" s="166" t="s">
        <v>190</v>
      </c>
      <c r="BK9" s="166" t="s">
        <v>191</v>
      </c>
      <c r="BL9" s="166" t="s">
        <v>192</v>
      </c>
      <c r="BM9" s="166" t="s">
        <v>340</v>
      </c>
      <c r="BN9" s="123"/>
      <c r="BO9" s="167" t="s">
        <v>340</v>
      </c>
      <c r="BP9" s="166" t="s">
        <v>10</v>
      </c>
      <c r="BQ9" s="168" t="s">
        <v>10</v>
      </c>
      <c r="BR9" s="169" t="s">
        <v>340</v>
      </c>
    </row>
    <row r="10" spans="1:72" ht="14.1" customHeight="1" thickTop="1">
      <c r="A10" s="124"/>
      <c r="B10" s="370" t="s">
        <v>94</v>
      </c>
      <c r="C10" s="371"/>
      <c r="D10" s="372"/>
      <c r="E10" s="348" t="str">
        <f>IF($BB$6=TRUE,IF($BO$6=TRUE,"",BB10),IF($BO$6=TRUE,BO10,""))</f>
        <v/>
      </c>
      <c r="F10" s="348"/>
      <c r="G10" s="348"/>
      <c r="H10" s="348"/>
      <c r="I10" s="347" t="str">
        <f>IF($BB$6=TRUE,IF($BO$6=TRUE,"",BC10),IF($BO$6=TRUE,BP10,""))</f>
        <v/>
      </c>
      <c r="J10" s="347"/>
      <c r="K10" s="347"/>
      <c r="L10" s="347"/>
      <c r="M10" s="347" t="str">
        <f>IF($BB$6=TRUE,IF($BO$6=TRUE,"",BD10),IF($BO$6=TRUE,BQ10,""))</f>
        <v/>
      </c>
      <c r="N10" s="347"/>
      <c r="O10" s="347"/>
      <c r="P10" s="347"/>
      <c r="Q10" s="347" t="str">
        <f>IF($BB$6=TRUE,IF($BO$6=TRUE,"",BE10),IF($BO$6=TRUE,"",""))</f>
        <v/>
      </c>
      <c r="R10" s="347"/>
      <c r="S10" s="347"/>
      <c r="T10" s="347"/>
      <c r="U10" s="347" t="str">
        <f>IF($BB$6=TRUE,IF($BO$6=TRUE,"",BF10),IF($BO$6=TRUE,"",""))</f>
        <v/>
      </c>
      <c r="V10" s="347"/>
      <c r="W10" s="347"/>
      <c r="X10" s="347"/>
      <c r="Y10" s="347" t="str">
        <f>IF($BB$6=TRUE,IF($BO$6=TRUE,"",BG10),IF($BO$6=TRUE,"",""))</f>
        <v/>
      </c>
      <c r="Z10" s="347"/>
      <c r="AA10" s="347"/>
      <c r="AB10" s="347"/>
      <c r="AC10" s="347" t="str">
        <f>IF($BB$6=TRUE,IF($BO$6=TRUE,"",BH10),IF($BO$6=TRUE,"",""))</f>
        <v/>
      </c>
      <c r="AD10" s="347"/>
      <c r="AE10" s="347"/>
      <c r="AF10" s="347"/>
      <c r="AG10" s="347" t="str">
        <f>IF($BB$6=TRUE,IF($BO$6=TRUE,"",BI10),IF($BO$6=TRUE,"",""))</f>
        <v/>
      </c>
      <c r="AH10" s="347"/>
      <c r="AI10" s="347"/>
      <c r="AJ10" s="347"/>
      <c r="AK10" s="347" t="str">
        <f>IF($BB$6=TRUE,IF($BO$6=TRUE,"",BJ10),IF($BO$6=TRUE,"",""))</f>
        <v/>
      </c>
      <c r="AL10" s="347"/>
      <c r="AM10" s="347"/>
      <c r="AN10" s="347"/>
      <c r="AO10" s="347" t="str">
        <f>IF($BB$6=TRUE,IF($BO$6=TRUE,"",BK10),IF($BO$6=TRUE,"",""))</f>
        <v/>
      </c>
      <c r="AP10" s="347"/>
      <c r="AQ10" s="347"/>
      <c r="AR10" s="347"/>
      <c r="AS10" s="347" t="str">
        <f>IF($BB$6=TRUE,IF($BO$6=TRUE,"",BL10),IF($BO$6=TRUE,"",""))</f>
        <v/>
      </c>
      <c r="AT10" s="347"/>
      <c r="AU10" s="347"/>
      <c r="AV10" s="347"/>
      <c r="AW10" s="348" t="str">
        <f>IF($BB$6=TRUE,IF($BO$6=TRUE,"",BM10),IF($BO$6=TRUE,BR10,""))</f>
        <v/>
      </c>
      <c r="AX10" s="348"/>
      <c r="AY10" s="348"/>
      <c r="AZ10" s="408"/>
      <c r="BA10" s="358"/>
      <c r="BB10" s="222"/>
      <c r="BC10" s="185"/>
      <c r="BD10" s="185"/>
      <c r="BE10" s="185"/>
      <c r="BF10" s="185"/>
      <c r="BG10" s="185"/>
      <c r="BH10" s="185"/>
      <c r="BI10" s="185"/>
      <c r="BJ10" s="185"/>
      <c r="BK10" s="185"/>
      <c r="BL10" s="185"/>
      <c r="BM10" s="222"/>
      <c r="BN10" s="130"/>
      <c r="BO10" s="221"/>
      <c r="BP10" s="185"/>
      <c r="BQ10" s="185"/>
      <c r="BR10" s="221"/>
    </row>
    <row r="11" spans="1:72" ht="14.1" customHeight="1">
      <c r="A11" s="124"/>
      <c r="B11" s="313" t="s">
        <v>95</v>
      </c>
      <c r="C11" s="314"/>
      <c r="D11" s="315"/>
      <c r="E11" s="316" t="str">
        <f t="shared" ref="E11:E13" si="0">IF($BB$6=TRUE,IF($BO$6=TRUE,"",BB11),IF($BO$6=TRUE,BO11,""))</f>
        <v/>
      </c>
      <c r="F11" s="316"/>
      <c r="G11" s="316"/>
      <c r="H11" s="316"/>
      <c r="I11" s="317" t="str">
        <f t="shared" ref="I11:I14" si="1">IF($BB$6=TRUE,IF($BO$6=TRUE,"",BC11),IF($BO$6=TRUE,BP11,""))</f>
        <v/>
      </c>
      <c r="J11" s="317"/>
      <c r="K11" s="317"/>
      <c r="L11" s="317"/>
      <c r="M11" s="317" t="str">
        <f t="shared" ref="M11:M14" si="2">IF($BB$6=TRUE,IF($BO$6=TRUE,"",BD11),IF($BO$6=TRUE,BQ11,""))</f>
        <v/>
      </c>
      <c r="N11" s="317"/>
      <c r="O11" s="317"/>
      <c r="P11" s="317"/>
      <c r="Q11" s="317" t="str">
        <f t="shared" ref="Q11:Q13" si="3">IF($BB$6=TRUE,IF($BO$6=TRUE,"",BE11),IF($BO$6=TRUE,"",""))</f>
        <v/>
      </c>
      <c r="R11" s="317"/>
      <c r="S11" s="317"/>
      <c r="T11" s="317"/>
      <c r="U11" s="317" t="str">
        <f t="shared" ref="U11:U14" si="4">IF($BB$6=TRUE,IF($BO$6=TRUE,"",BF11),IF($BO$6=TRUE,"",""))</f>
        <v/>
      </c>
      <c r="V11" s="317"/>
      <c r="W11" s="317"/>
      <c r="X11" s="317"/>
      <c r="Y11" s="317" t="str">
        <f t="shared" ref="Y11:Y14" si="5">IF($BB$6=TRUE,IF($BO$6=TRUE,"",BG11),IF($BO$6=TRUE,"",""))</f>
        <v/>
      </c>
      <c r="Z11" s="317"/>
      <c r="AA11" s="317"/>
      <c r="AB11" s="317"/>
      <c r="AC11" s="317" t="str">
        <f t="shared" ref="AC11:AC14" si="6">IF($BB$6=TRUE,IF($BO$6=TRUE,"",BH11),IF($BO$6=TRUE,"",""))</f>
        <v/>
      </c>
      <c r="AD11" s="317"/>
      <c r="AE11" s="317"/>
      <c r="AF11" s="317"/>
      <c r="AG11" s="317" t="str">
        <f t="shared" ref="AG11:AG14" si="7">IF($BB$6=TRUE,IF($BO$6=TRUE,"",BI11),IF($BO$6=TRUE,"",""))</f>
        <v/>
      </c>
      <c r="AH11" s="317"/>
      <c r="AI11" s="317"/>
      <c r="AJ11" s="317"/>
      <c r="AK11" s="317" t="str">
        <f t="shared" ref="AK11:AK14" si="8">IF($BB$6=TRUE,IF($BO$6=TRUE,"",BJ11),IF($BO$6=TRUE,"",""))</f>
        <v/>
      </c>
      <c r="AL11" s="317"/>
      <c r="AM11" s="317"/>
      <c r="AN11" s="317"/>
      <c r="AO11" s="317" t="str">
        <f t="shared" ref="AO11:AO14" si="9">IF($BB$6=TRUE,IF($BO$6=TRUE,"",BK11),IF($BO$6=TRUE,"",""))</f>
        <v/>
      </c>
      <c r="AP11" s="317"/>
      <c r="AQ11" s="317"/>
      <c r="AR11" s="317"/>
      <c r="AS11" s="317" t="str">
        <f t="shared" ref="AS11:AS14" si="10">IF($BB$6=TRUE,IF($BO$6=TRUE,"",BL11),IF($BO$6=TRUE,"",""))</f>
        <v/>
      </c>
      <c r="AT11" s="317"/>
      <c r="AU11" s="317"/>
      <c r="AV11" s="317"/>
      <c r="AW11" s="344" t="str">
        <f>IF($BB$6=TRUE,IF($BO$6=TRUE,"",BM11),IF($BO$6=TRUE,BR11,""))</f>
        <v/>
      </c>
      <c r="AX11" s="345"/>
      <c r="AY11" s="345"/>
      <c r="AZ11" s="345"/>
      <c r="BA11" s="358"/>
      <c r="BB11" s="222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222"/>
      <c r="BN11" s="130"/>
      <c r="BO11" s="221"/>
      <c r="BP11" s="185"/>
      <c r="BQ11" s="185"/>
      <c r="BR11" s="221"/>
    </row>
    <row r="12" spans="1:72" ht="14.1" customHeight="1">
      <c r="A12" s="124"/>
      <c r="B12" s="313" t="s">
        <v>96</v>
      </c>
      <c r="C12" s="314"/>
      <c r="D12" s="315"/>
      <c r="E12" s="316" t="str">
        <f t="shared" si="0"/>
        <v/>
      </c>
      <c r="F12" s="316"/>
      <c r="G12" s="316"/>
      <c r="H12" s="316"/>
      <c r="I12" s="317" t="str">
        <f t="shared" si="1"/>
        <v/>
      </c>
      <c r="J12" s="317"/>
      <c r="K12" s="317"/>
      <c r="L12" s="317"/>
      <c r="M12" s="317" t="str">
        <f t="shared" si="2"/>
        <v/>
      </c>
      <c r="N12" s="317"/>
      <c r="O12" s="317"/>
      <c r="P12" s="317"/>
      <c r="Q12" s="317" t="str">
        <f t="shared" si="3"/>
        <v/>
      </c>
      <c r="R12" s="317"/>
      <c r="S12" s="317"/>
      <c r="T12" s="317"/>
      <c r="U12" s="317" t="str">
        <f t="shared" si="4"/>
        <v/>
      </c>
      <c r="V12" s="317"/>
      <c r="W12" s="317"/>
      <c r="X12" s="317"/>
      <c r="Y12" s="317" t="str">
        <f t="shared" si="5"/>
        <v/>
      </c>
      <c r="Z12" s="317"/>
      <c r="AA12" s="317"/>
      <c r="AB12" s="317"/>
      <c r="AC12" s="317" t="str">
        <f t="shared" si="6"/>
        <v/>
      </c>
      <c r="AD12" s="317"/>
      <c r="AE12" s="317"/>
      <c r="AF12" s="317"/>
      <c r="AG12" s="317" t="str">
        <f t="shared" si="7"/>
        <v/>
      </c>
      <c r="AH12" s="317"/>
      <c r="AI12" s="317"/>
      <c r="AJ12" s="317"/>
      <c r="AK12" s="317" t="str">
        <f t="shared" si="8"/>
        <v/>
      </c>
      <c r="AL12" s="317"/>
      <c r="AM12" s="317"/>
      <c r="AN12" s="317"/>
      <c r="AO12" s="317" t="str">
        <f t="shared" si="9"/>
        <v/>
      </c>
      <c r="AP12" s="317"/>
      <c r="AQ12" s="317"/>
      <c r="AR12" s="317"/>
      <c r="AS12" s="317" t="str">
        <f t="shared" si="10"/>
        <v/>
      </c>
      <c r="AT12" s="317"/>
      <c r="AU12" s="317"/>
      <c r="AV12" s="317"/>
      <c r="AW12" s="344" t="str">
        <f t="shared" ref="AW12:AW14" si="11">IF($BB$6=TRUE,IF($BO$6=TRUE,"",BM12),IF($BO$6=TRUE,BR12,""))</f>
        <v/>
      </c>
      <c r="AX12" s="345"/>
      <c r="AY12" s="345"/>
      <c r="AZ12" s="345"/>
      <c r="BA12" s="358"/>
      <c r="BB12" s="222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222"/>
      <c r="BN12" s="130"/>
      <c r="BO12" s="221"/>
      <c r="BP12" s="185"/>
      <c r="BQ12" s="185"/>
      <c r="BR12" s="221"/>
    </row>
    <row r="13" spans="1:72" ht="14.1" customHeight="1">
      <c r="A13" s="124"/>
      <c r="B13" s="313" t="s">
        <v>97</v>
      </c>
      <c r="C13" s="314"/>
      <c r="D13" s="315"/>
      <c r="E13" s="316" t="str">
        <f t="shared" si="0"/>
        <v/>
      </c>
      <c r="F13" s="316"/>
      <c r="G13" s="316"/>
      <c r="H13" s="316"/>
      <c r="I13" s="317" t="str">
        <f t="shared" si="1"/>
        <v/>
      </c>
      <c r="J13" s="317"/>
      <c r="K13" s="317"/>
      <c r="L13" s="317"/>
      <c r="M13" s="317" t="str">
        <f t="shared" si="2"/>
        <v/>
      </c>
      <c r="N13" s="317"/>
      <c r="O13" s="317"/>
      <c r="P13" s="317"/>
      <c r="Q13" s="317" t="str">
        <f t="shared" si="3"/>
        <v/>
      </c>
      <c r="R13" s="317"/>
      <c r="S13" s="317"/>
      <c r="T13" s="317"/>
      <c r="U13" s="317" t="str">
        <f t="shared" si="4"/>
        <v/>
      </c>
      <c r="V13" s="317"/>
      <c r="W13" s="317"/>
      <c r="X13" s="317"/>
      <c r="Y13" s="317" t="str">
        <f t="shared" si="5"/>
        <v/>
      </c>
      <c r="Z13" s="317"/>
      <c r="AA13" s="317"/>
      <c r="AB13" s="317"/>
      <c r="AC13" s="317" t="str">
        <f t="shared" si="6"/>
        <v/>
      </c>
      <c r="AD13" s="317"/>
      <c r="AE13" s="317"/>
      <c r="AF13" s="317"/>
      <c r="AG13" s="317" t="str">
        <f t="shared" si="7"/>
        <v/>
      </c>
      <c r="AH13" s="317"/>
      <c r="AI13" s="317"/>
      <c r="AJ13" s="317"/>
      <c r="AK13" s="317" t="str">
        <f t="shared" si="8"/>
        <v/>
      </c>
      <c r="AL13" s="317"/>
      <c r="AM13" s="317"/>
      <c r="AN13" s="317"/>
      <c r="AO13" s="317" t="str">
        <f t="shared" si="9"/>
        <v/>
      </c>
      <c r="AP13" s="317"/>
      <c r="AQ13" s="317"/>
      <c r="AR13" s="317"/>
      <c r="AS13" s="317" t="str">
        <f t="shared" si="10"/>
        <v/>
      </c>
      <c r="AT13" s="317"/>
      <c r="AU13" s="317"/>
      <c r="AV13" s="317"/>
      <c r="AW13" s="344" t="str">
        <f t="shared" si="11"/>
        <v/>
      </c>
      <c r="AX13" s="345"/>
      <c r="AY13" s="345"/>
      <c r="AZ13" s="345"/>
      <c r="BA13" s="358"/>
      <c r="BB13" s="222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222"/>
      <c r="BN13" s="130"/>
      <c r="BO13" s="221"/>
      <c r="BP13" s="185"/>
      <c r="BQ13" s="185"/>
      <c r="BR13" s="221"/>
    </row>
    <row r="14" spans="1:72" ht="14.1" customHeight="1" thickBot="1">
      <c r="A14" s="124"/>
      <c r="B14" s="331" t="s">
        <v>98</v>
      </c>
      <c r="C14" s="332"/>
      <c r="D14" s="333"/>
      <c r="E14" s="334" t="str">
        <f>IF($BB$6=TRUE,IF($BO$6=TRUE,"",BB14),IF($BO$6=TRUE,BO14,""))</f>
        <v/>
      </c>
      <c r="F14" s="334"/>
      <c r="G14" s="334"/>
      <c r="H14" s="334"/>
      <c r="I14" s="335" t="str">
        <f t="shared" si="1"/>
        <v/>
      </c>
      <c r="J14" s="335"/>
      <c r="K14" s="335"/>
      <c r="L14" s="335"/>
      <c r="M14" s="335" t="str">
        <f t="shared" si="2"/>
        <v/>
      </c>
      <c r="N14" s="335"/>
      <c r="O14" s="335"/>
      <c r="P14" s="335"/>
      <c r="Q14" s="335" t="str">
        <f>IF($BB$6=TRUE,IF($BO$6=TRUE,"",BE14),IF($BO$6=TRUE,"",""))</f>
        <v/>
      </c>
      <c r="R14" s="335"/>
      <c r="S14" s="335"/>
      <c r="T14" s="335"/>
      <c r="U14" s="335" t="str">
        <f t="shared" si="4"/>
        <v/>
      </c>
      <c r="V14" s="335"/>
      <c r="W14" s="335"/>
      <c r="X14" s="335"/>
      <c r="Y14" s="335" t="str">
        <f t="shared" si="5"/>
        <v/>
      </c>
      <c r="Z14" s="335"/>
      <c r="AA14" s="335"/>
      <c r="AB14" s="335"/>
      <c r="AC14" s="335" t="str">
        <f t="shared" si="6"/>
        <v/>
      </c>
      <c r="AD14" s="335"/>
      <c r="AE14" s="335"/>
      <c r="AF14" s="335"/>
      <c r="AG14" s="335" t="str">
        <f t="shared" si="7"/>
        <v/>
      </c>
      <c r="AH14" s="335"/>
      <c r="AI14" s="335"/>
      <c r="AJ14" s="335"/>
      <c r="AK14" s="335" t="str">
        <f t="shared" si="8"/>
        <v/>
      </c>
      <c r="AL14" s="335"/>
      <c r="AM14" s="335"/>
      <c r="AN14" s="335"/>
      <c r="AO14" s="335" t="str">
        <f t="shared" si="9"/>
        <v/>
      </c>
      <c r="AP14" s="335"/>
      <c r="AQ14" s="335"/>
      <c r="AR14" s="335"/>
      <c r="AS14" s="335" t="str">
        <f t="shared" si="10"/>
        <v/>
      </c>
      <c r="AT14" s="335"/>
      <c r="AU14" s="335"/>
      <c r="AV14" s="335"/>
      <c r="AW14" s="339" t="str">
        <f t="shared" si="11"/>
        <v/>
      </c>
      <c r="AX14" s="340"/>
      <c r="AY14" s="340"/>
      <c r="AZ14" s="340"/>
      <c r="BA14" s="359"/>
      <c r="BB14" s="222"/>
      <c r="BC14" s="185"/>
      <c r="BD14" s="185"/>
      <c r="BE14" s="185"/>
      <c r="BF14" s="185"/>
      <c r="BG14" s="185"/>
      <c r="BH14" s="185"/>
      <c r="BI14" s="185"/>
      <c r="BJ14" s="185"/>
      <c r="BK14" s="185"/>
      <c r="BL14" s="185"/>
      <c r="BM14" s="222"/>
      <c r="BN14" s="130"/>
      <c r="BO14" s="221"/>
      <c r="BP14" s="185"/>
      <c r="BQ14" s="185"/>
      <c r="BR14" s="221"/>
    </row>
    <row r="15" spans="1:72" ht="14.85" customHeight="1" thickTop="1">
      <c r="A15" s="125"/>
      <c r="B15" s="435" t="s">
        <v>48</v>
      </c>
      <c r="C15" s="435"/>
      <c r="D15" s="435"/>
      <c r="E15" s="343" t="str">
        <f>IF(E10="","",AVERAGE(E10:H14,AW10:AZ14))</f>
        <v/>
      </c>
      <c r="F15" s="343"/>
      <c r="G15" s="343"/>
      <c r="H15" s="343"/>
      <c r="I15" s="336" t="str">
        <f>IF(I10="","",IF(BO6=TRUE,AVERAGE(I10:P14),AVERAGE(I10:L14)))</f>
        <v/>
      </c>
      <c r="J15" s="336"/>
      <c r="K15" s="336"/>
      <c r="L15" s="336"/>
      <c r="M15" s="336" t="str">
        <f>IF(M10="","",IF(BO6=TRUE,"",AVERAGE(M10:P14)))</f>
        <v/>
      </c>
      <c r="N15" s="336"/>
      <c r="O15" s="336"/>
      <c r="P15" s="336"/>
      <c r="Q15" s="336" t="str">
        <f>IF(Q10="","",AVERAGE(Q10:T14))</f>
        <v/>
      </c>
      <c r="R15" s="336"/>
      <c r="S15" s="336"/>
      <c r="T15" s="336"/>
      <c r="U15" s="336" t="str">
        <f>IF(U10="","",AVERAGE(U10:X14))</f>
        <v/>
      </c>
      <c r="V15" s="336"/>
      <c r="W15" s="336"/>
      <c r="X15" s="336"/>
      <c r="Y15" s="336" t="str">
        <f t="shared" ref="Y15" si="12">IF(Y10="","",AVERAGE(Y10:AB14))</f>
        <v/>
      </c>
      <c r="Z15" s="336"/>
      <c r="AA15" s="336"/>
      <c r="AB15" s="336"/>
      <c r="AC15" s="336" t="str">
        <f t="shared" ref="AC15" si="13">IF(AC10="","",AVERAGE(AC10:AF14))</f>
        <v/>
      </c>
      <c r="AD15" s="336"/>
      <c r="AE15" s="336"/>
      <c r="AF15" s="336"/>
      <c r="AG15" s="336" t="str">
        <f t="shared" ref="AG15" si="14">IF(AG10="","",AVERAGE(AG10:AJ14))</f>
        <v/>
      </c>
      <c r="AH15" s="336"/>
      <c r="AI15" s="336"/>
      <c r="AJ15" s="336"/>
      <c r="AK15" s="336" t="str">
        <f t="shared" ref="AK15" si="15">IF(AK10="","",AVERAGE(AK10:AN14))</f>
        <v/>
      </c>
      <c r="AL15" s="336"/>
      <c r="AM15" s="336"/>
      <c r="AN15" s="336"/>
      <c r="AO15" s="336" t="str">
        <f t="shared" ref="AO15" si="16">IF(AO10="","",AVERAGE(AO10:AR14))</f>
        <v/>
      </c>
      <c r="AP15" s="336"/>
      <c r="AQ15" s="336"/>
      <c r="AR15" s="336"/>
      <c r="AS15" s="336" t="str">
        <f t="shared" ref="AS15" si="17">IF(AS10="","",AVERAGE(AS10:AV14))</f>
        <v/>
      </c>
      <c r="AT15" s="336"/>
      <c r="AU15" s="336"/>
      <c r="AV15" s="336"/>
      <c r="AW15" s="112"/>
      <c r="AX15" s="112"/>
      <c r="AY15" s="112"/>
      <c r="AZ15" s="112"/>
      <c r="BA15" s="112"/>
      <c r="BB15" s="223"/>
    </row>
    <row r="16" spans="1:72" ht="14.85" customHeight="1" thickBot="1">
      <c r="A16" s="125"/>
      <c r="B16" s="434" t="s">
        <v>49</v>
      </c>
      <c r="C16" s="434"/>
      <c r="D16" s="434"/>
      <c r="E16" s="338" t="str">
        <f>IF(E10="","",STDEV(AW10:AZ14,E10:H14))</f>
        <v/>
      </c>
      <c r="F16" s="338"/>
      <c r="G16" s="338"/>
      <c r="H16" s="338"/>
      <c r="I16" s="318" t="str">
        <f>IF(I10="","",IF($BO$6=TRUE,STDEV(I10:P14),STDEV(I10:L14)))</f>
        <v/>
      </c>
      <c r="J16" s="318"/>
      <c r="K16" s="318"/>
      <c r="L16" s="318"/>
      <c r="M16" s="318" t="str">
        <f>IF(M10="","",IF($BO$6=TRUE,"",STDEV(M10:P14)))</f>
        <v/>
      </c>
      <c r="N16" s="318"/>
      <c r="O16" s="318"/>
      <c r="P16" s="318"/>
      <c r="Q16" s="318" t="str">
        <f t="shared" ref="Q16" si="18">IF(Q10="","",STDEV(Q10:T14))</f>
        <v/>
      </c>
      <c r="R16" s="318"/>
      <c r="S16" s="318"/>
      <c r="T16" s="318"/>
      <c r="U16" s="318" t="str">
        <f t="shared" ref="U16" si="19">IF(U10="","",STDEV(U10:X14))</f>
        <v/>
      </c>
      <c r="V16" s="318"/>
      <c r="W16" s="318"/>
      <c r="X16" s="318"/>
      <c r="Y16" s="318" t="str">
        <f t="shared" ref="Y16" si="20">IF(Y10="","",STDEV(Y10:AB14))</f>
        <v/>
      </c>
      <c r="Z16" s="318"/>
      <c r="AA16" s="318"/>
      <c r="AB16" s="318"/>
      <c r="AC16" s="318" t="str">
        <f t="shared" ref="AC16" si="21">IF(AC10="","",STDEV(AC10:AF14))</f>
        <v/>
      </c>
      <c r="AD16" s="318"/>
      <c r="AE16" s="318"/>
      <c r="AF16" s="318"/>
      <c r="AG16" s="318" t="str">
        <f t="shared" ref="AG16" si="22">IF(AG10="","",STDEV(AG10:AJ14))</f>
        <v/>
      </c>
      <c r="AH16" s="318"/>
      <c r="AI16" s="318"/>
      <c r="AJ16" s="318"/>
      <c r="AK16" s="318" t="str">
        <f t="shared" ref="AK16" si="23">IF(AK10="","",STDEV(AK10:AN14))</f>
        <v/>
      </c>
      <c r="AL16" s="318"/>
      <c r="AM16" s="318"/>
      <c r="AN16" s="318"/>
      <c r="AO16" s="318" t="str">
        <f t="shared" ref="AO16" si="24">IF(AO10="","",STDEV(AO10:AR14))</f>
        <v/>
      </c>
      <c r="AP16" s="318"/>
      <c r="AQ16" s="318"/>
      <c r="AR16" s="318"/>
      <c r="AS16" s="318" t="str">
        <f>IF(AS10="","",STDEV(AS10:AV14))</f>
        <v/>
      </c>
      <c r="AT16" s="318"/>
      <c r="AU16" s="318"/>
      <c r="AV16" s="318"/>
      <c r="AW16" s="112"/>
      <c r="AX16" s="112"/>
      <c r="AY16" s="112"/>
      <c r="AZ16" s="112"/>
      <c r="BA16" s="112"/>
    </row>
    <row r="17" spans="1:75" ht="14.85" customHeight="1" thickTop="1">
      <c r="A17" s="125"/>
      <c r="B17" s="126"/>
      <c r="C17" s="126"/>
      <c r="D17" s="126"/>
      <c r="E17" s="139"/>
      <c r="F17" s="139"/>
      <c r="G17" s="139"/>
      <c r="H17" s="139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12"/>
      <c r="AX17" s="112"/>
      <c r="AY17" s="112"/>
      <c r="AZ17" s="112"/>
      <c r="BA17" s="112"/>
    </row>
    <row r="18" spans="1:75" ht="14.85" customHeight="1">
      <c r="A18" s="116"/>
      <c r="B18" s="129" t="s">
        <v>341</v>
      </c>
      <c r="C18" s="116"/>
      <c r="E18" s="116"/>
      <c r="H18" s="118"/>
      <c r="L18" s="116"/>
      <c r="X18" s="116"/>
      <c r="Y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S18" s="128"/>
    </row>
    <row r="19" spans="1:75" ht="14.85" customHeight="1" thickBot="1">
      <c r="A19" s="119"/>
      <c r="B19" s="387" t="s">
        <v>8</v>
      </c>
      <c r="C19" s="387"/>
      <c r="D19" s="387"/>
      <c r="E19" s="387"/>
      <c r="F19" s="387"/>
      <c r="G19" s="387"/>
      <c r="H19" s="387"/>
      <c r="I19" s="387"/>
      <c r="J19" s="417">
        <f>$J$5</f>
        <v>0</v>
      </c>
      <c r="K19" s="417"/>
      <c r="L19" s="417"/>
      <c r="M19" s="349" t="s">
        <v>92</v>
      </c>
      <c r="N19" s="350"/>
      <c r="O19" s="120"/>
      <c r="P19" s="120"/>
      <c r="Q19" s="120"/>
      <c r="R19" s="120"/>
      <c r="S19" s="120"/>
      <c r="U19" s="116"/>
      <c r="V19" s="116"/>
      <c r="W19" s="116"/>
      <c r="X19" s="116"/>
      <c r="Y19" s="116"/>
      <c r="Z19" s="116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S19" s="128"/>
    </row>
    <row r="20" spans="1:75" ht="14.85" customHeight="1" thickTop="1" thickBot="1">
      <c r="A20" s="121"/>
      <c r="B20" s="351" t="s">
        <v>9</v>
      </c>
      <c r="C20" s="352"/>
      <c r="D20" s="353"/>
      <c r="E20" s="354" t="s">
        <v>35</v>
      </c>
      <c r="F20" s="355"/>
      <c r="G20" s="355"/>
      <c r="H20" s="355"/>
      <c r="I20" s="355"/>
      <c r="J20" s="355"/>
      <c r="K20" s="355"/>
      <c r="L20" s="355"/>
      <c r="M20" s="355"/>
      <c r="N20" s="355"/>
      <c r="O20" s="355"/>
      <c r="P20" s="355"/>
      <c r="Q20" s="355"/>
      <c r="R20" s="355"/>
      <c r="S20" s="355"/>
      <c r="T20" s="355"/>
      <c r="U20" s="355"/>
      <c r="V20" s="355"/>
      <c r="W20" s="355"/>
      <c r="X20" s="355"/>
      <c r="Y20" s="355"/>
      <c r="Z20" s="355"/>
      <c r="AA20" s="355"/>
      <c r="AB20" s="355"/>
      <c r="AC20" s="355"/>
      <c r="AD20" s="355"/>
      <c r="AE20" s="355"/>
      <c r="AF20" s="355"/>
      <c r="AG20" s="355"/>
      <c r="AH20" s="355"/>
      <c r="AI20" s="355"/>
      <c r="AJ20" s="355"/>
      <c r="AK20" s="355"/>
      <c r="AL20" s="355"/>
      <c r="AM20" s="355"/>
      <c r="AN20" s="355"/>
      <c r="AO20" s="355"/>
      <c r="AP20" s="355"/>
      <c r="AQ20" s="355"/>
      <c r="AR20" s="355"/>
      <c r="AS20" s="355"/>
      <c r="AT20" s="355"/>
      <c r="AU20" s="355"/>
      <c r="AV20" s="355"/>
      <c r="AW20" s="355"/>
      <c r="AX20" s="355"/>
      <c r="AY20" s="355"/>
      <c r="AZ20" s="356"/>
      <c r="BA20" s="357" t="s">
        <v>427</v>
      </c>
      <c r="BB20" s="373" t="s">
        <v>338</v>
      </c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112"/>
      <c r="BO20" s="373" t="s">
        <v>339</v>
      </c>
      <c r="BP20" s="373"/>
      <c r="BQ20" s="373"/>
      <c r="BR20" s="373"/>
      <c r="BS20" s="128"/>
    </row>
    <row r="21" spans="1:75" ht="14.85" customHeight="1" thickTop="1">
      <c r="A21" s="121"/>
      <c r="B21" s="374" t="s">
        <v>6</v>
      </c>
      <c r="C21" s="375"/>
      <c r="D21" s="376"/>
      <c r="E21" s="377" t="s">
        <v>340</v>
      </c>
      <c r="F21" s="378"/>
      <c r="G21" s="378"/>
      <c r="H21" s="378"/>
      <c r="I21" s="360" t="str">
        <f>IF($BB$6=TRUE,IF($BO$6=TRUE,"","P1"),IF($BO$6=TRUE,"CH1","P1"))</f>
        <v>P1</v>
      </c>
      <c r="J21" s="361"/>
      <c r="K21" s="361"/>
      <c r="L21" s="361"/>
      <c r="M21" s="360" t="str">
        <f>IF($BB$6=TRUE,IF($BO$6=TRUE,"","P2"),IF($BO$6=TRUE,"CH1","P2"))</f>
        <v>P2</v>
      </c>
      <c r="N21" s="361"/>
      <c r="O21" s="361"/>
      <c r="P21" s="361"/>
      <c r="Q21" s="360" t="str">
        <f>IF($BB$6=TRUE,IF($BO$6=TRUE,"","P3"),IF($BO$6=TRUE,"","P3"))</f>
        <v>P3</v>
      </c>
      <c r="R21" s="361"/>
      <c r="S21" s="361"/>
      <c r="T21" s="361"/>
      <c r="U21" s="360" t="str">
        <f>IF($BB$6=TRUE,IF($BO$6=TRUE,"","P4"),IF($BO$6=TRUE,"","P4"))</f>
        <v>P4</v>
      </c>
      <c r="V21" s="361"/>
      <c r="W21" s="361"/>
      <c r="X21" s="361"/>
      <c r="Y21" s="360" t="str">
        <f>IF($BB$6=TRUE,IF($BO$6=TRUE,"","P5"),IF($BO$6=TRUE,"","P5"))</f>
        <v>P5</v>
      </c>
      <c r="Z21" s="361"/>
      <c r="AA21" s="361"/>
      <c r="AB21" s="361"/>
      <c r="AC21" s="360" t="str">
        <f>IF($BB$6=TRUE,IF($BO$6=TRUE,"","P6"),IF($BO$6=TRUE,"","P6"))</f>
        <v>P6</v>
      </c>
      <c r="AD21" s="361"/>
      <c r="AE21" s="361"/>
      <c r="AF21" s="361"/>
      <c r="AG21" s="360" t="str">
        <f>IF($BB$6=TRUE,IF($BO$6=TRUE,"","P7"),IF($BO$6=TRUE,"","P7"))</f>
        <v>P7</v>
      </c>
      <c r="AH21" s="361"/>
      <c r="AI21" s="361"/>
      <c r="AJ21" s="361"/>
      <c r="AK21" s="360" t="str">
        <f>IF($BB$6=TRUE,IF($BO$6=TRUE,"","P8"),IF($BO$6=TRUE,"","P8"))</f>
        <v>P8</v>
      </c>
      <c r="AL21" s="361"/>
      <c r="AM21" s="361"/>
      <c r="AN21" s="361"/>
      <c r="AO21" s="360" t="str">
        <f>IF($BB$6=TRUE,IF($BO$6=TRUE,"","P9"),IF($BO$6=TRUE,"","P9"))</f>
        <v>P9</v>
      </c>
      <c r="AP21" s="361"/>
      <c r="AQ21" s="361"/>
      <c r="AR21" s="361"/>
      <c r="AS21" s="360" t="str">
        <f>IF($BB$6=TRUE,IF($BO$6=TRUE,"","P10"),IF($BO$6=TRUE,"","P10"))</f>
        <v>P10</v>
      </c>
      <c r="AT21" s="361"/>
      <c r="AU21" s="361"/>
      <c r="AV21" s="361"/>
      <c r="AW21" s="377" t="s">
        <v>340</v>
      </c>
      <c r="AX21" s="378"/>
      <c r="AY21" s="378"/>
      <c r="AZ21" s="381"/>
      <c r="BA21" s="358"/>
      <c r="BB21" s="373"/>
      <c r="BC21" s="373"/>
      <c r="BD21" s="373"/>
      <c r="BE21" s="373"/>
      <c r="BF21" s="373"/>
      <c r="BG21" s="373"/>
      <c r="BH21" s="373"/>
      <c r="BI21" s="373"/>
      <c r="BJ21" s="373"/>
      <c r="BK21" s="373"/>
      <c r="BL21" s="373"/>
      <c r="BM21" s="373"/>
      <c r="BN21" s="112"/>
      <c r="BO21" s="373"/>
      <c r="BP21" s="373"/>
      <c r="BQ21" s="373"/>
      <c r="BR21" s="373"/>
    </row>
    <row r="22" spans="1:75" ht="14.85" customHeight="1" thickBot="1">
      <c r="A22" s="122"/>
      <c r="B22" s="383" t="s">
        <v>0</v>
      </c>
      <c r="C22" s="384"/>
      <c r="D22" s="385"/>
      <c r="E22" s="379"/>
      <c r="F22" s="380"/>
      <c r="G22" s="380"/>
      <c r="H22" s="380"/>
      <c r="I22" s="362"/>
      <c r="J22" s="363"/>
      <c r="K22" s="363"/>
      <c r="L22" s="363"/>
      <c r="M22" s="362"/>
      <c r="N22" s="363"/>
      <c r="O22" s="363"/>
      <c r="P22" s="363"/>
      <c r="Q22" s="362"/>
      <c r="R22" s="363"/>
      <c r="S22" s="363"/>
      <c r="T22" s="363"/>
      <c r="U22" s="362"/>
      <c r="V22" s="363"/>
      <c r="W22" s="363"/>
      <c r="X22" s="363"/>
      <c r="Y22" s="362"/>
      <c r="Z22" s="363"/>
      <c r="AA22" s="363"/>
      <c r="AB22" s="363"/>
      <c r="AC22" s="362"/>
      <c r="AD22" s="363"/>
      <c r="AE22" s="363"/>
      <c r="AF22" s="363"/>
      <c r="AG22" s="362"/>
      <c r="AH22" s="363"/>
      <c r="AI22" s="363"/>
      <c r="AJ22" s="363"/>
      <c r="AK22" s="362"/>
      <c r="AL22" s="363"/>
      <c r="AM22" s="363"/>
      <c r="AN22" s="363"/>
      <c r="AO22" s="362"/>
      <c r="AP22" s="363"/>
      <c r="AQ22" s="363"/>
      <c r="AR22" s="363"/>
      <c r="AS22" s="362"/>
      <c r="AT22" s="363"/>
      <c r="AU22" s="363"/>
      <c r="AV22" s="363"/>
      <c r="AW22" s="379"/>
      <c r="AX22" s="380"/>
      <c r="AY22" s="380"/>
      <c r="AZ22" s="382"/>
      <c r="BA22" s="358"/>
      <c r="BB22" s="373"/>
      <c r="BC22" s="373"/>
      <c r="BD22" s="373"/>
      <c r="BE22" s="373"/>
      <c r="BF22" s="373"/>
      <c r="BG22" s="373"/>
      <c r="BH22" s="373"/>
      <c r="BI22" s="373"/>
      <c r="BJ22" s="373"/>
      <c r="BK22" s="373"/>
      <c r="BL22" s="373"/>
      <c r="BM22" s="373"/>
      <c r="BN22" s="112"/>
      <c r="BO22" s="373"/>
      <c r="BP22" s="373"/>
      <c r="BQ22" s="373"/>
      <c r="BR22" s="373"/>
    </row>
    <row r="23" spans="1:75" ht="14.85" customHeight="1" thickTop="1" thickBot="1">
      <c r="A23" s="122"/>
      <c r="B23" s="364" t="s">
        <v>11</v>
      </c>
      <c r="C23" s="365"/>
      <c r="D23" s="366"/>
      <c r="E23" s="367" t="s">
        <v>93</v>
      </c>
      <c r="F23" s="368"/>
      <c r="G23" s="368"/>
      <c r="H23" s="369"/>
      <c r="I23" s="367" t="s">
        <v>93</v>
      </c>
      <c r="J23" s="368"/>
      <c r="K23" s="368"/>
      <c r="L23" s="369"/>
      <c r="M23" s="367" t="s">
        <v>93</v>
      </c>
      <c r="N23" s="368"/>
      <c r="O23" s="368"/>
      <c r="P23" s="369"/>
      <c r="Q23" s="367" t="s">
        <v>93</v>
      </c>
      <c r="R23" s="368"/>
      <c r="S23" s="368"/>
      <c r="T23" s="369"/>
      <c r="U23" s="367" t="s">
        <v>93</v>
      </c>
      <c r="V23" s="368"/>
      <c r="W23" s="368"/>
      <c r="X23" s="369"/>
      <c r="Y23" s="367" t="s">
        <v>93</v>
      </c>
      <c r="Z23" s="368"/>
      <c r="AA23" s="368"/>
      <c r="AB23" s="369"/>
      <c r="AC23" s="367" t="s">
        <v>93</v>
      </c>
      <c r="AD23" s="368"/>
      <c r="AE23" s="368"/>
      <c r="AF23" s="369"/>
      <c r="AG23" s="367" t="s">
        <v>93</v>
      </c>
      <c r="AH23" s="368"/>
      <c r="AI23" s="368"/>
      <c r="AJ23" s="369"/>
      <c r="AK23" s="367" t="s">
        <v>93</v>
      </c>
      <c r="AL23" s="368"/>
      <c r="AM23" s="368"/>
      <c r="AN23" s="369"/>
      <c r="AO23" s="367" t="s">
        <v>93</v>
      </c>
      <c r="AP23" s="368"/>
      <c r="AQ23" s="368"/>
      <c r="AR23" s="369"/>
      <c r="AS23" s="367" t="s">
        <v>93</v>
      </c>
      <c r="AT23" s="368"/>
      <c r="AU23" s="368"/>
      <c r="AV23" s="369"/>
      <c r="AW23" s="367" t="s">
        <v>93</v>
      </c>
      <c r="AX23" s="368"/>
      <c r="AY23" s="368"/>
      <c r="AZ23" s="369"/>
      <c r="BA23" s="358"/>
      <c r="BB23" s="166" t="s">
        <v>340</v>
      </c>
      <c r="BC23" s="166" t="s">
        <v>183</v>
      </c>
      <c r="BD23" s="166" t="s">
        <v>184</v>
      </c>
      <c r="BE23" s="166" t="s">
        <v>185</v>
      </c>
      <c r="BF23" s="166" t="s">
        <v>186</v>
      </c>
      <c r="BG23" s="166" t="s">
        <v>187</v>
      </c>
      <c r="BH23" s="166" t="s">
        <v>188</v>
      </c>
      <c r="BI23" s="166" t="s">
        <v>189</v>
      </c>
      <c r="BJ23" s="166" t="s">
        <v>190</v>
      </c>
      <c r="BK23" s="166" t="s">
        <v>191</v>
      </c>
      <c r="BL23" s="166" t="s">
        <v>192</v>
      </c>
      <c r="BM23" s="166" t="s">
        <v>340</v>
      </c>
      <c r="BN23" s="123"/>
      <c r="BO23" s="166" t="s">
        <v>340</v>
      </c>
      <c r="BP23" s="166" t="s">
        <v>10</v>
      </c>
      <c r="BQ23" s="166" t="s">
        <v>10</v>
      </c>
      <c r="BR23" s="166" t="s">
        <v>340</v>
      </c>
    </row>
    <row r="24" spans="1:75" ht="14.1" customHeight="1" thickTop="1">
      <c r="A24" s="124"/>
      <c r="B24" s="370" t="s">
        <v>94</v>
      </c>
      <c r="C24" s="371"/>
      <c r="D24" s="372"/>
      <c r="E24" s="348" t="str">
        <f>IF($BB$6=TRUE,IF($BO$6=TRUE,"",BB24),IF($BO$6=TRUE,BO24,""))</f>
        <v/>
      </c>
      <c r="F24" s="348"/>
      <c r="G24" s="348"/>
      <c r="H24" s="348"/>
      <c r="I24" s="347" t="str">
        <f>IF($BB$6=TRUE,IF($BO$6=TRUE,"",BC24),IF($BO$6=TRUE,BP24,""))</f>
        <v/>
      </c>
      <c r="J24" s="347"/>
      <c r="K24" s="347"/>
      <c r="L24" s="347"/>
      <c r="M24" s="347" t="str">
        <f>IF($BB$6=TRUE,IF($BO$6=TRUE,"",BD24),IF($BO$6=TRUE,BQ24,""))</f>
        <v/>
      </c>
      <c r="N24" s="347"/>
      <c r="O24" s="347"/>
      <c r="P24" s="347"/>
      <c r="Q24" s="347" t="str">
        <f>IF($BB$6=TRUE,IF($BO$6=TRUE,"",BE24),IF($BO$6=TRUE,"",""))</f>
        <v/>
      </c>
      <c r="R24" s="347"/>
      <c r="S24" s="347"/>
      <c r="T24" s="347"/>
      <c r="U24" s="347" t="str">
        <f>IF($BB$6=TRUE,IF($BO$6=TRUE,"",BF24),IF($BO$6=TRUE,"",""))</f>
        <v/>
      </c>
      <c r="V24" s="347"/>
      <c r="W24" s="347"/>
      <c r="X24" s="347"/>
      <c r="Y24" s="347" t="str">
        <f>IF($BB$6=TRUE,IF($BO$6=TRUE,"",BG24),IF($BO$6=TRUE,"",""))</f>
        <v/>
      </c>
      <c r="Z24" s="347"/>
      <c r="AA24" s="347"/>
      <c r="AB24" s="347"/>
      <c r="AC24" s="347" t="str">
        <f>IF($BB$6=TRUE,IF($BO$6=TRUE,"",BH24),IF($BO$6=TRUE,"",""))</f>
        <v/>
      </c>
      <c r="AD24" s="347"/>
      <c r="AE24" s="347"/>
      <c r="AF24" s="347"/>
      <c r="AG24" s="347" t="str">
        <f>IF($BB$6=TRUE,IF($BO$6=TRUE,"",BI24),IF($BO$6=TRUE,"",""))</f>
        <v/>
      </c>
      <c r="AH24" s="347"/>
      <c r="AI24" s="347"/>
      <c r="AJ24" s="347"/>
      <c r="AK24" s="347" t="str">
        <f>IF($BB$6=TRUE,IF($BO$6=TRUE,"",BJ24),IF($BO$6=TRUE,"",""))</f>
        <v/>
      </c>
      <c r="AL24" s="347"/>
      <c r="AM24" s="347"/>
      <c r="AN24" s="347"/>
      <c r="AO24" s="347" t="str">
        <f>IF($BB$6=TRUE,IF($BO$6=TRUE,"",BK24),IF($BO$6=TRUE,"",""))</f>
        <v/>
      </c>
      <c r="AP24" s="347"/>
      <c r="AQ24" s="347"/>
      <c r="AR24" s="347"/>
      <c r="AS24" s="347" t="str">
        <f>IF($BB$6=TRUE,IF($BO$6=TRUE,"",BL24),IF($BO$6=TRUE,"",""))</f>
        <v/>
      </c>
      <c r="AT24" s="347"/>
      <c r="AU24" s="347"/>
      <c r="AV24" s="347"/>
      <c r="AW24" s="348" t="str">
        <f>IF($BB$6=TRUE,IF($BO$6=TRUE,"",BM24),IF($BO$6=TRUE,BR24,""))</f>
        <v/>
      </c>
      <c r="AX24" s="348"/>
      <c r="AY24" s="348"/>
      <c r="AZ24" s="348"/>
      <c r="BA24" s="358"/>
      <c r="BB24" s="222"/>
      <c r="BC24" s="185"/>
      <c r="BD24" s="185"/>
      <c r="BE24" s="185"/>
      <c r="BF24" s="185"/>
      <c r="BG24" s="185"/>
      <c r="BH24" s="185"/>
      <c r="BI24" s="185"/>
      <c r="BJ24" s="185"/>
      <c r="BK24" s="185"/>
      <c r="BL24" s="185"/>
      <c r="BM24" s="222"/>
      <c r="BN24" s="130"/>
      <c r="BO24" s="221"/>
      <c r="BP24" s="185"/>
      <c r="BQ24" s="185"/>
      <c r="BR24" s="221"/>
      <c r="BT24" s="127"/>
      <c r="BU24" s="131"/>
      <c r="BV24" s="131"/>
      <c r="BW24" s="127"/>
    </row>
    <row r="25" spans="1:75" ht="14.1" customHeight="1">
      <c r="A25" s="124"/>
      <c r="B25" s="313" t="s">
        <v>95</v>
      </c>
      <c r="C25" s="314"/>
      <c r="D25" s="315"/>
      <c r="E25" s="316" t="str">
        <f t="shared" ref="E25:E28" si="25">IF($BB$6=TRUE,IF($BO$6=TRUE,"",BB25),IF($BO$6=TRUE,BO25,""))</f>
        <v/>
      </c>
      <c r="F25" s="316"/>
      <c r="G25" s="316"/>
      <c r="H25" s="316"/>
      <c r="I25" s="317" t="str">
        <f t="shared" ref="I25:I28" si="26">IF($BB$6=TRUE,IF($BO$6=TRUE,"",BC25),IF($BO$6=TRUE,BP25,""))</f>
        <v/>
      </c>
      <c r="J25" s="317"/>
      <c r="K25" s="317"/>
      <c r="L25" s="317"/>
      <c r="M25" s="317" t="str">
        <f t="shared" ref="M25:M28" si="27">IF($BB$6=TRUE,IF($BO$6=TRUE,"",BD25),IF($BO$6=TRUE,BQ25,""))</f>
        <v/>
      </c>
      <c r="N25" s="317"/>
      <c r="O25" s="317"/>
      <c r="P25" s="317"/>
      <c r="Q25" s="317" t="str">
        <f>IF($BB$6=TRUE,IF($BO$6=TRUE,"",BE25),IF($BO$6=TRUE,"",""))</f>
        <v/>
      </c>
      <c r="R25" s="317"/>
      <c r="S25" s="317"/>
      <c r="T25" s="317"/>
      <c r="U25" s="317" t="str">
        <f t="shared" ref="U25:U28" si="28">IF($BB$6=TRUE,IF($BO$6=TRUE,"",BF25),IF($BO$6=TRUE,"",""))</f>
        <v/>
      </c>
      <c r="V25" s="317"/>
      <c r="W25" s="317"/>
      <c r="X25" s="317"/>
      <c r="Y25" s="317" t="str">
        <f t="shared" ref="Y25:Y28" si="29">IF($BB$6=TRUE,IF($BO$6=TRUE,"",BG25),IF($BO$6=TRUE,"",""))</f>
        <v/>
      </c>
      <c r="Z25" s="317"/>
      <c r="AA25" s="317"/>
      <c r="AB25" s="317"/>
      <c r="AC25" s="317" t="str">
        <f t="shared" ref="AC25:AC28" si="30">IF($BB$6=TRUE,IF($BO$6=TRUE,"",BH25),IF($BO$6=TRUE,"",""))</f>
        <v/>
      </c>
      <c r="AD25" s="317"/>
      <c r="AE25" s="317"/>
      <c r="AF25" s="317"/>
      <c r="AG25" s="317" t="str">
        <f t="shared" ref="AG25:AG28" si="31">IF($BB$6=TRUE,IF($BO$6=TRUE,"",BI25),IF($BO$6=TRUE,"",""))</f>
        <v/>
      </c>
      <c r="AH25" s="317"/>
      <c r="AI25" s="317"/>
      <c r="AJ25" s="317"/>
      <c r="AK25" s="317" t="str">
        <f t="shared" ref="AK25:AK28" si="32">IF($BB$6=TRUE,IF($BO$6=TRUE,"",BJ25),IF($BO$6=TRUE,"",""))</f>
        <v/>
      </c>
      <c r="AL25" s="317"/>
      <c r="AM25" s="317"/>
      <c r="AN25" s="317"/>
      <c r="AO25" s="317" t="str">
        <f t="shared" ref="AO25:AO28" si="33">IF($BB$6=TRUE,IF($BO$6=TRUE,"",BK25),IF($BO$6=TRUE,"",""))</f>
        <v/>
      </c>
      <c r="AP25" s="317"/>
      <c r="AQ25" s="317"/>
      <c r="AR25" s="317"/>
      <c r="AS25" s="317" t="str">
        <f t="shared" ref="AS25:AS28" si="34">IF($BB$6=TRUE,IF($BO$6=TRUE,"",BL25),IF($BO$6=TRUE,"",""))</f>
        <v/>
      </c>
      <c r="AT25" s="317"/>
      <c r="AU25" s="317"/>
      <c r="AV25" s="317"/>
      <c r="AW25" s="344" t="str">
        <f t="shared" ref="AW25:AW28" si="35">IF($BB$6=TRUE,IF($BO$6=TRUE,"",BM25),IF($BO$6=TRUE,BR25,""))</f>
        <v/>
      </c>
      <c r="AX25" s="345"/>
      <c r="AY25" s="345"/>
      <c r="AZ25" s="346"/>
      <c r="BA25" s="358"/>
      <c r="BB25" s="222"/>
      <c r="BC25" s="185"/>
      <c r="BD25" s="185"/>
      <c r="BE25" s="185"/>
      <c r="BF25" s="185"/>
      <c r="BG25" s="185"/>
      <c r="BH25" s="185"/>
      <c r="BI25" s="185"/>
      <c r="BJ25" s="185"/>
      <c r="BK25" s="185"/>
      <c r="BL25" s="185"/>
      <c r="BM25" s="222"/>
      <c r="BN25" s="130"/>
      <c r="BO25" s="221"/>
      <c r="BP25" s="185"/>
      <c r="BQ25" s="185"/>
      <c r="BR25" s="221"/>
      <c r="BT25" s="127"/>
      <c r="BU25" s="131"/>
      <c r="BV25" s="131"/>
      <c r="BW25" s="127"/>
    </row>
    <row r="26" spans="1:75" ht="14.1" customHeight="1">
      <c r="A26" s="124"/>
      <c r="B26" s="313" t="s">
        <v>96</v>
      </c>
      <c r="C26" s="314"/>
      <c r="D26" s="315"/>
      <c r="E26" s="316" t="str">
        <f t="shared" si="25"/>
        <v/>
      </c>
      <c r="F26" s="316"/>
      <c r="G26" s="316"/>
      <c r="H26" s="316"/>
      <c r="I26" s="317" t="str">
        <f t="shared" si="26"/>
        <v/>
      </c>
      <c r="J26" s="317"/>
      <c r="K26" s="317"/>
      <c r="L26" s="317"/>
      <c r="M26" s="317" t="str">
        <f t="shared" si="27"/>
        <v/>
      </c>
      <c r="N26" s="317"/>
      <c r="O26" s="317"/>
      <c r="P26" s="317"/>
      <c r="Q26" s="317" t="str">
        <f t="shared" ref="Q26:Q28" si="36">IF($BB$6=TRUE,IF($BO$6=TRUE,"",BE26),IF($BO$6=TRUE,"",""))</f>
        <v/>
      </c>
      <c r="R26" s="317"/>
      <c r="S26" s="317"/>
      <c r="T26" s="317"/>
      <c r="U26" s="317" t="str">
        <f t="shared" si="28"/>
        <v/>
      </c>
      <c r="V26" s="317"/>
      <c r="W26" s="317"/>
      <c r="X26" s="317"/>
      <c r="Y26" s="317" t="str">
        <f t="shared" si="29"/>
        <v/>
      </c>
      <c r="Z26" s="317"/>
      <c r="AA26" s="317"/>
      <c r="AB26" s="317"/>
      <c r="AC26" s="317" t="str">
        <f t="shared" si="30"/>
        <v/>
      </c>
      <c r="AD26" s="317"/>
      <c r="AE26" s="317"/>
      <c r="AF26" s="317"/>
      <c r="AG26" s="317" t="str">
        <f t="shared" si="31"/>
        <v/>
      </c>
      <c r="AH26" s="317"/>
      <c r="AI26" s="317"/>
      <c r="AJ26" s="317"/>
      <c r="AK26" s="317" t="str">
        <f t="shared" si="32"/>
        <v/>
      </c>
      <c r="AL26" s="317"/>
      <c r="AM26" s="317"/>
      <c r="AN26" s="317"/>
      <c r="AO26" s="317" t="str">
        <f t="shared" si="33"/>
        <v/>
      </c>
      <c r="AP26" s="317"/>
      <c r="AQ26" s="317"/>
      <c r="AR26" s="317"/>
      <c r="AS26" s="317" t="str">
        <f t="shared" si="34"/>
        <v/>
      </c>
      <c r="AT26" s="317"/>
      <c r="AU26" s="317"/>
      <c r="AV26" s="317"/>
      <c r="AW26" s="344" t="str">
        <f t="shared" si="35"/>
        <v/>
      </c>
      <c r="AX26" s="345"/>
      <c r="AY26" s="345"/>
      <c r="AZ26" s="346"/>
      <c r="BA26" s="358"/>
      <c r="BB26" s="222"/>
      <c r="BC26" s="185"/>
      <c r="BD26" s="185"/>
      <c r="BE26" s="185"/>
      <c r="BF26" s="185"/>
      <c r="BG26" s="185"/>
      <c r="BH26" s="185"/>
      <c r="BI26" s="185"/>
      <c r="BJ26" s="185"/>
      <c r="BK26" s="185"/>
      <c r="BL26" s="185"/>
      <c r="BM26" s="222"/>
      <c r="BN26" s="130"/>
      <c r="BO26" s="221"/>
      <c r="BP26" s="185"/>
      <c r="BQ26" s="185"/>
      <c r="BR26" s="221"/>
      <c r="BT26" s="127"/>
      <c r="BU26" s="131"/>
      <c r="BV26" s="131"/>
      <c r="BW26" s="127"/>
    </row>
    <row r="27" spans="1:75" ht="14.1" customHeight="1">
      <c r="A27" s="124"/>
      <c r="B27" s="313" t="s">
        <v>97</v>
      </c>
      <c r="C27" s="314"/>
      <c r="D27" s="315"/>
      <c r="E27" s="316" t="str">
        <f t="shared" si="25"/>
        <v/>
      </c>
      <c r="F27" s="316"/>
      <c r="G27" s="316"/>
      <c r="H27" s="316"/>
      <c r="I27" s="317" t="str">
        <f t="shared" si="26"/>
        <v/>
      </c>
      <c r="J27" s="317"/>
      <c r="K27" s="317"/>
      <c r="L27" s="317"/>
      <c r="M27" s="317" t="str">
        <f t="shared" si="27"/>
        <v/>
      </c>
      <c r="N27" s="317"/>
      <c r="O27" s="317"/>
      <c r="P27" s="317"/>
      <c r="Q27" s="317" t="str">
        <f t="shared" si="36"/>
        <v/>
      </c>
      <c r="R27" s="317"/>
      <c r="S27" s="317"/>
      <c r="T27" s="317"/>
      <c r="U27" s="317" t="str">
        <f t="shared" si="28"/>
        <v/>
      </c>
      <c r="V27" s="317"/>
      <c r="W27" s="317"/>
      <c r="X27" s="317"/>
      <c r="Y27" s="317" t="str">
        <f t="shared" si="29"/>
        <v/>
      </c>
      <c r="Z27" s="317"/>
      <c r="AA27" s="317"/>
      <c r="AB27" s="317"/>
      <c r="AC27" s="317" t="str">
        <f t="shared" si="30"/>
        <v/>
      </c>
      <c r="AD27" s="317"/>
      <c r="AE27" s="317"/>
      <c r="AF27" s="317"/>
      <c r="AG27" s="317" t="str">
        <f>IF($BB$6=TRUE,IF($BO$6=TRUE,"",BI27),IF($BO$6=TRUE,"",""))</f>
        <v/>
      </c>
      <c r="AH27" s="317"/>
      <c r="AI27" s="317"/>
      <c r="AJ27" s="317"/>
      <c r="AK27" s="317" t="str">
        <f t="shared" si="32"/>
        <v/>
      </c>
      <c r="AL27" s="317"/>
      <c r="AM27" s="317"/>
      <c r="AN27" s="317"/>
      <c r="AO27" s="317" t="str">
        <f t="shared" si="33"/>
        <v/>
      </c>
      <c r="AP27" s="317"/>
      <c r="AQ27" s="317"/>
      <c r="AR27" s="317"/>
      <c r="AS27" s="317" t="str">
        <f t="shared" si="34"/>
        <v/>
      </c>
      <c r="AT27" s="317"/>
      <c r="AU27" s="317"/>
      <c r="AV27" s="317"/>
      <c r="AW27" s="344" t="str">
        <f t="shared" si="35"/>
        <v/>
      </c>
      <c r="AX27" s="345"/>
      <c r="AY27" s="345"/>
      <c r="AZ27" s="346"/>
      <c r="BA27" s="358"/>
      <c r="BB27" s="222"/>
      <c r="BC27" s="185"/>
      <c r="BD27" s="185"/>
      <c r="BE27" s="185"/>
      <c r="BF27" s="185"/>
      <c r="BG27" s="185"/>
      <c r="BH27" s="185"/>
      <c r="BI27" s="185"/>
      <c r="BJ27" s="185"/>
      <c r="BK27" s="185"/>
      <c r="BL27" s="185"/>
      <c r="BM27" s="222"/>
      <c r="BN27" s="130"/>
      <c r="BO27" s="221"/>
      <c r="BP27" s="185"/>
      <c r="BQ27" s="185"/>
      <c r="BR27" s="221"/>
      <c r="BT27" s="127"/>
      <c r="BU27" s="131"/>
      <c r="BV27" s="131"/>
      <c r="BW27" s="127"/>
    </row>
    <row r="28" spans="1:75" ht="14.1" customHeight="1" thickBot="1">
      <c r="A28" s="124"/>
      <c r="B28" s="331" t="s">
        <v>98</v>
      </c>
      <c r="C28" s="332"/>
      <c r="D28" s="333"/>
      <c r="E28" s="334" t="str">
        <f t="shared" si="25"/>
        <v/>
      </c>
      <c r="F28" s="334"/>
      <c r="G28" s="334"/>
      <c r="H28" s="334"/>
      <c r="I28" s="335" t="str">
        <f t="shared" si="26"/>
        <v/>
      </c>
      <c r="J28" s="335"/>
      <c r="K28" s="335"/>
      <c r="L28" s="335"/>
      <c r="M28" s="335" t="str">
        <f t="shared" si="27"/>
        <v/>
      </c>
      <c r="N28" s="335"/>
      <c r="O28" s="335"/>
      <c r="P28" s="335"/>
      <c r="Q28" s="335" t="str">
        <f t="shared" si="36"/>
        <v/>
      </c>
      <c r="R28" s="335"/>
      <c r="S28" s="335"/>
      <c r="T28" s="335"/>
      <c r="U28" s="335" t="str">
        <f t="shared" si="28"/>
        <v/>
      </c>
      <c r="V28" s="335"/>
      <c r="W28" s="335"/>
      <c r="X28" s="335"/>
      <c r="Y28" s="335" t="str">
        <f t="shared" si="29"/>
        <v/>
      </c>
      <c r="Z28" s="335"/>
      <c r="AA28" s="335"/>
      <c r="AB28" s="335"/>
      <c r="AC28" s="335" t="str">
        <f t="shared" si="30"/>
        <v/>
      </c>
      <c r="AD28" s="335"/>
      <c r="AE28" s="335"/>
      <c r="AF28" s="335"/>
      <c r="AG28" s="335" t="str">
        <f t="shared" si="31"/>
        <v/>
      </c>
      <c r="AH28" s="335"/>
      <c r="AI28" s="335"/>
      <c r="AJ28" s="335"/>
      <c r="AK28" s="335" t="str">
        <f t="shared" si="32"/>
        <v/>
      </c>
      <c r="AL28" s="335"/>
      <c r="AM28" s="335"/>
      <c r="AN28" s="335"/>
      <c r="AO28" s="335" t="str">
        <f t="shared" si="33"/>
        <v/>
      </c>
      <c r="AP28" s="335"/>
      <c r="AQ28" s="335"/>
      <c r="AR28" s="335"/>
      <c r="AS28" s="335" t="str">
        <f t="shared" si="34"/>
        <v/>
      </c>
      <c r="AT28" s="335"/>
      <c r="AU28" s="335"/>
      <c r="AV28" s="335"/>
      <c r="AW28" s="339" t="str">
        <f t="shared" si="35"/>
        <v/>
      </c>
      <c r="AX28" s="340"/>
      <c r="AY28" s="340"/>
      <c r="AZ28" s="341"/>
      <c r="BA28" s="359"/>
      <c r="BB28" s="222"/>
      <c r="BC28" s="185"/>
      <c r="BD28" s="185"/>
      <c r="BE28" s="185"/>
      <c r="BF28" s="185"/>
      <c r="BG28" s="185"/>
      <c r="BH28" s="185"/>
      <c r="BI28" s="185"/>
      <c r="BJ28" s="185"/>
      <c r="BK28" s="185"/>
      <c r="BL28" s="185"/>
      <c r="BM28" s="222"/>
      <c r="BN28" s="130"/>
      <c r="BO28" s="221"/>
      <c r="BP28" s="185"/>
      <c r="BQ28" s="185"/>
      <c r="BR28" s="221"/>
      <c r="BT28" s="127"/>
      <c r="BU28" s="131"/>
      <c r="BV28" s="131"/>
      <c r="BW28" s="127"/>
    </row>
    <row r="29" spans="1:75" ht="14.85" customHeight="1" thickTop="1">
      <c r="A29" s="125"/>
      <c r="B29" s="342" t="s">
        <v>48</v>
      </c>
      <c r="C29" s="342"/>
      <c r="D29" s="342"/>
      <c r="E29" s="343" t="str">
        <f>IF(E24="","",AVERAGE(E24:H28,AW24:AZ28))</f>
        <v/>
      </c>
      <c r="F29" s="343"/>
      <c r="G29" s="343"/>
      <c r="H29" s="343"/>
      <c r="I29" s="336" t="str">
        <f>IF(I24="","",IF($BO$6=TRUE,AVERAGE(I24:P28),AVERAGE(I24:L28)))</f>
        <v/>
      </c>
      <c r="J29" s="336"/>
      <c r="K29" s="336"/>
      <c r="L29" s="336"/>
      <c r="M29" s="336" t="str">
        <f>IF(M24="","",IF($BO$6=TRUE,"",AVERAGE(M24:P28)))</f>
        <v/>
      </c>
      <c r="N29" s="336"/>
      <c r="O29" s="336"/>
      <c r="P29" s="336"/>
      <c r="Q29" s="336" t="str">
        <f t="shared" ref="Q29" si="37">IF(Q24="","",AVERAGE(Q24:T28))</f>
        <v/>
      </c>
      <c r="R29" s="336"/>
      <c r="S29" s="336"/>
      <c r="T29" s="336"/>
      <c r="U29" s="336" t="str">
        <f t="shared" ref="U29" si="38">IF(U24="","",AVERAGE(U24:X28))</f>
        <v/>
      </c>
      <c r="V29" s="336"/>
      <c r="W29" s="336"/>
      <c r="X29" s="336"/>
      <c r="Y29" s="336" t="str">
        <f t="shared" ref="Y29" si="39">IF(Y24="","",AVERAGE(Y24:AB28))</f>
        <v/>
      </c>
      <c r="Z29" s="336"/>
      <c r="AA29" s="336"/>
      <c r="AB29" s="336"/>
      <c r="AC29" s="336" t="str">
        <f t="shared" ref="AC29" si="40">IF(AC24="","",AVERAGE(AC24:AF28))</f>
        <v/>
      </c>
      <c r="AD29" s="336"/>
      <c r="AE29" s="336"/>
      <c r="AF29" s="336"/>
      <c r="AG29" s="336" t="str">
        <f t="shared" ref="AG29" si="41">IF(AG24="","",AVERAGE(AG24:AJ28))</f>
        <v/>
      </c>
      <c r="AH29" s="336"/>
      <c r="AI29" s="336"/>
      <c r="AJ29" s="336"/>
      <c r="AK29" s="336" t="str">
        <f t="shared" ref="AK29" si="42">IF(AK24="","",AVERAGE(AK24:AN28))</f>
        <v/>
      </c>
      <c r="AL29" s="336"/>
      <c r="AM29" s="336"/>
      <c r="AN29" s="336"/>
      <c r="AO29" s="336" t="str">
        <f t="shared" ref="AO29" si="43">IF(AO24="","",AVERAGE(AO24:AR28))</f>
        <v/>
      </c>
      <c r="AP29" s="336"/>
      <c r="AQ29" s="336"/>
      <c r="AR29" s="336"/>
      <c r="AS29" s="336" t="str">
        <f>IF(AS24="","",AVERAGE(AS24:AV28))</f>
        <v/>
      </c>
      <c r="AT29" s="336"/>
      <c r="AU29" s="336"/>
      <c r="AV29" s="336"/>
      <c r="AW29" s="112"/>
      <c r="AX29" s="112"/>
      <c r="AY29" s="112"/>
      <c r="AZ29" s="112"/>
      <c r="BA29" s="112"/>
      <c r="BO29" s="110"/>
      <c r="BP29" s="110"/>
      <c r="BQ29" s="110"/>
      <c r="BR29" s="110"/>
    </row>
    <row r="30" spans="1:75" ht="14.85" customHeight="1" thickBot="1">
      <c r="A30" s="125"/>
      <c r="B30" s="337" t="s">
        <v>49</v>
      </c>
      <c r="C30" s="337"/>
      <c r="D30" s="337"/>
      <c r="E30" s="338" t="str">
        <f>IF(E24="","",STDEV(AW24:AZ28,E24:H28))</f>
        <v/>
      </c>
      <c r="F30" s="338"/>
      <c r="G30" s="338"/>
      <c r="H30" s="338"/>
      <c r="I30" s="318" t="str">
        <f>IF(I24="","",IF($BO$6=TRUE,STDEV(I24:P28),STDEV(I24:L28)))</f>
        <v/>
      </c>
      <c r="J30" s="318"/>
      <c r="K30" s="318"/>
      <c r="L30" s="318"/>
      <c r="M30" s="318" t="str">
        <f>IF(M24="","",IF($BO$6=TRUE,"",STDEV(M24:P28)))</f>
        <v/>
      </c>
      <c r="N30" s="318"/>
      <c r="O30" s="318"/>
      <c r="P30" s="318"/>
      <c r="Q30" s="318" t="str">
        <f t="shared" ref="Q30" si="44">IF(Q24="","",STDEV(Q24:T28))</f>
        <v/>
      </c>
      <c r="R30" s="318"/>
      <c r="S30" s="318"/>
      <c r="T30" s="318"/>
      <c r="U30" s="318" t="str">
        <f t="shared" ref="U30" si="45">IF(U24="","",STDEV(U24:X28))</f>
        <v/>
      </c>
      <c r="V30" s="318"/>
      <c r="W30" s="318"/>
      <c r="X30" s="318"/>
      <c r="Y30" s="318" t="str">
        <f t="shared" ref="Y30" si="46">IF(Y24="","",STDEV(Y24:AB28))</f>
        <v/>
      </c>
      <c r="Z30" s="318"/>
      <c r="AA30" s="318"/>
      <c r="AB30" s="318"/>
      <c r="AC30" s="318" t="str">
        <f t="shared" ref="AC30" si="47">IF(AC24="","",STDEV(AC24:AF28))</f>
        <v/>
      </c>
      <c r="AD30" s="318"/>
      <c r="AE30" s="318"/>
      <c r="AF30" s="318"/>
      <c r="AG30" s="318" t="str">
        <f t="shared" ref="AG30" si="48">IF(AG24="","",STDEV(AG24:AJ28))</f>
        <v/>
      </c>
      <c r="AH30" s="318"/>
      <c r="AI30" s="318"/>
      <c r="AJ30" s="318"/>
      <c r="AK30" s="318" t="str">
        <f t="shared" ref="AK30" si="49">IF(AK24="","",STDEV(AK24:AN28))</f>
        <v/>
      </c>
      <c r="AL30" s="318"/>
      <c r="AM30" s="318"/>
      <c r="AN30" s="318"/>
      <c r="AO30" s="318" t="str">
        <f t="shared" ref="AO30" si="50">IF(AO24="","",STDEV(AO24:AR28))</f>
        <v/>
      </c>
      <c r="AP30" s="318"/>
      <c r="AQ30" s="318"/>
      <c r="AR30" s="318"/>
      <c r="AS30" s="318" t="str">
        <f>IF(AS24="","",STDEV(AS24:AV28))</f>
        <v/>
      </c>
      <c r="AT30" s="318"/>
      <c r="AU30" s="318"/>
      <c r="AV30" s="318"/>
      <c r="AW30" s="112"/>
      <c r="AX30" s="112"/>
      <c r="AY30" s="112"/>
      <c r="AZ30" s="112"/>
      <c r="BA30" s="112"/>
      <c r="BU30" s="132"/>
      <c r="BV30" s="132"/>
    </row>
    <row r="31" spans="1:75" ht="14.85" customHeight="1" thickTop="1" thickBot="1">
      <c r="A31" s="116"/>
      <c r="B31" s="309" t="s">
        <v>342</v>
      </c>
      <c r="C31" s="310"/>
      <c r="D31" s="310"/>
      <c r="E31" s="310"/>
      <c r="F31" s="310"/>
      <c r="G31" s="310"/>
      <c r="H31" s="311"/>
      <c r="I31" s="312" t="str">
        <f>IF(I29="","",ABS(($E$15-I15)-($E$29-I29)))</f>
        <v/>
      </c>
      <c r="J31" s="312"/>
      <c r="K31" s="312"/>
      <c r="L31" s="312"/>
      <c r="M31" s="312" t="str">
        <f>IF(M29="","",ABS(($E$15-M15)-($E$29-M29)))</f>
        <v/>
      </c>
      <c r="N31" s="312"/>
      <c r="O31" s="312"/>
      <c r="P31" s="312"/>
      <c r="Q31" s="312" t="str">
        <f t="shared" ref="Q31" si="51">IF(Q29="","",ABS(($E$15-Q15)-($E$29-Q29)))</f>
        <v/>
      </c>
      <c r="R31" s="312"/>
      <c r="S31" s="312"/>
      <c r="T31" s="312"/>
      <c r="U31" s="312" t="str">
        <f t="shared" ref="U31" si="52">IF(U29="","",ABS(($E$15-U15)-($E$29-U29)))</f>
        <v/>
      </c>
      <c r="V31" s="312"/>
      <c r="W31" s="312"/>
      <c r="X31" s="312"/>
      <c r="Y31" s="312" t="str">
        <f t="shared" ref="Y31" si="53">IF(Y29="","",ABS(($E$15-Y15)-($E$29-Y29)))</f>
        <v/>
      </c>
      <c r="Z31" s="312"/>
      <c r="AA31" s="312"/>
      <c r="AB31" s="312"/>
      <c r="AC31" s="312" t="str">
        <f t="shared" ref="AC31" si="54">IF(AC29="","",ABS(($E$15-AC15)-($E$29-AC29)))</f>
        <v/>
      </c>
      <c r="AD31" s="312"/>
      <c r="AE31" s="312"/>
      <c r="AF31" s="312"/>
      <c r="AG31" s="312" t="str">
        <f t="shared" ref="AG31" si="55">IF(AG29="","",ABS(($E$15-AG15)-($E$29-AG29)))</f>
        <v/>
      </c>
      <c r="AH31" s="312"/>
      <c r="AI31" s="312"/>
      <c r="AJ31" s="312"/>
      <c r="AK31" s="312" t="str">
        <f t="shared" ref="AK31" si="56">IF(AK29="","",ABS(($E$15-AK15)-($E$29-AK29)))</f>
        <v/>
      </c>
      <c r="AL31" s="312"/>
      <c r="AM31" s="312"/>
      <c r="AN31" s="312"/>
      <c r="AO31" s="312" t="str">
        <f t="shared" ref="AO31" si="57">IF(AO29="","",ABS(($E$15-AO15)-($E$29-AO29)))</f>
        <v/>
      </c>
      <c r="AP31" s="312"/>
      <c r="AQ31" s="312"/>
      <c r="AR31" s="312"/>
      <c r="AS31" s="312" t="str">
        <f>IF(AS29="","",ABS(($E$15-AS15)-($E$29-AS29)))</f>
        <v/>
      </c>
      <c r="AT31" s="312"/>
      <c r="AU31" s="312"/>
      <c r="AV31" s="312"/>
      <c r="AW31" s="116"/>
      <c r="AX31" s="116"/>
      <c r="AY31" s="116"/>
      <c r="AZ31" s="116"/>
      <c r="BA31" s="116"/>
      <c r="BU31" s="132"/>
      <c r="BV31" s="132"/>
    </row>
    <row r="32" spans="1:75" ht="14.85" customHeight="1" thickTop="1" thickBot="1">
      <c r="A32" s="116"/>
      <c r="B32" s="157"/>
      <c r="C32" s="157"/>
      <c r="D32" s="157"/>
      <c r="E32" s="157"/>
      <c r="F32" s="157"/>
      <c r="G32" s="157"/>
      <c r="H32" s="157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16"/>
      <c r="AX32" s="116"/>
      <c r="AY32" s="116"/>
      <c r="AZ32" s="116"/>
      <c r="BA32" s="116"/>
      <c r="BU32" s="132"/>
      <c r="BV32" s="132"/>
    </row>
    <row r="33" spans="1:74" ht="14.85" customHeight="1" thickTop="1" thickBot="1">
      <c r="A33" s="116"/>
      <c r="B33" s="198" t="s">
        <v>413</v>
      </c>
      <c r="C33" s="199"/>
      <c r="D33" s="199"/>
      <c r="E33" s="199"/>
      <c r="F33" s="199"/>
      <c r="G33" s="199"/>
      <c r="H33" s="199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200"/>
      <c r="AQ33" s="200"/>
      <c r="AR33" s="200"/>
      <c r="AS33" s="200"/>
      <c r="AT33" s="200"/>
      <c r="AU33" s="200"/>
      <c r="AV33" s="200"/>
      <c r="AW33" s="137"/>
      <c r="AX33" s="137"/>
      <c r="AY33" s="137"/>
      <c r="AZ33" s="137"/>
      <c r="BA33" s="116"/>
      <c r="BB33" s="171"/>
      <c r="BC33" s="526" t="s">
        <v>423</v>
      </c>
      <c r="BD33" s="526"/>
      <c r="BE33" s="180"/>
      <c r="BF33" s="181" t="s">
        <v>424</v>
      </c>
      <c r="BG33" s="526" t="s">
        <v>423</v>
      </c>
      <c r="BH33" s="526"/>
      <c r="BI33" s="180"/>
      <c r="BJ33" s="181" t="s">
        <v>424</v>
      </c>
      <c r="BK33" s="172"/>
      <c r="BL33" s="171"/>
      <c r="BP33" s="171"/>
      <c r="BQ33" s="173"/>
      <c r="BR33" s="112"/>
    </row>
    <row r="34" spans="1:74" ht="14.85" customHeight="1" thickTop="1" thickBot="1">
      <c r="A34" s="116"/>
      <c r="B34" s="418" t="str">
        <f>J5&amp;" °C"</f>
        <v xml:space="preserve"> °C</v>
      </c>
      <c r="C34" s="419"/>
      <c r="D34" s="419"/>
      <c r="E34" s="420"/>
      <c r="F34" s="424" t="s">
        <v>340</v>
      </c>
      <c r="G34" s="425"/>
      <c r="H34" s="425"/>
      <c r="I34" s="425"/>
      <c r="J34" s="428" t="str">
        <f>IF($BB$6=TRUE,IF($BO$6=TRUE,"","P1"),IF($BO$6=TRUE,"CH1","P1"))</f>
        <v>P1</v>
      </c>
      <c r="K34" s="429"/>
      <c r="L34" s="429"/>
      <c r="M34" s="429"/>
      <c r="N34" s="428" t="str">
        <f>IF($BB$6=TRUE,IF($BO$6=TRUE,"","P2"),"")</f>
        <v/>
      </c>
      <c r="O34" s="429"/>
      <c r="P34" s="429"/>
      <c r="Q34" s="432"/>
      <c r="R34" s="137"/>
      <c r="S34" s="137"/>
      <c r="T34" s="137"/>
      <c r="U34" s="201"/>
      <c r="V34" s="201"/>
      <c r="W34" s="523" t="str">
        <f>BC33&amp;" "&amp;BE33&amp;" "&amp;BF33</f>
        <v>สภาวะแวดล้อม  ºC</v>
      </c>
      <c r="X34" s="524"/>
      <c r="Y34" s="524"/>
      <c r="Z34" s="524"/>
      <c r="AA34" s="524"/>
      <c r="AB34" s="524"/>
      <c r="AC34" s="524"/>
      <c r="AD34" s="525"/>
      <c r="AE34" s="523" t="str">
        <f>BG33&amp;" "&amp;BI33&amp;" "&amp;BJ33</f>
        <v>สภาวะแวดล้อม  ºC</v>
      </c>
      <c r="AF34" s="524"/>
      <c r="AG34" s="524"/>
      <c r="AH34" s="524"/>
      <c r="AI34" s="524"/>
      <c r="AJ34" s="524"/>
      <c r="AK34" s="524"/>
      <c r="AL34" s="525"/>
      <c r="AM34" s="202"/>
      <c r="AN34" s="201"/>
      <c r="AO34" s="201"/>
      <c r="AP34" s="203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12"/>
      <c r="BB34" s="174"/>
      <c r="BC34" s="518" t="s">
        <v>340</v>
      </c>
      <c r="BD34" s="518"/>
      <c r="BE34" s="518" t="s">
        <v>10</v>
      </c>
      <c r="BF34" s="518"/>
      <c r="BG34" s="518" t="s">
        <v>340</v>
      </c>
      <c r="BH34" s="518"/>
      <c r="BI34" s="518" t="s">
        <v>10</v>
      </c>
      <c r="BJ34" s="518"/>
      <c r="BK34" s="175"/>
      <c r="BL34" s="174"/>
      <c r="BP34" s="174"/>
      <c r="BQ34" s="176"/>
      <c r="BR34" s="112"/>
    </row>
    <row r="35" spans="1:74" ht="14.85" customHeight="1" thickTop="1" thickBot="1">
      <c r="A35" s="116"/>
      <c r="B35" s="421"/>
      <c r="C35" s="422"/>
      <c r="D35" s="422"/>
      <c r="E35" s="423"/>
      <c r="F35" s="426"/>
      <c r="G35" s="427"/>
      <c r="H35" s="427"/>
      <c r="I35" s="427"/>
      <c r="J35" s="430"/>
      <c r="K35" s="431"/>
      <c r="L35" s="431"/>
      <c r="M35" s="431"/>
      <c r="N35" s="430"/>
      <c r="O35" s="431"/>
      <c r="P35" s="431"/>
      <c r="Q35" s="433"/>
      <c r="R35" s="137"/>
      <c r="S35" s="137"/>
      <c r="T35" s="137"/>
      <c r="U35" s="204"/>
      <c r="V35" s="204"/>
      <c r="W35" s="521" t="s">
        <v>340</v>
      </c>
      <c r="X35" s="521"/>
      <c r="Y35" s="521"/>
      <c r="Z35" s="521"/>
      <c r="AA35" s="521" t="s">
        <v>10</v>
      </c>
      <c r="AB35" s="521"/>
      <c r="AC35" s="521"/>
      <c r="AD35" s="521"/>
      <c r="AE35" s="521" t="s">
        <v>340</v>
      </c>
      <c r="AF35" s="521"/>
      <c r="AG35" s="521"/>
      <c r="AH35" s="521"/>
      <c r="AI35" s="521" t="s">
        <v>10</v>
      </c>
      <c r="AJ35" s="521"/>
      <c r="AK35" s="521"/>
      <c r="AL35" s="521"/>
      <c r="AM35" s="205"/>
      <c r="AN35" s="204"/>
      <c r="AO35" s="204"/>
      <c r="AP35" s="20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12"/>
      <c r="BB35" s="174"/>
      <c r="BC35" s="519"/>
      <c r="BD35" s="519"/>
      <c r="BE35" s="519"/>
      <c r="BF35" s="519"/>
      <c r="BG35" s="519"/>
      <c r="BH35" s="519"/>
      <c r="BI35" s="519"/>
      <c r="BJ35" s="519"/>
      <c r="BK35" s="175"/>
      <c r="BL35" s="174"/>
      <c r="BP35" s="174"/>
      <c r="BQ35" s="176"/>
      <c r="BR35" s="112"/>
    </row>
    <row r="36" spans="1:74" ht="14.85" customHeight="1" thickTop="1" thickBot="1">
      <c r="A36" s="116"/>
      <c r="B36" s="409" t="s">
        <v>414</v>
      </c>
      <c r="C36" s="409"/>
      <c r="D36" s="409"/>
      <c r="E36" s="409"/>
      <c r="F36" s="411" t="str">
        <f>$E$15</f>
        <v/>
      </c>
      <c r="G36" s="411"/>
      <c r="H36" s="411"/>
      <c r="I36" s="411"/>
      <c r="J36" s="412" t="str">
        <f>$I$15</f>
        <v/>
      </c>
      <c r="K36" s="412"/>
      <c r="L36" s="412"/>
      <c r="M36" s="412"/>
      <c r="N36" s="412" t="str">
        <f>$M$15</f>
        <v/>
      </c>
      <c r="O36" s="412"/>
      <c r="P36" s="412"/>
      <c r="Q36" s="412"/>
      <c r="R36" s="137"/>
      <c r="S36" s="137"/>
      <c r="T36" s="137"/>
      <c r="U36" s="204"/>
      <c r="V36" s="204"/>
      <c r="W36" s="521">
        <f>$BC$35</f>
        <v>0</v>
      </c>
      <c r="X36" s="521"/>
      <c r="Y36" s="521"/>
      <c r="Z36" s="521"/>
      <c r="AA36" s="521">
        <f>$BE$35</f>
        <v>0</v>
      </c>
      <c r="AB36" s="521"/>
      <c r="AC36" s="521"/>
      <c r="AD36" s="521"/>
      <c r="AE36" s="521">
        <f>$BG$35</f>
        <v>0</v>
      </c>
      <c r="AF36" s="521"/>
      <c r="AG36" s="521"/>
      <c r="AH36" s="521"/>
      <c r="AI36" s="521">
        <f>$BI$35</f>
        <v>0</v>
      </c>
      <c r="AJ36" s="521"/>
      <c r="AK36" s="521"/>
      <c r="AL36" s="521"/>
      <c r="AM36" s="205"/>
      <c r="AN36" s="204"/>
      <c r="AO36" s="204"/>
      <c r="AP36" s="20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12"/>
      <c r="BB36" s="177" t="s">
        <v>425</v>
      </c>
      <c r="BC36" s="520">
        <f>BE35-BC35</f>
        <v>0</v>
      </c>
      <c r="BD36" s="520"/>
      <c r="BE36" s="520"/>
      <c r="BF36" s="520"/>
      <c r="BG36" s="520">
        <f>BI35-BG35</f>
        <v>0</v>
      </c>
      <c r="BH36" s="520">
        <f>BI35-BH35</f>
        <v>0</v>
      </c>
      <c r="BI36" s="520"/>
      <c r="BJ36" s="520"/>
      <c r="BK36" s="175"/>
      <c r="BL36" s="174"/>
      <c r="BP36" s="174"/>
      <c r="BQ36" s="176"/>
      <c r="BR36" s="112"/>
    </row>
    <row r="37" spans="1:74" ht="14.85" customHeight="1" thickTop="1" thickBot="1">
      <c r="A37" s="116"/>
      <c r="B37" s="410" t="s">
        <v>415</v>
      </c>
      <c r="C37" s="410"/>
      <c r="D37" s="410"/>
      <c r="E37" s="410"/>
      <c r="F37" s="413" t="str">
        <f>$E$16</f>
        <v/>
      </c>
      <c r="G37" s="413"/>
      <c r="H37" s="413"/>
      <c r="I37" s="413"/>
      <c r="J37" s="414" t="str">
        <f>$I$16</f>
        <v/>
      </c>
      <c r="K37" s="414"/>
      <c r="L37" s="414"/>
      <c r="M37" s="414"/>
      <c r="N37" s="414" t="str">
        <f>$M$16</f>
        <v/>
      </c>
      <c r="O37" s="414"/>
      <c r="P37" s="414"/>
      <c r="Q37" s="414"/>
      <c r="R37" s="137"/>
      <c r="S37" s="137"/>
      <c r="T37" s="137"/>
      <c r="U37" s="204"/>
      <c r="V37" s="207" t="s">
        <v>425</v>
      </c>
      <c r="W37" s="522">
        <f>AA36-W36</f>
        <v>0</v>
      </c>
      <c r="X37" s="522"/>
      <c r="Y37" s="522"/>
      <c r="Z37" s="522"/>
      <c r="AA37" s="522"/>
      <c r="AB37" s="522"/>
      <c r="AC37" s="522"/>
      <c r="AD37" s="522"/>
      <c r="AE37" s="522">
        <f>AI36-AE36</f>
        <v>0</v>
      </c>
      <c r="AF37" s="522"/>
      <c r="AG37" s="522"/>
      <c r="AH37" s="522"/>
      <c r="AI37" s="522"/>
      <c r="AJ37" s="522"/>
      <c r="AK37" s="522"/>
      <c r="AL37" s="522"/>
      <c r="AM37" s="205"/>
      <c r="AN37" s="204"/>
      <c r="AO37" s="204"/>
      <c r="AP37" s="20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6"/>
      <c r="BA37" s="112"/>
      <c r="BB37" s="177" t="s">
        <v>426</v>
      </c>
      <c r="BC37" s="515">
        <f>ABS(BC36-BG36)</f>
        <v>0</v>
      </c>
      <c r="BD37" s="516"/>
      <c r="BE37" s="516"/>
      <c r="BF37" s="516"/>
      <c r="BG37" s="516"/>
      <c r="BH37" s="516"/>
      <c r="BI37" s="516"/>
      <c r="BJ37" s="517"/>
      <c r="BK37" s="179" t="str">
        <f>"at "&amp;ABS(BI33-BE33)&amp;" ºC"</f>
        <v>at 0 ºC</v>
      </c>
      <c r="BP37" s="179"/>
      <c r="BQ37" s="178"/>
      <c r="BR37" s="112"/>
    </row>
    <row r="38" spans="1:74" ht="14.85" customHeight="1" thickTop="1" thickBot="1">
      <c r="A38" s="116"/>
      <c r="B38" s="410" t="s">
        <v>377</v>
      </c>
      <c r="C38" s="410"/>
      <c r="D38" s="410"/>
      <c r="E38" s="410"/>
      <c r="F38" s="415" t="s">
        <v>383</v>
      </c>
      <c r="G38" s="415"/>
      <c r="H38" s="415"/>
      <c r="I38" s="415"/>
      <c r="J38" s="416" t="str">
        <f>IF(J36="","",$F$36-J36)</f>
        <v/>
      </c>
      <c r="K38" s="416"/>
      <c r="L38" s="416"/>
      <c r="M38" s="416"/>
      <c r="N38" s="416" t="str">
        <f t="shared" ref="N38" si="58">IF(N36="","",$F$36-N36)</f>
        <v/>
      </c>
      <c r="O38" s="416"/>
      <c r="P38" s="416"/>
      <c r="Q38" s="416"/>
      <c r="R38" s="137"/>
      <c r="S38" s="137"/>
      <c r="T38" s="137"/>
      <c r="U38" s="204"/>
      <c r="V38" s="207" t="s">
        <v>426</v>
      </c>
      <c r="W38" s="509">
        <f>ABS(W37-AE37)</f>
        <v>0</v>
      </c>
      <c r="X38" s="509"/>
      <c r="Y38" s="509"/>
      <c r="Z38" s="509"/>
      <c r="AA38" s="509"/>
      <c r="AB38" s="509"/>
      <c r="AC38" s="509"/>
      <c r="AD38" s="509"/>
      <c r="AE38" s="509"/>
      <c r="AF38" s="509"/>
      <c r="AG38" s="509"/>
      <c r="AH38" s="509"/>
      <c r="AI38" s="509"/>
      <c r="AJ38" s="509"/>
      <c r="AK38" s="509"/>
      <c r="AL38" s="509"/>
      <c r="AM38" s="208" t="str">
        <f>BK37</f>
        <v>at 0 ºC</v>
      </c>
      <c r="AN38" s="209"/>
      <c r="AO38" s="209"/>
      <c r="AP38" s="210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  <c r="BL38" s="112"/>
      <c r="BM38" s="112"/>
      <c r="BN38" s="112"/>
      <c r="BO38" s="112"/>
      <c r="BP38" s="112"/>
      <c r="BQ38" s="112"/>
      <c r="BR38" s="112"/>
    </row>
    <row r="39" spans="1:74" ht="14.85" customHeight="1" thickTop="1">
      <c r="A39" s="116"/>
      <c r="B39" s="410" t="s">
        <v>342</v>
      </c>
      <c r="C39" s="410"/>
      <c r="D39" s="410"/>
      <c r="E39" s="410"/>
      <c r="F39" s="410"/>
      <c r="G39" s="410"/>
      <c r="H39" s="410"/>
      <c r="I39" s="410"/>
      <c r="J39" s="416" t="str">
        <f>$I$31</f>
        <v/>
      </c>
      <c r="K39" s="416"/>
      <c r="L39" s="416"/>
      <c r="M39" s="416"/>
      <c r="N39" s="416" t="str">
        <f t="shared" ref="N39" si="59">M31</f>
        <v/>
      </c>
      <c r="O39" s="416"/>
      <c r="P39" s="416"/>
      <c r="Q39" s="416"/>
      <c r="R39" s="137"/>
      <c r="S39" s="137"/>
      <c r="T39" s="137"/>
      <c r="U39" s="137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136"/>
      <c r="AN39" s="136"/>
      <c r="AO39" s="212"/>
      <c r="AP39" s="212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12"/>
      <c r="BQ39" s="112"/>
      <c r="BR39" s="112"/>
    </row>
    <row r="40" spans="1:74" ht="14.85" customHeight="1" thickBot="1">
      <c r="A40" s="116"/>
      <c r="B40" s="511" t="s">
        <v>367</v>
      </c>
      <c r="C40" s="511"/>
      <c r="D40" s="511"/>
      <c r="E40" s="511"/>
      <c r="F40" s="511"/>
      <c r="G40" s="511"/>
      <c r="H40" s="511"/>
      <c r="I40" s="511"/>
      <c r="J40" s="510" t="str">
        <f>IFERROR($AK$63,"-")</f>
        <v>-</v>
      </c>
      <c r="K40" s="510"/>
      <c r="L40" s="510"/>
      <c r="M40" s="510"/>
      <c r="N40" s="510" t="str">
        <f>IFERROR(#REF!,"-")</f>
        <v>-</v>
      </c>
      <c r="O40" s="510"/>
      <c r="P40" s="510"/>
      <c r="Q40" s="510"/>
      <c r="R40" s="137"/>
      <c r="S40" s="137"/>
      <c r="T40" s="137"/>
      <c r="U40" s="137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136"/>
      <c r="AN40" s="136"/>
      <c r="AO40" s="212"/>
      <c r="AP40" s="212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BM40" s="112"/>
      <c r="BN40" s="112"/>
      <c r="BO40" s="112"/>
      <c r="BP40" s="112"/>
      <c r="BQ40" s="112"/>
      <c r="BR40" s="112"/>
    </row>
    <row r="41" spans="1:74" ht="14.85" customHeight="1" thickTop="1">
      <c r="A41" s="116"/>
      <c r="B41" s="199"/>
      <c r="C41" s="199"/>
      <c r="D41" s="199"/>
      <c r="E41" s="199"/>
      <c r="F41" s="199"/>
      <c r="G41" s="199"/>
      <c r="H41" s="199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00"/>
      <c r="AP41" s="200"/>
      <c r="AQ41" s="200"/>
      <c r="AR41" s="200"/>
      <c r="AS41" s="200"/>
      <c r="AT41" s="200"/>
      <c r="AU41" s="200"/>
      <c r="AV41" s="200"/>
      <c r="AW41" s="137"/>
      <c r="AX41" s="137"/>
      <c r="AY41" s="137"/>
      <c r="AZ41" s="137"/>
      <c r="BA41" s="116"/>
      <c r="BU41" s="132"/>
      <c r="BV41" s="132"/>
    </row>
    <row r="42" spans="1:74" ht="14.85" customHeight="1">
      <c r="A42" s="116"/>
      <c r="B42" s="199"/>
      <c r="C42" s="199"/>
      <c r="D42" s="199"/>
      <c r="E42" s="199"/>
      <c r="F42" s="199"/>
      <c r="G42" s="199"/>
      <c r="H42" s="199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130"/>
      <c r="AO42" s="130"/>
      <c r="AP42" s="130"/>
      <c r="AQ42" s="130"/>
      <c r="AR42" s="130"/>
      <c r="AS42" s="496" t="s">
        <v>5</v>
      </c>
      <c r="AT42" s="496"/>
      <c r="AU42" s="496"/>
      <c r="AV42" s="320">
        <f>AV1+1</f>
        <v>3</v>
      </c>
      <c r="AW42" s="320"/>
      <c r="AX42" s="213" t="s">
        <v>6</v>
      </c>
      <c r="AY42" s="320">
        <f>$AY$1</f>
        <v>1</v>
      </c>
      <c r="AZ42" s="320"/>
      <c r="BA42" s="116"/>
      <c r="BU42" s="132"/>
      <c r="BV42" s="132"/>
    </row>
    <row r="43" spans="1:74" ht="14.85" customHeight="1">
      <c r="A43" s="116"/>
      <c r="B43" s="199"/>
      <c r="C43" s="199"/>
      <c r="D43" s="199"/>
      <c r="E43" s="199"/>
      <c r="F43" s="199"/>
      <c r="G43" s="199"/>
      <c r="H43" s="199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130"/>
      <c r="AO43" s="130"/>
      <c r="AP43" s="130"/>
      <c r="AQ43" s="214"/>
      <c r="AR43" s="130"/>
      <c r="AS43" s="130"/>
      <c r="AT43" s="130"/>
      <c r="AU43" s="130"/>
      <c r="AV43" s="130"/>
      <c r="AW43" s="130"/>
      <c r="AX43" s="130"/>
      <c r="AY43" s="130"/>
      <c r="AZ43" s="130"/>
      <c r="BA43" s="116"/>
      <c r="BU43" s="132"/>
      <c r="BV43" s="132"/>
    </row>
    <row r="44" spans="1:74" ht="14.25" customHeight="1" thickBot="1">
      <c r="A44" s="116"/>
      <c r="B44" s="130" t="s">
        <v>344</v>
      </c>
      <c r="C44" s="137"/>
      <c r="D44" s="130"/>
      <c r="E44" s="137"/>
      <c r="F44" s="130"/>
      <c r="G44" s="130"/>
      <c r="H44" s="215"/>
      <c r="I44" s="216"/>
      <c r="J44" s="217"/>
      <c r="K44" s="217"/>
      <c r="L44" s="217"/>
      <c r="M44" s="216"/>
      <c r="N44" s="217"/>
      <c r="O44" s="217"/>
      <c r="P44" s="217"/>
      <c r="Q44" s="216"/>
      <c r="R44" s="217"/>
      <c r="S44" s="217"/>
      <c r="T44" s="217"/>
      <c r="U44" s="216"/>
      <c r="V44" s="217"/>
      <c r="W44" s="217"/>
      <c r="X44" s="217"/>
      <c r="Y44" s="216"/>
      <c r="Z44" s="217"/>
      <c r="AA44" s="217"/>
      <c r="AB44" s="217"/>
      <c r="AC44" s="216"/>
      <c r="AD44" s="217"/>
      <c r="AE44" s="217"/>
      <c r="AF44" s="217"/>
      <c r="AG44" s="216"/>
      <c r="AH44" s="217"/>
      <c r="AI44" s="217"/>
      <c r="AJ44" s="217"/>
      <c r="AK44" s="216"/>
      <c r="AL44" s="217"/>
      <c r="AM44" s="217"/>
      <c r="AN44" s="217"/>
      <c r="AO44" s="477" t="s">
        <v>7</v>
      </c>
      <c r="AP44" s="477"/>
      <c r="AQ44" s="477"/>
      <c r="AR44" s="477"/>
      <c r="AS44" s="477"/>
      <c r="AT44" s="477"/>
      <c r="AU44" s="477"/>
      <c r="AV44" s="306" t="str">
        <f>$AV$3</f>
        <v xml:space="preserve"> /69 </v>
      </c>
      <c r="AW44" s="306"/>
      <c r="AX44" s="306"/>
      <c r="AY44" s="306"/>
      <c r="AZ44" s="306"/>
      <c r="BA44" s="116"/>
      <c r="BU44" s="132"/>
      <c r="BV44" s="132"/>
    </row>
    <row r="45" spans="1:74" ht="14.85" customHeight="1" thickTop="1" thickBot="1">
      <c r="B45" s="468" t="s">
        <v>345</v>
      </c>
      <c r="C45" s="469"/>
      <c r="D45" s="469"/>
      <c r="E45" s="469"/>
      <c r="F45" s="469"/>
      <c r="G45" s="497" t="s">
        <v>346</v>
      </c>
      <c r="H45" s="497"/>
      <c r="I45" s="497"/>
      <c r="J45" s="497"/>
      <c r="K45" s="497"/>
      <c r="L45" s="497"/>
      <c r="M45" s="497"/>
      <c r="N45" s="497"/>
      <c r="O45" s="497"/>
      <c r="P45" s="497"/>
      <c r="Q45" s="497"/>
      <c r="R45" s="497"/>
      <c r="S45" s="497"/>
      <c r="T45" s="497"/>
      <c r="U45" s="497"/>
      <c r="V45" s="303" t="s">
        <v>395</v>
      </c>
      <c r="W45" s="303"/>
      <c r="X45" s="303"/>
      <c r="Y45" s="303"/>
      <c r="Z45" s="303"/>
      <c r="AA45" s="304" t="s">
        <v>396</v>
      </c>
      <c r="AB45" s="303"/>
      <c r="AC45" s="303"/>
      <c r="AD45" s="303"/>
      <c r="AE45" s="303"/>
      <c r="AF45" s="303" t="s">
        <v>347</v>
      </c>
      <c r="AG45" s="303"/>
      <c r="AH45" s="303"/>
      <c r="AI45" s="303" t="s">
        <v>348</v>
      </c>
      <c r="AJ45" s="303"/>
      <c r="AK45" s="304" t="s">
        <v>397</v>
      </c>
      <c r="AL45" s="303"/>
      <c r="AM45" s="303"/>
      <c r="AN45" s="303"/>
      <c r="AO45" s="303"/>
      <c r="AP45" s="480" t="s">
        <v>398</v>
      </c>
      <c r="AQ45" s="481"/>
      <c r="AR45" s="481"/>
      <c r="AS45" s="481"/>
      <c r="AT45" s="442" t="str">
        <f>IF(I7="","","1")</f>
        <v>1</v>
      </c>
      <c r="AU45" s="443"/>
      <c r="AV45" s="444"/>
      <c r="AW45" s="133"/>
      <c r="AX45" s="133"/>
      <c r="AY45" s="133"/>
      <c r="AZ45" s="133"/>
      <c r="BA45" s="133"/>
    </row>
    <row r="46" spans="1:74" ht="14.85" customHeight="1" thickTop="1" thickBot="1">
      <c r="A46" s="142"/>
      <c r="B46" s="468"/>
      <c r="C46" s="469"/>
      <c r="D46" s="469"/>
      <c r="E46" s="469"/>
      <c r="F46" s="469"/>
      <c r="G46" s="497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497"/>
      <c r="S46" s="497"/>
      <c r="T46" s="497"/>
      <c r="U46" s="497"/>
      <c r="V46" s="303"/>
      <c r="W46" s="303"/>
      <c r="X46" s="303"/>
      <c r="Y46" s="303"/>
      <c r="Z46" s="303"/>
      <c r="AA46" s="303"/>
      <c r="AB46" s="303"/>
      <c r="AC46" s="303"/>
      <c r="AD46" s="303"/>
      <c r="AE46" s="303"/>
      <c r="AF46" s="303"/>
      <c r="AG46" s="303"/>
      <c r="AH46" s="303"/>
      <c r="AI46" s="303"/>
      <c r="AJ46" s="303"/>
      <c r="AK46" s="303"/>
      <c r="AL46" s="303"/>
      <c r="AM46" s="303"/>
      <c r="AN46" s="303"/>
      <c r="AO46" s="303"/>
      <c r="AP46" s="482"/>
      <c r="AQ46" s="483"/>
      <c r="AR46" s="483"/>
      <c r="AS46" s="483"/>
      <c r="AT46" s="445"/>
      <c r="AU46" s="446"/>
      <c r="AV46" s="447"/>
      <c r="AW46" s="133"/>
      <c r="AX46" s="133"/>
      <c r="AY46" s="133"/>
      <c r="AZ46" s="133"/>
      <c r="BA46" s="133"/>
    </row>
    <row r="47" spans="1:74" ht="14.85" customHeight="1" thickTop="1">
      <c r="A47" s="125"/>
      <c r="B47" s="325" t="s">
        <v>399</v>
      </c>
      <c r="C47" s="326"/>
      <c r="D47" s="326"/>
      <c r="E47" s="326"/>
      <c r="F47" s="326"/>
      <c r="G47" s="508" t="s">
        <v>349</v>
      </c>
      <c r="H47" s="508"/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498">
        <v>3.0000000000000001E-3</v>
      </c>
      <c r="W47" s="499"/>
      <c r="X47" s="499"/>
      <c r="Y47" s="499"/>
      <c r="Z47" s="149" t="s">
        <v>412</v>
      </c>
      <c r="AA47" s="329" t="s">
        <v>37</v>
      </c>
      <c r="AB47" s="329"/>
      <c r="AC47" s="329"/>
      <c r="AD47" s="329"/>
      <c r="AE47" s="329"/>
      <c r="AF47" s="512">
        <v>2</v>
      </c>
      <c r="AG47" s="512"/>
      <c r="AH47" s="512"/>
      <c r="AI47" s="512">
        <v>1</v>
      </c>
      <c r="AJ47" s="512"/>
      <c r="AK47" s="513">
        <f>(V47/AF47)*AI47</f>
        <v>1.5E-3</v>
      </c>
      <c r="AL47" s="513"/>
      <c r="AM47" s="513"/>
      <c r="AN47" s="513"/>
      <c r="AO47" s="514"/>
      <c r="AP47" s="484" t="str">
        <f t="shared" ref="AP47:AP58" si="60">IF($B$8="","","∞")</f>
        <v>∞</v>
      </c>
      <c r="AQ47" s="485"/>
      <c r="AR47" s="485"/>
      <c r="AS47" s="485"/>
      <c r="AT47" s="445"/>
      <c r="AU47" s="446"/>
      <c r="AV47" s="447"/>
      <c r="AW47" s="133"/>
      <c r="AX47" s="133"/>
      <c r="AY47" s="133"/>
      <c r="AZ47" s="133"/>
      <c r="BA47" s="133"/>
    </row>
    <row r="48" spans="1:74" ht="14.85" customHeight="1">
      <c r="A48" s="125"/>
      <c r="B48" s="327" t="s">
        <v>400</v>
      </c>
      <c r="C48" s="328"/>
      <c r="D48" s="328"/>
      <c r="E48" s="328"/>
      <c r="F48" s="328"/>
      <c r="G48" s="330" t="s">
        <v>350</v>
      </c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500">
        <v>1.6000000000000001E-3</v>
      </c>
      <c r="W48" s="501"/>
      <c r="X48" s="501"/>
      <c r="Y48" s="501"/>
      <c r="Z48" s="150" t="s">
        <v>351</v>
      </c>
      <c r="AA48" s="308" t="s">
        <v>352</v>
      </c>
      <c r="AB48" s="308"/>
      <c r="AC48" s="308"/>
      <c r="AD48" s="308"/>
      <c r="AE48" s="308"/>
      <c r="AF48" s="397" t="s">
        <v>353</v>
      </c>
      <c r="AG48" s="397"/>
      <c r="AH48" s="397"/>
      <c r="AI48" s="397">
        <v>10</v>
      </c>
      <c r="AJ48" s="397"/>
      <c r="AK48" s="395">
        <f>(V48/SQRT(3))*AI48</f>
        <v>9.2376043070340128E-3</v>
      </c>
      <c r="AL48" s="395"/>
      <c r="AM48" s="395"/>
      <c r="AN48" s="395"/>
      <c r="AO48" s="396"/>
      <c r="AP48" s="472" t="str">
        <f t="shared" si="60"/>
        <v>∞</v>
      </c>
      <c r="AQ48" s="473"/>
      <c r="AR48" s="473"/>
      <c r="AS48" s="473"/>
      <c r="AT48" s="445"/>
      <c r="AU48" s="446"/>
      <c r="AV48" s="447"/>
      <c r="AW48" s="133"/>
      <c r="AX48" s="133"/>
      <c r="AY48" s="133"/>
      <c r="AZ48" s="133"/>
      <c r="BA48" s="133"/>
    </row>
    <row r="49" spans="1:53" ht="14.85" customHeight="1">
      <c r="A49" s="125"/>
      <c r="B49" s="327" t="s">
        <v>401</v>
      </c>
      <c r="C49" s="328"/>
      <c r="D49" s="328"/>
      <c r="E49" s="328"/>
      <c r="F49" s="328"/>
      <c r="G49" s="330" t="s">
        <v>354</v>
      </c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500">
        <v>1E-3</v>
      </c>
      <c r="W49" s="501"/>
      <c r="X49" s="501"/>
      <c r="Y49" s="501"/>
      <c r="Z49" s="150" t="s">
        <v>351</v>
      </c>
      <c r="AA49" s="308" t="s">
        <v>352</v>
      </c>
      <c r="AB49" s="308"/>
      <c r="AC49" s="308"/>
      <c r="AD49" s="308"/>
      <c r="AE49" s="308"/>
      <c r="AF49" s="397">
        <v>2</v>
      </c>
      <c r="AG49" s="397"/>
      <c r="AH49" s="397"/>
      <c r="AI49" s="397">
        <v>10</v>
      </c>
      <c r="AJ49" s="397"/>
      <c r="AK49" s="395">
        <f>(V49/AF49)*AI49</f>
        <v>5.0000000000000001E-3</v>
      </c>
      <c r="AL49" s="395"/>
      <c r="AM49" s="395"/>
      <c r="AN49" s="395"/>
      <c r="AO49" s="396"/>
      <c r="AP49" s="472" t="str">
        <f t="shared" si="60"/>
        <v>∞</v>
      </c>
      <c r="AQ49" s="473"/>
      <c r="AR49" s="473"/>
      <c r="AS49" s="473"/>
      <c r="AT49" s="445"/>
      <c r="AU49" s="446"/>
      <c r="AV49" s="447"/>
      <c r="AW49" s="133"/>
      <c r="AX49" s="133"/>
      <c r="AY49" s="133"/>
      <c r="AZ49" s="133"/>
      <c r="BA49" s="133"/>
    </row>
    <row r="50" spans="1:53" ht="14.85" customHeight="1">
      <c r="A50" s="125"/>
      <c r="B50" s="327" t="s">
        <v>402</v>
      </c>
      <c r="C50" s="328"/>
      <c r="D50" s="328"/>
      <c r="E50" s="328"/>
      <c r="F50" s="328"/>
      <c r="G50" s="330" t="s">
        <v>355</v>
      </c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500">
        <v>1E-3</v>
      </c>
      <c r="W50" s="501"/>
      <c r="X50" s="501"/>
      <c r="Y50" s="501"/>
      <c r="Z50" s="150" t="s">
        <v>351</v>
      </c>
      <c r="AA50" s="308" t="s">
        <v>352</v>
      </c>
      <c r="AB50" s="308"/>
      <c r="AC50" s="308"/>
      <c r="AD50" s="308"/>
      <c r="AE50" s="308"/>
      <c r="AF50" s="397" t="s">
        <v>353</v>
      </c>
      <c r="AG50" s="397"/>
      <c r="AH50" s="397"/>
      <c r="AI50" s="397">
        <v>10</v>
      </c>
      <c r="AJ50" s="397"/>
      <c r="AK50" s="395">
        <f>(V50/SQRT(3))*AI50</f>
        <v>5.773502691896258E-3</v>
      </c>
      <c r="AL50" s="395"/>
      <c r="AM50" s="395"/>
      <c r="AN50" s="395"/>
      <c r="AO50" s="396"/>
      <c r="AP50" s="472" t="str">
        <f t="shared" si="60"/>
        <v>∞</v>
      </c>
      <c r="AQ50" s="473"/>
      <c r="AR50" s="473"/>
      <c r="AS50" s="473"/>
      <c r="AT50" s="445"/>
      <c r="AU50" s="446"/>
      <c r="AV50" s="447"/>
      <c r="AW50" s="133"/>
      <c r="AX50" s="133"/>
      <c r="AY50" s="133"/>
      <c r="AZ50" s="133"/>
      <c r="BA50" s="133"/>
    </row>
    <row r="51" spans="1:53" ht="14.85" customHeight="1">
      <c r="A51" s="125"/>
      <c r="B51" s="327" t="s">
        <v>403</v>
      </c>
      <c r="C51" s="328"/>
      <c r="D51" s="328"/>
      <c r="E51" s="328"/>
      <c r="F51" s="328"/>
      <c r="G51" s="330" t="s">
        <v>356</v>
      </c>
      <c r="H51" s="330"/>
      <c r="I51" s="330"/>
      <c r="J51" s="330"/>
      <c r="K51" s="330"/>
      <c r="L51" s="330"/>
      <c r="M51" s="330"/>
      <c r="N51" s="330"/>
      <c r="O51" s="330"/>
      <c r="P51" s="330"/>
      <c r="Q51" s="330"/>
      <c r="R51" s="330"/>
      <c r="S51" s="330"/>
      <c r="T51" s="330"/>
      <c r="U51" s="330"/>
      <c r="V51" s="502">
        <f>0.000001/2</f>
        <v>4.9999999999999998E-7</v>
      </c>
      <c r="W51" s="503"/>
      <c r="X51" s="503"/>
      <c r="Y51" s="503"/>
      <c r="Z51" s="150" t="s">
        <v>412</v>
      </c>
      <c r="AA51" s="308" t="s">
        <v>352</v>
      </c>
      <c r="AB51" s="308"/>
      <c r="AC51" s="308"/>
      <c r="AD51" s="308"/>
      <c r="AE51" s="308"/>
      <c r="AF51" s="397" t="s">
        <v>353</v>
      </c>
      <c r="AG51" s="397"/>
      <c r="AH51" s="397"/>
      <c r="AI51" s="397">
        <v>1</v>
      </c>
      <c r="AJ51" s="397"/>
      <c r="AK51" s="436">
        <f>(V51/SQRT(3))*AI51</f>
        <v>2.8867513459481289E-7</v>
      </c>
      <c r="AL51" s="436"/>
      <c r="AM51" s="436"/>
      <c r="AN51" s="436"/>
      <c r="AO51" s="437"/>
      <c r="AP51" s="472" t="str">
        <f t="shared" si="60"/>
        <v>∞</v>
      </c>
      <c r="AQ51" s="473"/>
      <c r="AR51" s="473"/>
      <c r="AS51" s="473"/>
      <c r="AT51" s="445"/>
      <c r="AU51" s="446"/>
      <c r="AV51" s="447"/>
      <c r="AW51" s="133"/>
      <c r="AX51" s="133"/>
      <c r="AY51" s="133"/>
      <c r="AZ51" s="133"/>
      <c r="BA51" s="133"/>
    </row>
    <row r="52" spans="1:53" ht="14.85" customHeight="1">
      <c r="A52" s="125"/>
      <c r="B52" s="327" t="s">
        <v>404</v>
      </c>
      <c r="C52" s="328"/>
      <c r="D52" s="328"/>
      <c r="E52" s="328"/>
      <c r="F52" s="328"/>
      <c r="G52" s="330" t="s">
        <v>357</v>
      </c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500">
        <v>0.01</v>
      </c>
      <c r="W52" s="501"/>
      <c r="X52" s="501"/>
      <c r="Y52" s="501"/>
      <c r="Z52" s="150" t="s">
        <v>412</v>
      </c>
      <c r="AA52" s="308" t="s">
        <v>352</v>
      </c>
      <c r="AB52" s="308"/>
      <c r="AC52" s="308"/>
      <c r="AD52" s="308"/>
      <c r="AE52" s="308"/>
      <c r="AF52" s="397" t="s">
        <v>353</v>
      </c>
      <c r="AG52" s="397"/>
      <c r="AH52" s="397"/>
      <c r="AI52" s="397">
        <v>1</v>
      </c>
      <c r="AJ52" s="397"/>
      <c r="AK52" s="395">
        <f>(V52/SQRT(3))*AI52</f>
        <v>5.773502691896258E-3</v>
      </c>
      <c r="AL52" s="395"/>
      <c r="AM52" s="395"/>
      <c r="AN52" s="395"/>
      <c r="AO52" s="396"/>
      <c r="AP52" s="472" t="str">
        <f t="shared" si="60"/>
        <v>∞</v>
      </c>
      <c r="AQ52" s="473"/>
      <c r="AR52" s="473"/>
      <c r="AS52" s="473"/>
      <c r="AT52" s="445"/>
      <c r="AU52" s="446"/>
      <c r="AV52" s="447"/>
      <c r="AW52" s="133"/>
      <c r="AX52" s="133"/>
      <c r="AY52" s="133"/>
      <c r="AZ52" s="133"/>
      <c r="BA52" s="133"/>
    </row>
    <row r="53" spans="1:53" ht="14.85" customHeight="1">
      <c r="A53" s="125"/>
      <c r="B53" s="327" t="s">
        <v>405</v>
      </c>
      <c r="C53" s="328"/>
      <c r="D53" s="328"/>
      <c r="E53" s="328"/>
      <c r="F53" s="328"/>
      <c r="G53" s="330" t="s">
        <v>358</v>
      </c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500">
        <v>0.01</v>
      </c>
      <c r="W53" s="501"/>
      <c r="X53" s="501"/>
      <c r="Y53" s="501"/>
      <c r="Z53" s="150" t="s">
        <v>412</v>
      </c>
      <c r="AA53" s="308" t="s">
        <v>352</v>
      </c>
      <c r="AB53" s="308"/>
      <c r="AC53" s="308"/>
      <c r="AD53" s="308"/>
      <c r="AE53" s="308"/>
      <c r="AF53" s="397" t="s">
        <v>353</v>
      </c>
      <c r="AG53" s="397"/>
      <c r="AH53" s="397"/>
      <c r="AI53" s="397">
        <v>1</v>
      </c>
      <c r="AJ53" s="397"/>
      <c r="AK53" s="395">
        <f t="shared" ref="AK53:AK55" si="61">(V53/SQRT(3))*AI53</f>
        <v>5.773502691896258E-3</v>
      </c>
      <c r="AL53" s="395"/>
      <c r="AM53" s="395"/>
      <c r="AN53" s="395"/>
      <c r="AO53" s="396"/>
      <c r="AP53" s="472" t="str">
        <f t="shared" si="60"/>
        <v>∞</v>
      </c>
      <c r="AQ53" s="473"/>
      <c r="AR53" s="473"/>
      <c r="AS53" s="473"/>
      <c r="AT53" s="445"/>
      <c r="AU53" s="446"/>
      <c r="AV53" s="447"/>
      <c r="AW53" s="133"/>
      <c r="AX53" s="133"/>
      <c r="AY53" s="133"/>
      <c r="AZ53" s="133"/>
      <c r="BA53" s="133"/>
    </row>
    <row r="54" spans="1:53" ht="14.85" customHeight="1">
      <c r="A54" s="125"/>
      <c r="B54" s="327" t="s">
        <v>406</v>
      </c>
      <c r="C54" s="328"/>
      <c r="D54" s="328"/>
      <c r="E54" s="328"/>
      <c r="F54" s="328"/>
      <c r="G54" s="330" t="s">
        <v>359</v>
      </c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30"/>
      <c r="V54" s="504">
        <f>$AB$3/2</f>
        <v>0</v>
      </c>
      <c r="W54" s="505"/>
      <c r="X54" s="505"/>
      <c r="Y54" s="505"/>
      <c r="Z54" s="150" t="s">
        <v>412</v>
      </c>
      <c r="AA54" s="308" t="s">
        <v>352</v>
      </c>
      <c r="AB54" s="308"/>
      <c r="AC54" s="308"/>
      <c r="AD54" s="308"/>
      <c r="AE54" s="308"/>
      <c r="AF54" s="397" t="s">
        <v>353</v>
      </c>
      <c r="AG54" s="397"/>
      <c r="AH54" s="397"/>
      <c r="AI54" s="397">
        <v>1</v>
      </c>
      <c r="AJ54" s="397"/>
      <c r="AK54" s="395">
        <f t="shared" si="61"/>
        <v>0</v>
      </c>
      <c r="AL54" s="395"/>
      <c r="AM54" s="395"/>
      <c r="AN54" s="395"/>
      <c r="AO54" s="396"/>
      <c r="AP54" s="472" t="str">
        <f t="shared" si="60"/>
        <v>∞</v>
      </c>
      <c r="AQ54" s="473"/>
      <c r="AR54" s="473"/>
      <c r="AS54" s="473"/>
      <c r="AT54" s="445"/>
      <c r="AU54" s="446"/>
      <c r="AV54" s="447"/>
      <c r="AW54" s="133"/>
      <c r="AX54" s="133"/>
      <c r="AY54" s="133"/>
      <c r="AZ54" s="133"/>
      <c r="BA54" s="133"/>
    </row>
    <row r="55" spans="1:53" ht="14.85" customHeight="1">
      <c r="A55" s="125"/>
      <c r="B55" s="327" t="s">
        <v>407</v>
      </c>
      <c r="C55" s="328"/>
      <c r="D55" s="328"/>
      <c r="E55" s="328"/>
      <c r="F55" s="328"/>
      <c r="G55" s="330" t="s">
        <v>360</v>
      </c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30"/>
      <c r="V55" s="504" t="str">
        <f>I$31</f>
        <v/>
      </c>
      <c r="W55" s="505"/>
      <c r="X55" s="505"/>
      <c r="Y55" s="505"/>
      <c r="Z55" s="150" t="s">
        <v>412</v>
      </c>
      <c r="AA55" s="308" t="s">
        <v>352</v>
      </c>
      <c r="AB55" s="308"/>
      <c r="AC55" s="308"/>
      <c r="AD55" s="308"/>
      <c r="AE55" s="308"/>
      <c r="AF55" s="397" t="s">
        <v>353</v>
      </c>
      <c r="AG55" s="397"/>
      <c r="AH55" s="397"/>
      <c r="AI55" s="397">
        <v>1</v>
      </c>
      <c r="AJ55" s="397"/>
      <c r="AK55" s="395" t="e">
        <f t="shared" si="61"/>
        <v>#VALUE!</v>
      </c>
      <c r="AL55" s="395"/>
      <c r="AM55" s="395"/>
      <c r="AN55" s="395"/>
      <c r="AO55" s="396"/>
      <c r="AP55" s="472" t="str">
        <f t="shared" si="60"/>
        <v>∞</v>
      </c>
      <c r="AQ55" s="473"/>
      <c r="AR55" s="473"/>
      <c r="AS55" s="473"/>
      <c r="AT55" s="445"/>
      <c r="AU55" s="446"/>
      <c r="AV55" s="447"/>
      <c r="AW55" s="133"/>
      <c r="AX55" s="133"/>
      <c r="AY55" s="133"/>
      <c r="AZ55" s="133"/>
      <c r="BA55" s="133"/>
    </row>
    <row r="56" spans="1:53" ht="14.85" customHeight="1">
      <c r="A56" s="125"/>
      <c r="B56" s="327" t="s">
        <v>408</v>
      </c>
      <c r="C56" s="328"/>
      <c r="D56" s="328"/>
      <c r="E56" s="328"/>
      <c r="F56" s="328"/>
      <c r="G56" s="330" t="s">
        <v>361</v>
      </c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  <c r="T56" s="330"/>
      <c r="U56" s="330"/>
      <c r="V56" s="504">
        <v>0</v>
      </c>
      <c r="W56" s="505"/>
      <c r="X56" s="505"/>
      <c r="Y56" s="505"/>
      <c r="Z56" s="150" t="s">
        <v>412</v>
      </c>
      <c r="AA56" s="308" t="s">
        <v>352</v>
      </c>
      <c r="AB56" s="308"/>
      <c r="AC56" s="308"/>
      <c r="AD56" s="308"/>
      <c r="AE56" s="308"/>
      <c r="AF56" s="397" t="s">
        <v>353</v>
      </c>
      <c r="AG56" s="397"/>
      <c r="AH56" s="397"/>
      <c r="AI56" s="397">
        <v>1</v>
      </c>
      <c r="AJ56" s="397"/>
      <c r="AK56" s="395">
        <f>(V56/SQRT(3))*AI56</f>
        <v>0</v>
      </c>
      <c r="AL56" s="395"/>
      <c r="AM56" s="395"/>
      <c r="AN56" s="395"/>
      <c r="AO56" s="396"/>
      <c r="AP56" s="472" t="str">
        <f t="shared" si="60"/>
        <v>∞</v>
      </c>
      <c r="AQ56" s="473"/>
      <c r="AR56" s="473"/>
      <c r="AS56" s="473"/>
      <c r="AT56" s="445"/>
      <c r="AU56" s="446"/>
      <c r="AV56" s="447"/>
      <c r="AW56" s="133"/>
      <c r="AX56" s="133"/>
      <c r="AY56" s="133"/>
      <c r="AZ56" s="133"/>
      <c r="BA56" s="133"/>
    </row>
    <row r="57" spans="1:53" ht="14.85" customHeight="1">
      <c r="A57" s="125"/>
      <c r="B57" s="327" t="s">
        <v>419</v>
      </c>
      <c r="C57" s="328"/>
      <c r="D57" s="328"/>
      <c r="E57" s="328"/>
      <c r="F57" s="328"/>
      <c r="G57" s="330" t="s">
        <v>421</v>
      </c>
      <c r="H57" s="330" t="s">
        <v>421</v>
      </c>
      <c r="I57" s="330" t="s">
        <v>421</v>
      </c>
      <c r="J57" s="330" t="s">
        <v>421</v>
      </c>
      <c r="K57" s="330" t="s">
        <v>421</v>
      </c>
      <c r="L57" s="330" t="s">
        <v>421</v>
      </c>
      <c r="M57" s="330" t="s">
        <v>421</v>
      </c>
      <c r="N57" s="330" t="s">
        <v>421</v>
      </c>
      <c r="O57" s="330" t="s">
        <v>421</v>
      </c>
      <c r="P57" s="330" t="s">
        <v>421</v>
      </c>
      <c r="Q57" s="330" t="s">
        <v>421</v>
      </c>
      <c r="R57" s="330" t="s">
        <v>421</v>
      </c>
      <c r="S57" s="330" t="s">
        <v>421</v>
      </c>
      <c r="T57" s="330" t="s">
        <v>421</v>
      </c>
      <c r="U57" s="330" t="s">
        <v>421</v>
      </c>
      <c r="V57" s="504">
        <f>$W$38</f>
        <v>0</v>
      </c>
      <c r="W57" s="505"/>
      <c r="X57" s="505"/>
      <c r="Y57" s="505"/>
      <c r="Z57" s="150" t="s">
        <v>412</v>
      </c>
      <c r="AA57" s="308" t="s">
        <v>352</v>
      </c>
      <c r="AB57" s="308"/>
      <c r="AC57" s="308"/>
      <c r="AD57" s="308"/>
      <c r="AE57" s="308"/>
      <c r="AF57" s="397" t="s">
        <v>353</v>
      </c>
      <c r="AG57" s="397"/>
      <c r="AH57" s="397"/>
      <c r="AI57" s="397">
        <v>1</v>
      </c>
      <c r="AJ57" s="397"/>
      <c r="AK57" s="395">
        <f t="shared" ref="AK57:AK58" si="62">(V57/SQRT(3))*AI57</f>
        <v>0</v>
      </c>
      <c r="AL57" s="395"/>
      <c r="AM57" s="395"/>
      <c r="AN57" s="395"/>
      <c r="AO57" s="396"/>
      <c r="AP57" s="472" t="str">
        <f t="shared" si="60"/>
        <v>∞</v>
      </c>
      <c r="AQ57" s="473"/>
      <c r="AR57" s="473"/>
      <c r="AS57" s="473"/>
      <c r="AT57" s="445"/>
      <c r="AU57" s="446"/>
      <c r="AV57" s="447"/>
      <c r="AW57" s="133"/>
      <c r="AX57" s="133"/>
      <c r="AY57" s="133"/>
      <c r="AZ57" s="133"/>
      <c r="BA57" s="133"/>
    </row>
    <row r="58" spans="1:53" ht="14.85" customHeight="1">
      <c r="A58" s="125"/>
      <c r="B58" s="327" t="s">
        <v>420</v>
      </c>
      <c r="C58" s="328"/>
      <c r="D58" s="328"/>
      <c r="E58" s="328"/>
      <c r="F58" s="328"/>
      <c r="G58" s="330" t="s">
        <v>422</v>
      </c>
      <c r="H58" s="330" t="s">
        <v>422</v>
      </c>
      <c r="I58" s="330" t="s">
        <v>422</v>
      </c>
      <c r="J58" s="330" t="s">
        <v>422</v>
      </c>
      <c r="K58" s="330" t="s">
        <v>422</v>
      </c>
      <c r="L58" s="330" t="s">
        <v>422</v>
      </c>
      <c r="M58" s="330" t="s">
        <v>422</v>
      </c>
      <c r="N58" s="330" t="s">
        <v>422</v>
      </c>
      <c r="O58" s="330" t="s">
        <v>422</v>
      </c>
      <c r="P58" s="330" t="s">
        <v>422</v>
      </c>
      <c r="Q58" s="330" t="s">
        <v>422</v>
      </c>
      <c r="R58" s="330" t="s">
        <v>422</v>
      </c>
      <c r="S58" s="330" t="s">
        <v>422</v>
      </c>
      <c r="T58" s="330" t="s">
        <v>422</v>
      </c>
      <c r="U58" s="330" t="s">
        <v>422</v>
      </c>
      <c r="V58" s="504">
        <f>IF($AB$4="New (สายใหม่)",0.1,0.44)</f>
        <v>0.44</v>
      </c>
      <c r="W58" s="505"/>
      <c r="X58" s="505"/>
      <c r="Y58" s="505"/>
      <c r="Z58" s="150" t="s">
        <v>412</v>
      </c>
      <c r="AA58" s="308" t="s">
        <v>352</v>
      </c>
      <c r="AB58" s="308"/>
      <c r="AC58" s="308"/>
      <c r="AD58" s="308"/>
      <c r="AE58" s="308"/>
      <c r="AF58" s="397" t="s">
        <v>353</v>
      </c>
      <c r="AG58" s="397"/>
      <c r="AH58" s="397"/>
      <c r="AI58" s="397">
        <v>1</v>
      </c>
      <c r="AJ58" s="397"/>
      <c r="AK58" s="395">
        <f t="shared" si="62"/>
        <v>0.25403411844343537</v>
      </c>
      <c r="AL58" s="395"/>
      <c r="AM58" s="395"/>
      <c r="AN58" s="395"/>
      <c r="AO58" s="396"/>
      <c r="AP58" s="472" t="str">
        <f t="shared" si="60"/>
        <v>∞</v>
      </c>
      <c r="AQ58" s="473"/>
      <c r="AR58" s="473"/>
      <c r="AS58" s="473"/>
      <c r="AT58" s="445"/>
      <c r="AU58" s="446"/>
      <c r="AV58" s="447"/>
      <c r="AW58" s="133"/>
      <c r="AX58" s="133"/>
      <c r="AY58" s="133"/>
      <c r="AZ58" s="133"/>
      <c r="BA58" s="133"/>
    </row>
    <row r="59" spans="1:53" ht="14.85" customHeight="1">
      <c r="A59" s="125"/>
      <c r="B59" s="327" t="s">
        <v>409</v>
      </c>
      <c r="C59" s="328"/>
      <c r="D59" s="328"/>
      <c r="E59" s="328"/>
      <c r="F59" s="328"/>
      <c r="G59" s="330" t="s">
        <v>362</v>
      </c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504" t="str">
        <f>$E$16</f>
        <v/>
      </c>
      <c r="W59" s="505"/>
      <c r="X59" s="505"/>
      <c r="Y59" s="505"/>
      <c r="Z59" s="150" t="s">
        <v>412</v>
      </c>
      <c r="AA59" s="308" t="s">
        <v>37</v>
      </c>
      <c r="AB59" s="308"/>
      <c r="AC59" s="308"/>
      <c r="AD59" s="308"/>
      <c r="AE59" s="308"/>
      <c r="AF59" s="397">
        <v>1</v>
      </c>
      <c r="AG59" s="397"/>
      <c r="AH59" s="397"/>
      <c r="AI59" s="397">
        <f>IF($B$8="","",1)</f>
        <v>1</v>
      </c>
      <c r="AJ59" s="397"/>
      <c r="AK59" s="395" t="e">
        <f t="shared" ref="AK59" si="63">(V59/AF59)*AI59</f>
        <v>#VALUE!</v>
      </c>
      <c r="AL59" s="395"/>
      <c r="AM59" s="395"/>
      <c r="AN59" s="395"/>
      <c r="AO59" s="396"/>
      <c r="AP59" s="472">
        <v>9</v>
      </c>
      <c r="AQ59" s="473"/>
      <c r="AR59" s="473"/>
      <c r="AS59" s="473"/>
      <c r="AT59" s="445"/>
      <c r="AU59" s="446"/>
      <c r="AV59" s="447"/>
      <c r="AW59" s="133"/>
      <c r="AX59" s="133"/>
      <c r="AY59" s="133"/>
      <c r="AZ59" s="133"/>
      <c r="BA59" s="133"/>
    </row>
    <row r="60" spans="1:53" ht="14.85" customHeight="1" thickBot="1">
      <c r="A60" s="125"/>
      <c r="B60" s="474" t="s">
        <v>410</v>
      </c>
      <c r="C60" s="475"/>
      <c r="D60" s="475"/>
      <c r="E60" s="475"/>
      <c r="F60" s="475"/>
      <c r="G60" s="453" t="s">
        <v>363</v>
      </c>
      <c r="H60" s="453"/>
      <c r="I60" s="453"/>
      <c r="J60" s="453"/>
      <c r="K60" s="453"/>
      <c r="L60" s="453"/>
      <c r="M60" s="453"/>
      <c r="N60" s="453"/>
      <c r="O60" s="453"/>
      <c r="P60" s="453"/>
      <c r="Q60" s="453"/>
      <c r="R60" s="453"/>
      <c r="S60" s="453"/>
      <c r="T60" s="453"/>
      <c r="U60" s="453"/>
      <c r="V60" s="506" t="str">
        <f>I$16</f>
        <v/>
      </c>
      <c r="W60" s="507"/>
      <c r="X60" s="507"/>
      <c r="Y60" s="507"/>
      <c r="Z60" s="151" t="s">
        <v>412</v>
      </c>
      <c r="AA60" s="476" t="s">
        <v>37</v>
      </c>
      <c r="AB60" s="476"/>
      <c r="AC60" s="476"/>
      <c r="AD60" s="476"/>
      <c r="AE60" s="476"/>
      <c r="AF60" s="486">
        <v>1</v>
      </c>
      <c r="AG60" s="486"/>
      <c r="AH60" s="486"/>
      <c r="AI60" s="486">
        <f>IF($B$8="","",1)</f>
        <v>1</v>
      </c>
      <c r="AJ60" s="486"/>
      <c r="AK60" s="487" t="e">
        <f>(V60/AF60)*AI60</f>
        <v>#VALUE!</v>
      </c>
      <c r="AL60" s="487"/>
      <c r="AM60" s="487"/>
      <c r="AN60" s="487"/>
      <c r="AO60" s="488"/>
      <c r="AP60" s="472">
        <v>9</v>
      </c>
      <c r="AQ60" s="473"/>
      <c r="AR60" s="473"/>
      <c r="AS60" s="473"/>
      <c r="AT60" s="445"/>
      <c r="AU60" s="446"/>
      <c r="AV60" s="447"/>
      <c r="AW60" s="133"/>
      <c r="AX60" s="133"/>
      <c r="AY60" s="133"/>
      <c r="AZ60" s="133"/>
      <c r="BA60" s="133"/>
    </row>
    <row r="61" spans="1:53" ht="14.85" customHeight="1" thickTop="1" thickBot="1">
      <c r="A61" s="125"/>
      <c r="B61" s="451" t="s">
        <v>411</v>
      </c>
      <c r="C61" s="452"/>
      <c r="D61" s="452"/>
      <c r="E61" s="452"/>
      <c r="F61" s="452"/>
      <c r="G61" s="453" t="s">
        <v>364</v>
      </c>
      <c r="H61" s="453" t="s">
        <v>364</v>
      </c>
      <c r="I61" s="453" t="s">
        <v>364</v>
      </c>
      <c r="J61" s="453" t="s">
        <v>364</v>
      </c>
      <c r="K61" s="453" t="s">
        <v>364</v>
      </c>
      <c r="L61" s="453" t="s">
        <v>364</v>
      </c>
      <c r="M61" s="453" t="s">
        <v>364</v>
      </c>
      <c r="N61" s="453" t="s">
        <v>364</v>
      </c>
      <c r="O61" s="453" t="s">
        <v>364</v>
      </c>
      <c r="P61" s="453" t="s">
        <v>364</v>
      </c>
      <c r="Q61" s="453" t="s">
        <v>364</v>
      </c>
      <c r="R61" s="453" t="s">
        <v>364</v>
      </c>
      <c r="S61" s="453" t="s">
        <v>364</v>
      </c>
      <c r="T61" s="453" t="s">
        <v>364</v>
      </c>
      <c r="U61" s="453" t="s">
        <v>364</v>
      </c>
      <c r="V61" s="470"/>
      <c r="W61" s="471"/>
      <c r="X61" s="471"/>
      <c r="Y61" s="471"/>
      <c r="Z61" s="152"/>
      <c r="AA61" s="478" t="s">
        <v>37</v>
      </c>
      <c r="AB61" s="478"/>
      <c r="AC61" s="478"/>
      <c r="AD61" s="478"/>
      <c r="AE61" s="479"/>
      <c r="AF61" s="462"/>
      <c r="AG61" s="463"/>
      <c r="AH61" s="463"/>
      <c r="AI61" s="463"/>
      <c r="AJ61" s="464"/>
      <c r="AK61" s="456" t="e">
        <f>SQRT(SUMSQ(AK47:AK60))</f>
        <v>#VALUE!</v>
      </c>
      <c r="AL61" s="457"/>
      <c r="AM61" s="457"/>
      <c r="AN61" s="457"/>
      <c r="AO61" s="457"/>
      <c r="AP61" s="438" t="e">
        <f>IF(V60&lt;0.0000000001,"∞",(AK61^4/((AK60^4/AP60)+(AK59^4/AP59))))</f>
        <v>#VALUE!</v>
      </c>
      <c r="AQ61" s="439"/>
      <c r="AR61" s="439"/>
      <c r="AS61" s="439"/>
      <c r="AT61" s="445"/>
      <c r="AU61" s="446"/>
      <c r="AV61" s="447"/>
      <c r="AW61" s="133"/>
      <c r="AX61" s="133"/>
      <c r="AY61" s="133"/>
      <c r="AZ61" s="133"/>
      <c r="BA61" s="133"/>
    </row>
    <row r="62" spans="1:53" ht="14.85" customHeight="1" thickTop="1" thickBot="1">
      <c r="A62" s="125"/>
      <c r="B62" s="451" t="s">
        <v>366</v>
      </c>
      <c r="C62" s="452"/>
      <c r="D62" s="452"/>
      <c r="E62" s="452"/>
      <c r="F62" s="452"/>
      <c r="G62" s="453" t="s">
        <v>367</v>
      </c>
      <c r="H62" s="453" t="s">
        <v>367</v>
      </c>
      <c r="I62" s="453" t="s">
        <v>367</v>
      </c>
      <c r="J62" s="453" t="s">
        <v>367</v>
      </c>
      <c r="K62" s="453" t="s">
        <v>367</v>
      </c>
      <c r="L62" s="453" t="s">
        <v>367</v>
      </c>
      <c r="M62" s="453" t="s">
        <v>367</v>
      </c>
      <c r="N62" s="453" t="s">
        <v>367</v>
      </c>
      <c r="O62" s="453" t="s">
        <v>367</v>
      </c>
      <c r="P62" s="453" t="s">
        <v>367</v>
      </c>
      <c r="Q62" s="453" t="s">
        <v>367</v>
      </c>
      <c r="R62" s="453" t="s">
        <v>367</v>
      </c>
      <c r="S62" s="453" t="s">
        <v>367</v>
      </c>
      <c r="T62" s="453" t="s">
        <v>367</v>
      </c>
      <c r="U62" s="453" t="s">
        <v>367</v>
      </c>
      <c r="V62" s="454"/>
      <c r="W62" s="455"/>
      <c r="X62" s="455"/>
      <c r="Y62" s="455"/>
      <c r="Z62" s="153"/>
      <c r="AA62" s="458" t="s">
        <v>368</v>
      </c>
      <c r="AB62" s="459"/>
      <c r="AC62" s="460" t="e">
        <f>IF(AP61="∞",2,TINV(0.0455,AP61))</f>
        <v>#VALUE!</v>
      </c>
      <c r="AD62" s="461"/>
      <c r="AE62" s="461"/>
      <c r="AF62" s="465"/>
      <c r="AG62" s="466"/>
      <c r="AH62" s="466"/>
      <c r="AI62" s="466"/>
      <c r="AJ62" s="467"/>
      <c r="AK62" s="456" t="e">
        <f>AK61*AC62</f>
        <v>#VALUE!</v>
      </c>
      <c r="AL62" s="457"/>
      <c r="AM62" s="457"/>
      <c r="AN62" s="457"/>
      <c r="AO62" s="457"/>
      <c r="AP62" s="440" t="s">
        <v>365</v>
      </c>
      <c r="AQ62" s="441" t="s">
        <v>365</v>
      </c>
      <c r="AR62" s="441" t="s">
        <v>365</v>
      </c>
      <c r="AS62" s="441"/>
      <c r="AT62" s="448"/>
      <c r="AU62" s="449"/>
      <c r="AV62" s="450"/>
      <c r="AW62" s="133"/>
      <c r="AX62" s="133"/>
      <c r="AY62" s="133"/>
      <c r="AZ62" s="133"/>
      <c r="BA62" s="133"/>
    </row>
    <row r="63" spans="1:53" ht="14.85" customHeight="1" thickTop="1" thickBot="1">
      <c r="A63" s="125"/>
      <c r="B63" s="161"/>
      <c r="C63" s="161"/>
      <c r="D63" s="161"/>
      <c r="E63" s="161"/>
      <c r="F63" s="161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54"/>
      <c r="W63" s="154"/>
      <c r="X63" s="154"/>
      <c r="Y63" s="154"/>
      <c r="Z63" s="155"/>
      <c r="AA63" s="156"/>
      <c r="AB63" s="156"/>
      <c r="AC63" s="494" t="s">
        <v>369</v>
      </c>
      <c r="AD63" s="495"/>
      <c r="AE63" s="489">
        <f>IF($J$5&gt;50,0.5,0.4)</f>
        <v>0.4</v>
      </c>
      <c r="AF63" s="489"/>
      <c r="AG63" s="490"/>
      <c r="AH63" s="491" t="s">
        <v>370</v>
      </c>
      <c r="AI63" s="489"/>
      <c r="AJ63" s="489"/>
      <c r="AK63" s="492" t="e">
        <f>IF(AK62&lt;AE63,AE63,ROUNDUP(AK62,2))</f>
        <v>#VALUE!</v>
      </c>
      <c r="AL63" s="492"/>
      <c r="AM63" s="492"/>
      <c r="AN63" s="492"/>
      <c r="AO63" s="493"/>
      <c r="AP63" s="156"/>
      <c r="AQ63" s="156"/>
      <c r="AR63" s="156"/>
      <c r="AS63" s="154"/>
      <c r="AT63" s="154"/>
      <c r="AU63" s="154"/>
      <c r="AV63" s="154"/>
      <c r="AW63" s="133"/>
      <c r="AX63" s="133"/>
      <c r="AY63" s="133"/>
      <c r="AZ63" s="133"/>
      <c r="BA63" s="133"/>
    </row>
    <row r="64" spans="1:53" ht="14.85" customHeight="1" thickTop="1">
      <c r="A64" s="125"/>
      <c r="B64" s="161"/>
      <c r="C64" s="161"/>
      <c r="D64" s="161"/>
      <c r="E64" s="161"/>
      <c r="F64" s="16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33"/>
      <c r="W64" s="133"/>
      <c r="X64" s="133"/>
      <c r="Y64" s="133"/>
      <c r="Z64" s="143"/>
      <c r="AA64" s="144"/>
      <c r="AB64" s="144"/>
      <c r="AC64" s="144"/>
      <c r="AD64" s="144"/>
      <c r="AE64" s="144"/>
      <c r="AF64" s="145"/>
      <c r="AG64" s="145"/>
      <c r="AH64" s="145"/>
      <c r="AI64" s="145"/>
      <c r="AJ64" s="145"/>
      <c r="AK64" s="133"/>
      <c r="AL64" s="133"/>
      <c r="AM64" s="133"/>
      <c r="AN64" s="133"/>
      <c r="AO64" s="133"/>
      <c r="AP64" s="144"/>
      <c r="AQ64" s="144"/>
      <c r="AR64" s="144"/>
      <c r="AS64" s="133"/>
      <c r="AT64" s="133"/>
      <c r="AU64" s="133"/>
      <c r="AV64" s="133"/>
      <c r="AW64" s="133"/>
      <c r="AX64" s="133"/>
      <c r="AY64" s="133"/>
      <c r="AZ64" s="133"/>
      <c r="BA64" s="133"/>
    </row>
    <row r="65" spans="1:75" ht="14.85" customHeight="1">
      <c r="A65" s="125"/>
      <c r="B65" s="161"/>
      <c r="C65" s="161"/>
      <c r="D65" s="161"/>
      <c r="E65" s="161"/>
      <c r="F65" s="16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33"/>
      <c r="W65" s="133"/>
      <c r="X65" s="133"/>
      <c r="Y65" s="133"/>
      <c r="Z65" s="143"/>
      <c r="AA65" s="144"/>
      <c r="AB65" s="144"/>
      <c r="AC65" s="144"/>
      <c r="AD65" s="144"/>
      <c r="AE65" s="144"/>
      <c r="AF65" s="145"/>
      <c r="AG65" s="145"/>
      <c r="AH65" s="145"/>
      <c r="AI65" s="145"/>
      <c r="AJ65" s="145"/>
      <c r="AK65" s="133"/>
      <c r="AL65" s="133"/>
      <c r="AM65" s="133"/>
      <c r="AN65" s="133"/>
      <c r="AO65" s="133"/>
      <c r="AP65" s="144"/>
      <c r="AQ65" s="144"/>
      <c r="AR65" s="144"/>
      <c r="AS65" s="133"/>
      <c r="AT65" s="133"/>
      <c r="AU65" s="133"/>
      <c r="AV65" s="133"/>
      <c r="AW65" s="133"/>
      <c r="AX65" s="133"/>
      <c r="AY65" s="133"/>
      <c r="AZ65" s="133"/>
      <c r="BA65" s="133"/>
    </row>
    <row r="66" spans="1:75" ht="14.85" customHeight="1">
      <c r="A66" s="125"/>
      <c r="B66" s="126"/>
      <c r="C66" s="126"/>
      <c r="D66" s="126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</row>
    <row r="67" spans="1:75" ht="14.85" customHeight="1">
      <c r="A67" s="125"/>
      <c r="B67" s="322" t="s">
        <v>12</v>
      </c>
      <c r="C67" s="322"/>
      <c r="D67" s="322"/>
      <c r="E67" s="322"/>
      <c r="F67" s="322"/>
      <c r="G67" s="322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06" t="s">
        <v>13</v>
      </c>
      <c r="Y67" s="306"/>
      <c r="Z67" s="306"/>
      <c r="AA67" s="324"/>
      <c r="AB67" s="324"/>
      <c r="AC67" s="324"/>
      <c r="AD67" s="324"/>
      <c r="AE67" s="324"/>
      <c r="AF67" s="324"/>
      <c r="AG67" s="324"/>
      <c r="AH67" s="324"/>
      <c r="AI67" s="130"/>
      <c r="AJ67" s="130"/>
      <c r="AK67" s="130"/>
      <c r="AL67" s="130"/>
      <c r="AM67" s="130"/>
      <c r="AN67" s="130"/>
      <c r="AO67" s="136"/>
      <c r="AP67" s="137"/>
      <c r="AQ67" s="137"/>
      <c r="AR67" s="137"/>
      <c r="AS67" s="137"/>
      <c r="AT67" s="137"/>
      <c r="AU67" s="136"/>
      <c r="AV67" s="136"/>
      <c r="AW67" s="136"/>
      <c r="AX67" s="136"/>
      <c r="AY67" s="136"/>
      <c r="AZ67" s="136"/>
      <c r="BA67" s="136"/>
    </row>
    <row r="68" spans="1:75" s="111" customFormat="1" ht="14.85" customHeight="1">
      <c r="A68" s="125"/>
      <c r="B68" s="137" t="s">
        <v>14</v>
      </c>
      <c r="C68" s="134"/>
      <c r="D68" s="134"/>
      <c r="E68" s="134"/>
      <c r="F68" s="134"/>
      <c r="G68" s="134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306" t="s">
        <v>13</v>
      </c>
      <c r="Y68" s="306"/>
      <c r="Z68" s="306"/>
      <c r="AA68" s="307"/>
      <c r="AB68" s="307"/>
      <c r="AC68" s="307"/>
      <c r="AD68" s="307"/>
      <c r="AE68" s="307"/>
      <c r="AF68" s="307"/>
      <c r="AG68" s="307"/>
      <c r="AH68" s="307"/>
      <c r="AI68" s="130"/>
      <c r="AJ68" s="130"/>
      <c r="AK68" s="130"/>
      <c r="AL68" s="130"/>
      <c r="AM68" s="130"/>
      <c r="AN68" s="130"/>
      <c r="AO68" s="137"/>
      <c r="AP68" s="137"/>
      <c r="AQ68" s="137"/>
      <c r="AR68" s="137"/>
      <c r="AS68" s="137"/>
      <c r="AT68" s="137"/>
      <c r="AU68" s="135"/>
      <c r="AV68" s="135"/>
      <c r="AW68" s="135"/>
      <c r="AX68" s="135"/>
      <c r="AY68" s="135"/>
      <c r="AZ68" s="135"/>
      <c r="BA68" s="135"/>
      <c r="BS68" s="112"/>
      <c r="BT68" s="112"/>
      <c r="BU68" s="112"/>
      <c r="BV68" s="112"/>
      <c r="BW68" s="112"/>
    </row>
    <row r="69" spans="1:75" s="111" customFormat="1" ht="14.85" customHeight="1">
      <c r="A69" s="125"/>
      <c r="B69" s="137" t="s">
        <v>15</v>
      </c>
      <c r="C69" s="137"/>
      <c r="D69" s="320"/>
      <c r="E69" s="320"/>
      <c r="F69" s="320"/>
      <c r="G69" s="320"/>
      <c r="H69" s="320"/>
      <c r="I69" s="320"/>
      <c r="J69" s="320"/>
      <c r="K69" s="320"/>
      <c r="L69" s="320"/>
      <c r="M69" s="320"/>
      <c r="N69" s="320"/>
      <c r="O69" s="320"/>
      <c r="P69" s="320"/>
      <c r="Q69" s="320"/>
      <c r="R69" s="320"/>
      <c r="S69" s="320"/>
      <c r="T69" s="320"/>
      <c r="U69" s="320"/>
      <c r="V69" s="320"/>
      <c r="W69" s="320"/>
      <c r="X69" s="320"/>
      <c r="Y69" s="320"/>
      <c r="Z69" s="320"/>
      <c r="AA69" s="320"/>
      <c r="AB69" s="320"/>
      <c r="AC69" s="320"/>
      <c r="AD69" s="320"/>
      <c r="AE69" s="320"/>
      <c r="AF69" s="320"/>
      <c r="AG69" s="320"/>
      <c r="AH69" s="320"/>
      <c r="AI69" s="320"/>
      <c r="AJ69" s="320"/>
      <c r="AK69" s="320"/>
      <c r="AL69" s="320"/>
      <c r="AM69" s="320"/>
      <c r="AN69" s="320"/>
      <c r="AO69" s="320"/>
      <c r="AP69" s="320"/>
      <c r="AQ69" s="320"/>
      <c r="AR69" s="320"/>
      <c r="AS69" s="320"/>
      <c r="AT69" s="320"/>
      <c r="AU69" s="320"/>
      <c r="AV69" s="320"/>
      <c r="AW69" s="320"/>
      <c r="AX69" s="320"/>
      <c r="AY69" s="320"/>
      <c r="AZ69" s="320"/>
      <c r="BA69" s="320"/>
      <c r="BS69" s="112"/>
      <c r="BT69" s="112"/>
      <c r="BU69" s="112"/>
      <c r="BV69" s="112"/>
      <c r="BW69" s="112"/>
    </row>
    <row r="70" spans="1:75" s="111" customFormat="1" ht="14.85" customHeight="1">
      <c r="A70" s="125"/>
      <c r="B70" s="137"/>
      <c r="C70" s="137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  <c r="BA70" s="135"/>
      <c r="BS70" s="112"/>
      <c r="BT70" s="112"/>
      <c r="BU70" s="112"/>
      <c r="BV70" s="112"/>
      <c r="BW70" s="112"/>
    </row>
    <row r="71" spans="1:75" s="111" customFormat="1" ht="14.85" customHeight="1">
      <c r="A71" s="321"/>
      <c r="B71" s="321"/>
      <c r="C71" s="321"/>
      <c r="D71" s="321"/>
      <c r="E71" s="321"/>
      <c r="F71" s="321"/>
      <c r="G71" s="321"/>
      <c r="H71" s="321"/>
      <c r="I71" s="321"/>
      <c r="J71" s="321"/>
      <c r="K71" s="321"/>
      <c r="L71" s="321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  <c r="AL71" s="321"/>
      <c r="AM71" s="321"/>
      <c r="AN71" s="321"/>
      <c r="AO71" s="321"/>
      <c r="AP71" s="321"/>
      <c r="AQ71" s="321"/>
      <c r="AR71" s="321"/>
      <c r="AS71" s="321"/>
      <c r="AT71" s="321"/>
      <c r="AU71" s="321"/>
      <c r="AV71" s="321"/>
      <c r="AW71" s="321"/>
      <c r="AX71" s="321"/>
      <c r="AY71" s="321"/>
      <c r="AZ71" s="321"/>
      <c r="BA71" s="321"/>
      <c r="BS71" s="112"/>
      <c r="BT71" s="112"/>
      <c r="BU71" s="112"/>
      <c r="BV71" s="112"/>
      <c r="BW71" s="112"/>
    </row>
  </sheetData>
  <sheetProtection algorithmName="SHA-512" hashValue="Fcb9BL2mrjB50LkNqXb5kaatOghPxLoKiQWYOUECfZxHJiiMGTyQrpqATuGiaLNcwuwXvhVRnbEh+PDV/qdvYw==" saltValue="1hRGqZBWeIzd/GXMAgvA8w==" spinCount="100000" sheet="1" objects="1" scenarios="1"/>
  <protectedRanges>
    <protectedRange sqref="AA67:AA68" name="Range8_2"/>
    <protectedRange sqref="AA67:AA68" name="Range15_2"/>
    <protectedRange sqref="J5 AB3 J19" name="Range3_3"/>
    <protectedRange sqref="G19 G5" name="Range3_1"/>
    <protectedRange sqref="AY1 AY42" name="ช่วง2"/>
    <protectedRange sqref="AV1 AV42" name="ช่วง1"/>
  </protectedRanges>
  <mergeCells count="475">
    <mergeCell ref="W34:AD34"/>
    <mergeCell ref="AE34:AL34"/>
    <mergeCell ref="BC33:BD33"/>
    <mergeCell ref="BG33:BH33"/>
    <mergeCell ref="BC34:BD34"/>
    <mergeCell ref="BE34:BF34"/>
    <mergeCell ref="BC35:BD35"/>
    <mergeCell ref="BE35:BF35"/>
    <mergeCell ref="BC36:BF36"/>
    <mergeCell ref="BC37:BJ37"/>
    <mergeCell ref="BG34:BH34"/>
    <mergeCell ref="BI34:BJ34"/>
    <mergeCell ref="BG35:BH35"/>
    <mergeCell ref="BI35:BJ35"/>
    <mergeCell ref="BG36:BJ36"/>
    <mergeCell ref="B58:F58"/>
    <mergeCell ref="G58:U58"/>
    <mergeCell ref="V58:Y58"/>
    <mergeCell ref="AA58:AE58"/>
    <mergeCell ref="AF58:AH58"/>
    <mergeCell ref="AI58:AJ58"/>
    <mergeCell ref="AK58:AO58"/>
    <mergeCell ref="AP58:AS58"/>
    <mergeCell ref="W35:Z35"/>
    <mergeCell ref="AA35:AD35"/>
    <mergeCell ref="AE35:AH35"/>
    <mergeCell ref="AI35:AL35"/>
    <mergeCell ref="W36:Z36"/>
    <mergeCell ref="AA36:AD36"/>
    <mergeCell ref="AE36:AH36"/>
    <mergeCell ref="AI36:AL36"/>
    <mergeCell ref="W37:AD37"/>
    <mergeCell ref="AE37:AL37"/>
    <mergeCell ref="W38:AL38"/>
    <mergeCell ref="B57:F57"/>
    <mergeCell ref="G57:U57"/>
    <mergeCell ref="V57:Y57"/>
    <mergeCell ref="AA57:AE57"/>
    <mergeCell ref="AF57:AH57"/>
    <mergeCell ref="AI57:AJ57"/>
    <mergeCell ref="AK57:AO57"/>
    <mergeCell ref="AP57:AS57"/>
    <mergeCell ref="N39:Q39"/>
    <mergeCell ref="J40:M40"/>
    <mergeCell ref="N40:Q40"/>
    <mergeCell ref="G49:U49"/>
    <mergeCell ref="G50:U50"/>
    <mergeCell ref="G51:U51"/>
    <mergeCell ref="G56:U56"/>
    <mergeCell ref="B40:I40"/>
    <mergeCell ref="AK50:AO50"/>
    <mergeCell ref="AF47:AH47"/>
    <mergeCell ref="AI47:AJ47"/>
    <mergeCell ref="AK47:AO47"/>
    <mergeCell ref="AA48:AE48"/>
    <mergeCell ref="AF48:AH48"/>
    <mergeCell ref="AI48:AJ48"/>
    <mergeCell ref="N37:Q37"/>
    <mergeCell ref="N36:Q36"/>
    <mergeCell ref="N38:Q38"/>
    <mergeCell ref="AE63:AG63"/>
    <mergeCell ref="AH63:AJ63"/>
    <mergeCell ref="AK63:AO63"/>
    <mergeCell ref="AC63:AD63"/>
    <mergeCell ref="AS42:AU42"/>
    <mergeCell ref="AV42:AW42"/>
    <mergeCell ref="G45:U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56:Y56"/>
    <mergeCell ref="V59:Y59"/>
    <mergeCell ref="V60:Y60"/>
    <mergeCell ref="G47:U47"/>
    <mergeCell ref="G48:U48"/>
    <mergeCell ref="AY42:AZ42"/>
    <mergeCell ref="AO44:AU44"/>
    <mergeCell ref="AV44:AZ44"/>
    <mergeCell ref="AA61:AE61"/>
    <mergeCell ref="AP45:AS46"/>
    <mergeCell ref="AP47:AS47"/>
    <mergeCell ref="AP48:AS48"/>
    <mergeCell ref="AP49:AS49"/>
    <mergeCell ref="AP50:AS50"/>
    <mergeCell ref="AP51:AS51"/>
    <mergeCell ref="AP52:AS52"/>
    <mergeCell ref="AP53:AS53"/>
    <mergeCell ref="AP54:AS54"/>
    <mergeCell ref="AP55:AS55"/>
    <mergeCell ref="AP56:AS56"/>
    <mergeCell ref="AP59:AS59"/>
    <mergeCell ref="AF60:AH60"/>
    <mergeCell ref="AI60:AJ60"/>
    <mergeCell ref="AK60:AO60"/>
    <mergeCell ref="AF51:AH51"/>
    <mergeCell ref="AI51:AJ51"/>
    <mergeCell ref="AA50:AE50"/>
    <mergeCell ref="AF50:AH50"/>
    <mergeCell ref="AI50:AJ50"/>
    <mergeCell ref="B59:F59"/>
    <mergeCell ref="AA59:AE59"/>
    <mergeCell ref="AF59:AH59"/>
    <mergeCell ref="AI59:AJ59"/>
    <mergeCell ref="AK59:AO59"/>
    <mergeCell ref="AP61:AS61"/>
    <mergeCell ref="AP62:AS62"/>
    <mergeCell ref="AT45:AV62"/>
    <mergeCell ref="B62:F62"/>
    <mergeCell ref="G62:U62"/>
    <mergeCell ref="V62:Y62"/>
    <mergeCell ref="AK62:AO62"/>
    <mergeCell ref="AA62:AB62"/>
    <mergeCell ref="AC62:AE62"/>
    <mergeCell ref="AF61:AJ62"/>
    <mergeCell ref="G60:U60"/>
    <mergeCell ref="B45:F46"/>
    <mergeCell ref="AK61:AO61"/>
    <mergeCell ref="B61:F61"/>
    <mergeCell ref="G61:U61"/>
    <mergeCell ref="V61:Y61"/>
    <mergeCell ref="AP60:AS60"/>
    <mergeCell ref="B60:F60"/>
    <mergeCell ref="AA60:AE60"/>
    <mergeCell ref="G59:U59"/>
    <mergeCell ref="AF54:AH54"/>
    <mergeCell ref="AI54:AJ54"/>
    <mergeCell ref="AK54:AO54"/>
    <mergeCell ref="AA55:AE55"/>
    <mergeCell ref="AF55:AH55"/>
    <mergeCell ref="AI55:AJ55"/>
    <mergeCell ref="AK55:AO55"/>
    <mergeCell ref="AK51:AO51"/>
    <mergeCell ref="AA52:AE52"/>
    <mergeCell ref="AF52:AH52"/>
    <mergeCell ref="AI52:AJ52"/>
    <mergeCell ref="AK52:AO52"/>
    <mergeCell ref="AA53:AE53"/>
    <mergeCell ref="AF53:AH53"/>
    <mergeCell ref="AI53:AJ53"/>
    <mergeCell ref="AK53:AO53"/>
    <mergeCell ref="AF56:AH56"/>
    <mergeCell ref="AI56:AJ56"/>
    <mergeCell ref="AK56:AO56"/>
    <mergeCell ref="G55:U55"/>
    <mergeCell ref="B14:D14"/>
    <mergeCell ref="E14:H14"/>
    <mergeCell ref="I14:L14"/>
    <mergeCell ref="M14:P14"/>
    <mergeCell ref="Q14:T14"/>
    <mergeCell ref="U14:X14"/>
    <mergeCell ref="B19:I19"/>
    <mergeCell ref="J19:L19"/>
    <mergeCell ref="B34:E35"/>
    <mergeCell ref="F34:I35"/>
    <mergeCell ref="J34:M35"/>
    <mergeCell ref="N34:Q35"/>
    <mergeCell ref="B16:D16"/>
    <mergeCell ref="E16:H16"/>
    <mergeCell ref="I16:L16"/>
    <mergeCell ref="M16:P16"/>
    <mergeCell ref="Q16:T16"/>
    <mergeCell ref="U16:X16"/>
    <mergeCell ref="B15:D15"/>
    <mergeCell ref="E15:H15"/>
    <mergeCell ref="I15:L15"/>
    <mergeCell ref="M15:P15"/>
    <mergeCell ref="Q15:T15"/>
    <mergeCell ref="U15:X15"/>
    <mergeCell ref="B36:E36"/>
    <mergeCell ref="B37:E37"/>
    <mergeCell ref="B38:E38"/>
    <mergeCell ref="B39:I39"/>
    <mergeCell ref="F36:I36"/>
    <mergeCell ref="J36:M36"/>
    <mergeCell ref="F37:I37"/>
    <mergeCell ref="J37:M37"/>
    <mergeCell ref="F38:I38"/>
    <mergeCell ref="J38:M38"/>
    <mergeCell ref="J39:M39"/>
    <mergeCell ref="AK48:AO48"/>
    <mergeCell ref="AA49:AE49"/>
    <mergeCell ref="AF49:AH49"/>
    <mergeCell ref="AI49:AJ49"/>
    <mergeCell ref="AK49:AO49"/>
    <mergeCell ref="BA6:BA14"/>
    <mergeCell ref="BB6:BB8"/>
    <mergeCell ref="BC6:BM8"/>
    <mergeCell ref="BO6:BO8"/>
    <mergeCell ref="AO13:AR13"/>
    <mergeCell ref="AS13:AV13"/>
    <mergeCell ref="AW13:AZ13"/>
    <mergeCell ref="AW10:AZ10"/>
    <mergeCell ref="AW11:AZ11"/>
    <mergeCell ref="AG16:AJ16"/>
    <mergeCell ref="AK16:AN16"/>
    <mergeCell ref="AO16:AR16"/>
    <mergeCell ref="AS16:AV16"/>
    <mergeCell ref="AK15:AN15"/>
    <mergeCell ref="AO15:AR15"/>
    <mergeCell ref="AS15:AV15"/>
    <mergeCell ref="Y16:AB16"/>
    <mergeCell ref="AW14:AZ14"/>
    <mergeCell ref="Y15:AB15"/>
    <mergeCell ref="BP6:BR8"/>
    <mergeCell ref="B7:D7"/>
    <mergeCell ref="E7:H8"/>
    <mergeCell ref="I7:L8"/>
    <mergeCell ref="M7:P8"/>
    <mergeCell ref="Q7:T8"/>
    <mergeCell ref="AC9:AF9"/>
    <mergeCell ref="AG9:AJ9"/>
    <mergeCell ref="AK9:AN9"/>
    <mergeCell ref="AO9:AR9"/>
    <mergeCell ref="AS9:AV9"/>
    <mergeCell ref="AW9:AZ9"/>
    <mergeCell ref="AS7:AV8"/>
    <mergeCell ref="AW7:AZ8"/>
    <mergeCell ref="B8:D8"/>
    <mergeCell ref="B9:D9"/>
    <mergeCell ref="E9:H9"/>
    <mergeCell ref="I9:L9"/>
    <mergeCell ref="M9:P9"/>
    <mergeCell ref="Q9:T9"/>
    <mergeCell ref="AS1:AU1"/>
    <mergeCell ref="AV1:AW1"/>
    <mergeCell ref="B5:I5"/>
    <mergeCell ref="J5:L5"/>
    <mergeCell ref="M5:N5"/>
    <mergeCell ref="B6:D6"/>
    <mergeCell ref="E6:AZ6"/>
    <mergeCell ref="U9:X9"/>
    <mergeCell ref="Y9:AB9"/>
    <mergeCell ref="U7:X8"/>
    <mergeCell ref="Y7:AB8"/>
    <mergeCell ref="AC7:AF8"/>
    <mergeCell ref="AG7:AJ8"/>
    <mergeCell ref="AK7:AN8"/>
    <mergeCell ref="AO7:AR8"/>
    <mergeCell ref="AY1:AZ1"/>
    <mergeCell ref="T3:AA3"/>
    <mergeCell ref="AB3:AD3"/>
    <mergeCell ref="AE3:AF3"/>
    <mergeCell ref="AO3:AU3"/>
    <mergeCell ref="AV3:AZ3"/>
    <mergeCell ref="AO4:AU4"/>
    <mergeCell ref="AV4:AZ4"/>
    <mergeCell ref="V4:AA4"/>
    <mergeCell ref="B10:D10"/>
    <mergeCell ref="E10:H10"/>
    <mergeCell ref="I10:L10"/>
    <mergeCell ref="M10:P10"/>
    <mergeCell ref="Q10:T10"/>
    <mergeCell ref="U10:X10"/>
    <mergeCell ref="AK11:AN11"/>
    <mergeCell ref="AO11:AR11"/>
    <mergeCell ref="AS11:AV11"/>
    <mergeCell ref="B11:D11"/>
    <mergeCell ref="I11:L11"/>
    <mergeCell ref="M11:P11"/>
    <mergeCell ref="Q11:T11"/>
    <mergeCell ref="U11:X11"/>
    <mergeCell ref="Y11:AB11"/>
    <mergeCell ref="AC11:AF11"/>
    <mergeCell ref="AG11:AJ11"/>
    <mergeCell ref="E11:H11"/>
    <mergeCell ref="Y10:AB10"/>
    <mergeCell ref="AC10:AF10"/>
    <mergeCell ref="AG10:AJ10"/>
    <mergeCell ref="AK10:AN10"/>
    <mergeCell ref="AO10:AR10"/>
    <mergeCell ref="AS10:AV10"/>
    <mergeCell ref="B12:D12"/>
    <mergeCell ref="E12:H12"/>
    <mergeCell ref="I12:L12"/>
    <mergeCell ref="M12:P12"/>
    <mergeCell ref="Q12:T12"/>
    <mergeCell ref="U12:X12"/>
    <mergeCell ref="AW12:AZ12"/>
    <mergeCell ref="B13:D13"/>
    <mergeCell ref="E13:H13"/>
    <mergeCell ref="I13:L13"/>
    <mergeCell ref="M13:P13"/>
    <mergeCell ref="Q13:T13"/>
    <mergeCell ref="U13:X13"/>
    <mergeCell ref="Y13:AB13"/>
    <mergeCell ref="AC13:AF13"/>
    <mergeCell ref="AG13:AJ13"/>
    <mergeCell ref="Y12:AB12"/>
    <mergeCell ref="AC12:AF12"/>
    <mergeCell ref="AG12:AJ12"/>
    <mergeCell ref="AK12:AN12"/>
    <mergeCell ref="AO12:AR12"/>
    <mergeCell ref="AS12:AV12"/>
    <mergeCell ref="AK13:AN13"/>
    <mergeCell ref="AC15:AF15"/>
    <mergeCell ref="AG15:AJ15"/>
    <mergeCell ref="Y14:AB14"/>
    <mergeCell ref="AC14:AF14"/>
    <mergeCell ref="AG14:AJ14"/>
    <mergeCell ref="AK14:AN14"/>
    <mergeCell ref="AO14:AR14"/>
    <mergeCell ref="AS14:AV14"/>
    <mergeCell ref="BB20:BM22"/>
    <mergeCell ref="BO20:BR22"/>
    <mergeCell ref="B21:D21"/>
    <mergeCell ref="E21:H22"/>
    <mergeCell ref="I21:L22"/>
    <mergeCell ref="M21:P22"/>
    <mergeCell ref="Q21:T22"/>
    <mergeCell ref="U21:X22"/>
    <mergeCell ref="Y21:AB22"/>
    <mergeCell ref="AC21:AF22"/>
    <mergeCell ref="AW21:AZ22"/>
    <mergeCell ref="B22:D22"/>
    <mergeCell ref="M19:N19"/>
    <mergeCell ref="B20:D20"/>
    <mergeCell ref="E20:AZ20"/>
    <mergeCell ref="BA20:BA28"/>
    <mergeCell ref="AG21:AJ22"/>
    <mergeCell ref="AK21:AN22"/>
    <mergeCell ref="AO21:AR22"/>
    <mergeCell ref="AS21:AV22"/>
    <mergeCell ref="B23:D23"/>
    <mergeCell ref="E23:H23"/>
    <mergeCell ref="I23:L23"/>
    <mergeCell ref="M23:P23"/>
    <mergeCell ref="Q23:T23"/>
    <mergeCell ref="U23:X23"/>
    <mergeCell ref="Y23:AB23"/>
    <mergeCell ref="AC23:AF23"/>
    <mergeCell ref="AG23:AJ23"/>
    <mergeCell ref="AK23:AN23"/>
    <mergeCell ref="AO23:AR23"/>
    <mergeCell ref="AS23:AV23"/>
    <mergeCell ref="AW23:AZ23"/>
    <mergeCell ref="B24:D24"/>
    <mergeCell ref="E24:H24"/>
    <mergeCell ref="I24:L24"/>
    <mergeCell ref="M24:P24"/>
    <mergeCell ref="Q24:T24"/>
    <mergeCell ref="AS24:AV24"/>
    <mergeCell ref="AW24:AZ24"/>
    <mergeCell ref="B25:D25"/>
    <mergeCell ref="E25:H25"/>
    <mergeCell ref="I25:L25"/>
    <mergeCell ref="M25:P25"/>
    <mergeCell ref="Q25:T25"/>
    <mergeCell ref="U25:X25"/>
    <mergeCell ref="Y25:AB25"/>
    <mergeCell ref="AC25:AF25"/>
    <mergeCell ref="U24:X24"/>
    <mergeCell ref="Y24:AB24"/>
    <mergeCell ref="AC24:AF24"/>
    <mergeCell ref="AG24:AJ24"/>
    <mergeCell ref="AK24:AN24"/>
    <mergeCell ref="AO24:AR24"/>
    <mergeCell ref="AG25:AJ25"/>
    <mergeCell ref="AK25:AN25"/>
    <mergeCell ref="AO25:AR25"/>
    <mergeCell ref="AS25:AV25"/>
    <mergeCell ref="AW25:AZ25"/>
    <mergeCell ref="AS26:AV26"/>
    <mergeCell ref="AW26:AZ26"/>
    <mergeCell ref="B27:D27"/>
    <mergeCell ref="E27:H27"/>
    <mergeCell ref="I27:L27"/>
    <mergeCell ref="M27:P27"/>
    <mergeCell ref="Q27:T27"/>
    <mergeCell ref="U27:X27"/>
    <mergeCell ref="Y27:AB27"/>
    <mergeCell ref="AC27:AF27"/>
    <mergeCell ref="U26:X26"/>
    <mergeCell ref="Y26:AB26"/>
    <mergeCell ref="AC26:AF26"/>
    <mergeCell ref="AG26:AJ26"/>
    <mergeCell ref="AK26:AN26"/>
    <mergeCell ref="AO26:AR26"/>
    <mergeCell ref="AG27:AJ27"/>
    <mergeCell ref="AK27:AN27"/>
    <mergeCell ref="AO27:AR27"/>
    <mergeCell ref="AS27:AV27"/>
    <mergeCell ref="AW27:AZ27"/>
    <mergeCell ref="AW28:AZ28"/>
    <mergeCell ref="B29:D29"/>
    <mergeCell ref="E29:H29"/>
    <mergeCell ref="I29:L29"/>
    <mergeCell ref="M29:P29"/>
    <mergeCell ref="Q29:T29"/>
    <mergeCell ref="U29:X29"/>
    <mergeCell ref="Y29:AB29"/>
    <mergeCell ref="AC29:AF29"/>
    <mergeCell ref="U28:X28"/>
    <mergeCell ref="Y28:AB28"/>
    <mergeCell ref="AC28:AF28"/>
    <mergeCell ref="AG28:AJ28"/>
    <mergeCell ref="AK28:AN28"/>
    <mergeCell ref="AO28:AR28"/>
    <mergeCell ref="AK31:AN31"/>
    <mergeCell ref="AO31:AR31"/>
    <mergeCell ref="AS31:AV31"/>
    <mergeCell ref="B28:D28"/>
    <mergeCell ref="E28:H28"/>
    <mergeCell ref="I28:L28"/>
    <mergeCell ref="M28:P28"/>
    <mergeCell ref="Q28:T28"/>
    <mergeCell ref="AS28:AV28"/>
    <mergeCell ref="AK30:AN30"/>
    <mergeCell ref="AO30:AR30"/>
    <mergeCell ref="AS30:AV30"/>
    <mergeCell ref="AG29:AJ29"/>
    <mergeCell ref="AK29:AN29"/>
    <mergeCell ref="AO29:AR29"/>
    <mergeCell ref="AS29:AV29"/>
    <mergeCell ref="B30:D30"/>
    <mergeCell ref="E30:H30"/>
    <mergeCell ref="I30:L30"/>
    <mergeCell ref="M30:P30"/>
    <mergeCell ref="Q30:T30"/>
    <mergeCell ref="U30:X30"/>
    <mergeCell ref="Y30:AB30"/>
    <mergeCell ref="AC30:AF30"/>
    <mergeCell ref="AG30:AJ30"/>
    <mergeCell ref="D69:BA69"/>
    <mergeCell ref="A71:BA71"/>
    <mergeCell ref="B67:G67"/>
    <mergeCell ref="H67:W67"/>
    <mergeCell ref="X67:Z67"/>
    <mergeCell ref="AA67:AH67"/>
    <mergeCell ref="AK45:AO46"/>
    <mergeCell ref="B47:F47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AA47:AE47"/>
    <mergeCell ref="AA54:AE54"/>
    <mergeCell ref="AA56:AE56"/>
    <mergeCell ref="G52:U52"/>
    <mergeCell ref="G53:U53"/>
    <mergeCell ref="G54:U54"/>
    <mergeCell ref="AB4:AF4"/>
    <mergeCell ref="V45:Z46"/>
    <mergeCell ref="AA45:AE46"/>
    <mergeCell ref="AF45:AH46"/>
    <mergeCell ref="AI45:AJ46"/>
    <mergeCell ref="H68:W68"/>
    <mergeCell ref="X68:Z68"/>
    <mergeCell ref="AA68:AH68"/>
    <mergeCell ref="AA51:AE51"/>
    <mergeCell ref="B31:H31"/>
    <mergeCell ref="I31:L31"/>
    <mergeCell ref="M31:P31"/>
    <mergeCell ref="Q31:T31"/>
    <mergeCell ref="U31:X31"/>
    <mergeCell ref="Y31:AB31"/>
    <mergeCell ref="AC31:AF31"/>
    <mergeCell ref="AG31:AJ31"/>
    <mergeCell ref="B26:D26"/>
    <mergeCell ref="E26:H26"/>
    <mergeCell ref="I26:L26"/>
    <mergeCell ref="M26:P26"/>
    <mergeCell ref="Q26:T26"/>
    <mergeCell ref="AC16:AF16"/>
    <mergeCell ref="AB5:AE5"/>
  </mergeCells>
  <conditionalFormatting sqref="E10:E17 AW10:AW14 Q10:Q17 U10:U17 Y10:Y17 AC10:AC17 AG10:AG17 AK10:AK17 AO10:AO17 AS10:AS17 I10:I17 M10:M17">
    <cfRule type="cellIs" dxfId="25" priority="23" operator="equal">
      <formula>0</formula>
    </cfRule>
  </conditionalFormatting>
  <conditionalFormatting sqref="I31:I33 M31:M33 Q31:Q33 U31:U33 Y31:Y33 AC31:AC33 AG31:AG33 AK31:AK33 AO31:AO33 AS31:AS33 AS41 AO41 AK41:AK43 AG41:AG43 AC41:AC43 Y41:Y43 U41:U43 Q41:Q43 M41:M43 I41:I43">
    <cfRule type="cellIs" dxfId="24" priority="21" operator="equal">
      <formula>0</formula>
    </cfRule>
  </conditionalFormatting>
  <conditionalFormatting sqref="E24:E30 AW24:AW28 Q24:Q30 U24:U30 Y24:Y30 AG24:AG30 AK24:AK30 AO24:AO30 AS24:AS30 I24:I30 M24:M30 AC24:AC30">
    <cfRule type="cellIs" dxfId="23" priority="19" operator="equal">
      <formula>0</formula>
    </cfRule>
  </conditionalFormatting>
  <conditionalFormatting sqref="BP10:BQ14 BP24:BQ28">
    <cfRule type="expression" dxfId="22" priority="9">
      <formula>$AB$3=1</formula>
    </cfRule>
    <cfRule type="expression" dxfId="21" priority="10">
      <formula>$AB$3=0.1</formula>
    </cfRule>
    <cfRule type="expression" dxfId="20" priority="11">
      <formula>$AB$3=0.001</formula>
    </cfRule>
    <cfRule type="expression" dxfId="19" priority="12">
      <formula>$AB$3=0.001</formula>
    </cfRule>
  </conditionalFormatting>
  <conditionalFormatting sqref="BC10:BL14">
    <cfRule type="expression" dxfId="18" priority="5">
      <formula>$AB$3=1</formula>
    </cfRule>
    <cfRule type="expression" dxfId="17" priority="6">
      <formula>$AB$3=0.1</formula>
    </cfRule>
    <cfRule type="expression" dxfId="16" priority="7">
      <formula>$AB$3=0.001</formula>
    </cfRule>
    <cfRule type="expression" dxfId="15" priority="8">
      <formula>$AB$3=0.001</formula>
    </cfRule>
  </conditionalFormatting>
  <conditionalFormatting sqref="BC24:BL28">
    <cfRule type="expression" dxfId="14" priority="1">
      <formula>$AB$3=1</formula>
    </cfRule>
    <cfRule type="expression" dxfId="13" priority="2">
      <formula>$AB$3=0.1</formula>
    </cfRule>
    <cfRule type="expression" dxfId="12" priority="3">
      <formula>$AB$3=0.001</formula>
    </cfRule>
    <cfRule type="expression" dxfId="11" priority="4">
      <formula>$AB$3=0.001</formula>
    </cfRule>
  </conditionalFormatting>
  <dataValidations count="1">
    <dataValidation type="list" allowBlank="1" showInputMessage="1" showErrorMessage="1" sqref="AB4:AF4" xr:uid="{061F7DEB-F2C3-4BE1-8371-5DE1D27B2A0D}">
      <formula1>$BB$1:$BB$2</formula1>
    </dataValidation>
  </dataValidations>
  <pageMargins left="0.19685039370078741" right="0.19685039370078741" top="0.19685039370078741" bottom="0.19685039370078741" header="0.51181102362204722" footer="0.19685039370078741"/>
  <pageSetup paperSize="9" fitToWidth="0" orientation="landscape" r:id="rId1"/>
  <headerFooter alignWithMargins="0">
    <oddFooter>&amp;L&amp;"Times New Roman,ธรรมดา"P-WI-09-TEM-003-3 R2 (15/08/67) P&amp;P/&amp;N</oddFooter>
  </headerFooter>
  <ignoredErrors>
    <ignoredError sqref="AK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locked="0" defaultSize="0" autoFill="0" autoLine="0" autoPict="0">
                <anchor moveWithCells="1">
                  <from>
                    <xdr:col>6</xdr:col>
                    <xdr:colOff>142875</xdr:colOff>
                    <xdr:row>1</xdr:row>
                    <xdr:rowOff>95250</xdr:rowOff>
                  </from>
                  <to>
                    <xdr:col>13</xdr:col>
                    <xdr:colOff>85725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locked="0" defaultSize="0" autoFill="0" autoLine="0" autoPict="0">
                <anchor moveWithCells="1">
                  <from>
                    <xdr:col>13</xdr:col>
                    <xdr:colOff>142875</xdr:colOff>
                    <xdr:row>1</xdr:row>
                    <xdr:rowOff>123825</xdr:rowOff>
                  </from>
                  <to>
                    <xdr:col>15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65DC4-5B50-48F8-9E30-EC1D589998C4}">
  <sheetPr codeName="Sheet9"/>
  <dimension ref="A1:BW42"/>
  <sheetViews>
    <sheetView tabSelected="1" topLeftCell="F1" zoomScale="115" zoomScaleNormal="115" workbookViewId="0">
      <selection activeCell="AG14" sqref="AG14:AJ14"/>
    </sheetView>
  </sheetViews>
  <sheetFormatPr defaultRowHeight="14.85" customHeight="1"/>
  <cols>
    <col min="1" max="4" width="2.85546875" style="106" customWidth="1"/>
    <col min="5" max="26" width="2.42578125" style="106" customWidth="1"/>
    <col min="27" max="29" width="2.85546875" style="106" customWidth="1"/>
    <col min="30" max="51" width="2.42578125" style="106" customWidth="1"/>
    <col min="52" max="52" width="4.140625" style="106" customWidth="1"/>
    <col min="53" max="53" width="12.42578125" style="106" customWidth="1"/>
    <col min="54" max="54" width="11" style="111" customWidth="1"/>
    <col min="55" max="64" width="10.28515625" style="111" customWidth="1"/>
    <col min="65" max="65" width="11" style="111" customWidth="1"/>
    <col min="66" max="66" width="1.7109375" style="111" customWidth="1"/>
    <col min="67" max="70" width="11" style="111" customWidth="1"/>
    <col min="71" max="71" width="9.140625" style="112"/>
    <col min="72" max="72" width="16.28515625" style="112" bestFit="1" customWidth="1"/>
    <col min="73" max="16384" width="9.140625" style="112"/>
  </cols>
  <sheetData>
    <row r="1" spans="1:72" ht="14.85" customHeight="1">
      <c r="B1" s="107"/>
      <c r="C1" s="107"/>
      <c r="D1" s="107"/>
      <c r="E1" s="107"/>
      <c r="F1" s="107"/>
      <c r="G1" s="107"/>
      <c r="H1" s="108"/>
      <c r="J1" s="107"/>
      <c r="K1" s="107"/>
      <c r="AS1" s="350" t="s">
        <v>5</v>
      </c>
      <c r="AT1" s="350"/>
      <c r="AU1" s="350"/>
      <c r="AV1" s="386">
        <f>Page1!AO1+1</f>
        <v>2</v>
      </c>
      <c r="AW1" s="386"/>
      <c r="AX1" s="109" t="s">
        <v>6</v>
      </c>
      <c r="AY1" s="386">
        <f>Page1!AR1</f>
        <v>1</v>
      </c>
      <c r="AZ1" s="386"/>
      <c r="BB1" s="182" t="s">
        <v>417</v>
      </c>
      <c r="BC1" s="111">
        <v>0.1</v>
      </c>
      <c r="BD1" s="110"/>
      <c r="BE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S1" s="111"/>
      <c r="BT1" s="111"/>
    </row>
    <row r="2" spans="1:72" ht="12.75" customHeight="1">
      <c r="AQ2" s="113"/>
      <c r="BB2" s="182" t="s">
        <v>418</v>
      </c>
      <c r="BC2" s="111">
        <v>0.44</v>
      </c>
      <c r="BD2" s="114"/>
      <c r="BE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S2" s="111"/>
      <c r="BT2" s="111"/>
    </row>
    <row r="3" spans="1:72" ht="12.75" customHeight="1">
      <c r="A3" s="115"/>
      <c r="B3" s="112"/>
      <c r="C3" s="116"/>
      <c r="D3" s="116"/>
      <c r="F3" s="117"/>
      <c r="G3" s="118"/>
      <c r="H3" s="184"/>
      <c r="O3" s="183"/>
      <c r="T3" s="387" t="s">
        <v>336</v>
      </c>
      <c r="U3" s="387"/>
      <c r="V3" s="387"/>
      <c r="W3" s="387"/>
      <c r="X3" s="387"/>
      <c r="Y3" s="387"/>
      <c r="Z3" s="387"/>
      <c r="AA3" s="387"/>
      <c r="AB3" s="541" t="str">
        <f>IF('Cal Ref'!$AB$3="","",'Cal Ref'!$AB$3)</f>
        <v/>
      </c>
      <c r="AC3" s="541"/>
      <c r="AD3" s="541"/>
      <c r="AE3" s="350" t="s">
        <v>92</v>
      </c>
      <c r="AF3" s="350"/>
      <c r="AO3" s="387" t="s">
        <v>7</v>
      </c>
      <c r="AP3" s="387"/>
      <c r="AQ3" s="387"/>
      <c r="AR3" s="387"/>
      <c r="AS3" s="387"/>
      <c r="AT3" s="387"/>
      <c r="AU3" s="387"/>
      <c r="AV3" s="391" t="str">
        <f>IF(Page1!AO6=""," "&amp;Page1!AO4&amp;Page1!AR4&amp;" "&amp;Page1!AT4," "&amp;Page1!AO4&amp;Page1!AR4&amp;" "&amp;"R"&amp;Page1!AO6)</f>
        <v xml:space="preserve"> /69 </v>
      </c>
      <c r="AW3" s="391"/>
      <c r="AX3" s="391"/>
      <c r="AY3" s="391"/>
      <c r="AZ3" s="391"/>
      <c r="BB3" s="106"/>
      <c r="BC3" s="106"/>
      <c r="BD3" s="114"/>
      <c r="BE3" s="114"/>
      <c r="BG3" s="114"/>
      <c r="BH3" s="114"/>
      <c r="BI3" s="114"/>
      <c r="BJ3" s="114"/>
      <c r="BK3" s="114"/>
      <c r="BL3" s="114"/>
      <c r="BM3" s="114"/>
      <c r="BN3" s="114"/>
      <c r="BO3" s="114"/>
      <c r="BP3" s="114"/>
      <c r="BQ3" s="114"/>
      <c r="BS3" s="111"/>
      <c r="BT3" s="111"/>
    </row>
    <row r="4" spans="1:72" ht="14.85" customHeight="1" thickBot="1">
      <c r="A4" s="119"/>
      <c r="B4" s="387" t="s">
        <v>8</v>
      </c>
      <c r="C4" s="387"/>
      <c r="D4" s="387"/>
      <c r="E4" s="387"/>
      <c r="F4" s="387"/>
      <c r="G4" s="387"/>
      <c r="H4" s="387"/>
      <c r="I4" s="387"/>
      <c r="J4" s="388"/>
      <c r="K4" s="388"/>
      <c r="L4" s="388"/>
      <c r="M4" s="350" t="s">
        <v>92</v>
      </c>
      <c r="N4" s="350"/>
      <c r="O4" s="120"/>
      <c r="P4" s="120"/>
      <c r="Q4" s="120"/>
      <c r="R4" s="120"/>
      <c r="S4" s="120"/>
      <c r="V4" s="116"/>
      <c r="W4" s="116"/>
      <c r="X4" s="116"/>
      <c r="Y4" s="116"/>
      <c r="Z4" s="116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387" t="s">
        <v>2</v>
      </c>
      <c r="AP4" s="387"/>
      <c r="AQ4" s="387"/>
      <c r="AR4" s="387"/>
      <c r="AS4" s="387"/>
      <c r="AT4" s="387"/>
      <c r="AU4" s="387"/>
      <c r="AV4" s="392">
        <f>Page1!AO5</f>
        <v>0</v>
      </c>
      <c r="AW4" s="392"/>
      <c r="AX4" s="392"/>
      <c r="AY4" s="392"/>
      <c r="AZ4" s="392"/>
      <c r="BA4" s="112"/>
    </row>
    <row r="5" spans="1:72" ht="11.25" customHeight="1" thickTop="1" thickBot="1">
      <c r="A5" s="121"/>
      <c r="B5" s="351" t="s">
        <v>9</v>
      </c>
      <c r="C5" s="352"/>
      <c r="D5" s="353"/>
      <c r="E5" s="354" t="s">
        <v>35</v>
      </c>
      <c r="F5" s="355"/>
      <c r="G5" s="355"/>
      <c r="H5" s="355"/>
      <c r="I5" s="355"/>
      <c r="J5" s="355"/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5"/>
      <c r="AP5" s="355"/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7" t="s">
        <v>427</v>
      </c>
      <c r="BB5" s="398" t="b">
        <v>0</v>
      </c>
      <c r="BC5" s="401" t="s">
        <v>338</v>
      </c>
      <c r="BD5" s="401"/>
      <c r="BE5" s="401"/>
      <c r="BF5" s="401"/>
      <c r="BG5" s="401"/>
      <c r="BH5" s="401"/>
      <c r="BI5" s="401"/>
      <c r="BJ5" s="401"/>
      <c r="BK5" s="401"/>
      <c r="BL5" s="401"/>
      <c r="BM5" s="402"/>
      <c r="BN5" s="112"/>
      <c r="BO5" s="407" t="b">
        <v>1</v>
      </c>
      <c r="BP5" s="393" t="s">
        <v>339</v>
      </c>
      <c r="BQ5" s="393"/>
      <c r="BR5" s="394"/>
    </row>
    <row r="6" spans="1:72" ht="11.25" customHeight="1" thickTop="1">
      <c r="A6" s="121"/>
      <c r="B6" s="374" t="s">
        <v>6</v>
      </c>
      <c r="C6" s="375"/>
      <c r="D6" s="376"/>
      <c r="E6" s="377" t="s">
        <v>340</v>
      </c>
      <c r="F6" s="378"/>
      <c r="G6" s="378"/>
      <c r="H6" s="378"/>
      <c r="I6" s="360" t="str">
        <f>IF($BB$5=TRUE,IF($BO$5=TRUE,"","P1"),IF($BO$5=TRUE,"CH1","P1"))</f>
        <v>CH1</v>
      </c>
      <c r="J6" s="361"/>
      <c r="K6" s="361"/>
      <c r="L6" s="361"/>
      <c r="M6" s="360" t="str">
        <f>IF($BB$5=TRUE,IF($BO$5=TRUE,"","P2"),IF($BO$5=TRUE,"CH1","P2"))</f>
        <v>CH1</v>
      </c>
      <c r="N6" s="361"/>
      <c r="O6" s="361"/>
      <c r="P6" s="361"/>
      <c r="Q6" s="360" t="str">
        <f>IF($BB$5=TRUE,IF($BO$5=TRUE,"","P3"),IF($BO$5=TRUE,"","P3"))</f>
        <v/>
      </c>
      <c r="R6" s="361"/>
      <c r="S6" s="361"/>
      <c r="T6" s="361"/>
      <c r="U6" s="360" t="str">
        <f>IF($BB$5=TRUE,IF($BO$5=TRUE,"","P4"),IF($BO$5=TRUE,"","P4"))</f>
        <v/>
      </c>
      <c r="V6" s="361"/>
      <c r="W6" s="361"/>
      <c r="X6" s="361"/>
      <c r="Y6" s="360" t="str">
        <f>IF($BB$5=TRUE,IF($BO$5=TRUE,"","P5"),IF($BO$5=TRUE,"","P5"))</f>
        <v/>
      </c>
      <c r="Z6" s="361"/>
      <c r="AA6" s="361"/>
      <c r="AB6" s="361"/>
      <c r="AC6" s="360" t="str">
        <f>IF($BB$5=TRUE,IF($BO$5=TRUE,"","P6"),IF($BO$5=TRUE,"","P6"))</f>
        <v/>
      </c>
      <c r="AD6" s="361"/>
      <c r="AE6" s="361"/>
      <c r="AF6" s="361"/>
      <c r="AG6" s="360" t="str">
        <f>IF($BB$5=TRUE,IF($BO$5=TRUE,"","P7"),IF($BO$5=TRUE,"","P7"))</f>
        <v/>
      </c>
      <c r="AH6" s="361"/>
      <c r="AI6" s="361"/>
      <c r="AJ6" s="361"/>
      <c r="AK6" s="360" t="str">
        <f>IF($BB$5=TRUE,IF($BO$5=TRUE,"","P8"),IF($BO$5=TRUE,"","P8"))</f>
        <v/>
      </c>
      <c r="AL6" s="361"/>
      <c r="AM6" s="361"/>
      <c r="AN6" s="361"/>
      <c r="AO6" s="360" t="str">
        <f>IF($BB$5=TRUE,IF($BO$5=TRUE,"","P9"),IF($BO$5=TRUE,"","P9"))</f>
        <v/>
      </c>
      <c r="AP6" s="361"/>
      <c r="AQ6" s="361"/>
      <c r="AR6" s="361"/>
      <c r="AS6" s="360" t="str">
        <f>IF($BB$5=TRUE,IF($BO$5=TRUE,"","P10"),IF($BO$5=TRUE,"","P10"))</f>
        <v/>
      </c>
      <c r="AT6" s="361"/>
      <c r="AU6" s="361"/>
      <c r="AV6" s="361"/>
      <c r="AW6" s="377" t="s">
        <v>340</v>
      </c>
      <c r="AX6" s="378"/>
      <c r="AY6" s="378"/>
      <c r="AZ6" s="378"/>
      <c r="BA6" s="358"/>
      <c r="BB6" s="399"/>
      <c r="BC6" s="403"/>
      <c r="BD6" s="403"/>
      <c r="BE6" s="403"/>
      <c r="BF6" s="403"/>
      <c r="BG6" s="403"/>
      <c r="BH6" s="403"/>
      <c r="BI6" s="403"/>
      <c r="BJ6" s="403"/>
      <c r="BK6" s="403"/>
      <c r="BL6" s="403"/>
      <c r="BM6" s="404"/>
      <c r="BN6" s="112"/>
      <c r="BO6" s="407"/>
      <c r="BP6" s="393"/>
      <c r="BQ6" s="393"/>
      <c r="BR6" s="394"/>
    </row>
    <row r="7" spans="1:72" ht="11.25" customHeight="1" thickBot="1">
      <c r="A7" s="122"/>
      <c r="B7" s="383" t="s">
        <v>0</v>
      </c>
      <c r="C7" s="384"/>
      <c r="D7" s="385"/>
      <c r="E7" s="379"/>
      <c r="F7" s="380"/>
      <c r="G7" s="380"/>
      <c r="H7" s="380"/>
      <c r="I7" s="362"/>
      <c r="J7" s="363"/>
      <c r="K7" s="363"/>
      <c r="L7" s="363"/>
      <c r="M7" s="362"/>
      <c r="N7" s="363"/>
      <c r="O7" s="363"/>
      <c r="P7" s="363"/>
      <c r="Q7" s="362"/>
      <c r="R7" s="363"/>
      <c r="S7" s="363"/>
      <c r="T7" s="363"/>
      <c r="U7" s="362"/>
      <c r="V7" s="363"/>
      <c r="W7" s="363"/>
      <c r="X7" s="363"/>
      <c r="Y7" s="362"/>
      <c r="Z7" s="363"/>
      <c r="AA7" s="363"/>
      <c r="AB7" s="363"/>
      <c r="AC7" s="362"/>
      <c r="AD7" s="363"/>
      <c r="AE7" s="363"/>
      <c r="AF7" s="363"/>
      <c r="AG7" s="362"/>
      <c r="AH7" s="363"/>
      <c r="AI7" s="363"/>
      <c r="AJ7" s="363"/>
      <c r="AK7" s="362"/>
      <c r="AL7" s="363"/>
      <c r="AM7" s="363"/>
      <c r="AN7" s="363"/>
      <c r="AO7" s="362"/>
      <c r="AP7" s="363"/>
      <c r="AQ7" s="363"/>
      <c r="AR7" s="363"/>
      <c r="AS7" s="362"/>
      <c r="AT7" s="363"/>
      <c r="AU7" s="363"/>
      <c r="AV7" s="363"/>
      <c r="AW7" s="379"/>
      <c r="AX7" s="380"/>
      <c r="AY7" s="380"/>
      <c r="AZ7" s="380"/>
      <c r="BA7" s="358"/>
      <c r="BB7" s="400"/>
      <c r="BC7" s="405"/>
      <c r="BD7" s="405"/>
      <c r="BE7" s="405"/>
      <c r="BF7" s="405"/>
      <c r="BG7" s="405"/>
      <c r="BH7" s="405"/>
      <c r="BI7" s="405"/>
      <c r="BJ7" s="405"/>
      <c r="BK7" s="405"/>
      <c r="BL7" s="405"/>
      <c r="BM7" s="406"/>
      <c r="BN7" s="112"/>
      <c r="BO7" s="407"/>
      <c r="BP7" s="393"/>
      <c r="BQ7" s="393"/>
      <c r="BR7" s="394"/>
    </row>
    <row r="8" spans="1:72" ht="14.85" customHeight="1" thickTop="1" thickBot="1">
      <c r="A8" s="122"/>
      <c r="B8" s="364" t="s">
        <v>11</v>
      </c>
      <c r="C8" s="365"/>
      <c r="D8" s="366"/>
      <c r="E8" s="367" t="s">
        <v>93</v>
      </c>
      <c r="F8" s="368"/>
      <c r="G8" s="368"/>
      <c r="H8" s="369"/>
      <c r="I8" s="367" t="s">
        <v>93</v>
      </c>
      <c r="J8" s="368"/>
      <c r="K8" s="368"/>
      <c r="L8" s="369"/>
      <c r="M8" s="367" t="s">
        <v>93</v>
      </c>
      <c r="N8" s="368"/>
      <c r="O8" s="368"/>
      <c r="P8" s="369"/>
      <c r="Q8" s="367" t="s">
        <v>93</v>
      </c>
      <c r="R8" s="368"/>
      <c r="S8" s="368"/>
      <c r="T8" s="369"/>
      <c r="U8" s="367" t="s">
        <v>93</v>
      </c>
      <c r="V8" s="368"/>
      <c r="W8" s="368"/>
      <c r="X8" s="369"/>
      <c r="Y8" s="367" t="s">
        <v>93</v>
      </c>
      <c r="Z8" s="368"/>
      <c r="AA8" s="368"/>
      <c r="AB8" s="369"/>
      <c r="AC8" s="367" t="s">
        <v>93</v>
      </c>
      <c r="AD8" s="368"/>
      <c r="AE8" s="368"/>
      <c r="AF8" s="369"/>
      <c r="AG8" s="367" t="s">
        <v>93</v>
      </c>
      <c r="AH8" s="368"/>
      <c r="AI8" s="368"/>
      <c r="AJ8" s="369"/>
      <c r="AK8" s="367" t="s">
        <v>93</v>
      </c>
      <c r="AL8" s="368"/>
      <c r="AM8" s="368"/>
      <c r="AN8" s="369"/>
      <c r="AO8" s="367" t="s">
        <v>93</v>
      </c>
      <c r="AP8" s="368"/>
      <c r="AQ8" s="368"/>
      <c r="AR8" s="369"/>
      <c r="AS8" s="367" t="s">
        <v>93</v>
      </c>
      <c r="AT8" s="368"/>
      <c r="AU8" s="368"/>
      <c r="AV8" s="369"/>
      <c r="AW8" s="367" t="s">
        <v>93</v>
      </c>
      <c r="AX8" s="368"/>
      <c r="AY8" s="368"/>
      <c r="AZ8" s="368"/>
      <c r="BA8" s="358"/>
      <c r="BB8" s="166" t="s">
        <v>340</v>
      </c>
      <c r="BC8" s="166" t="s">
        <v>183</v>
      </c>
      <c r="BD8" s="166" t="s">
        <v>184</v>
      </c>
      <c r="BE8" s="166" t="s">
        <v>185</v>
      </c>
      <c r="BF8" s="166" t="s">
        <v>186</v>
      </c>
      <c r="BG8" s="166" t="s">
        <v>187</v>
      </c>
      <c r="BH8" s="166" t="s">
        <v>188</v>
      </c>
      <c r="BI8" s="166" t="s">
        <v>189</v>
      </c>
      <c r="BJ8" s="166" t="s">
        <v>190</v>
      </c>
      <c r="BK8" s="166" t="s">
        <v>191</v>
      </c>
      <c r="BL8" s="166" t="s">
        <v>192</v>
      </c>
      <c r="BM8" s="166" t="s">
        <v>340</v>
      </c>
      <c r="BN8" s="123"/>
      <c r="BO8" s="167" t="s">
        <v>340</v>
      </c>
      <c r="BP8" s="166" t="s">
        <v>10</v>
      </c>
      <c r="BQ8" s="168" t="s">
        <v>10</v>
      </c>
      <c r="BR8" s="166" t="s">
        <v>340</v>
      </c>
    </row>
    <row r="9" spans="1:72" ht="14.1" customHeight="1" thickTop="1">
      <c r="A9" s="124"/>
      <c r="B9" s="370" t="s">
        <v>94</v>
      </c>
      <c r="C9" s="371"/>
      <c r="D9" s="372"/>
      <c r="E9" s="348">
        <f>IF($BB$5=TRUE,IF($BO$5=TRUE,"",BB9),IF($BO$5=TRUE,BO9,""))</f>
        <v>0</v>
      </c>
      <c r="F9" s="348"/>
      <c r="G9" s="348"/>
      <c r="H9" s="348"/>
      <c r="I9" s="347">
        <f>IF($BB$5=TRUE,IF($BO$5=TRUE,"",BC9),IF($BO$5=TRUE,BP9,""))</f>
        <v>0</v>
      </c>
      <c r="J9" s="347"/>
      <c r="K9" s="347"/>
      <c r="L9" s="347"/>
      <c r="M9" s="347">
        <f>IF($BB$5=TRUE,IF($BO$5=TRUE,"",BD9),IF($BO$5=TRUE,BQ9,""))</f>
        <v>0</v>
      </c>
      <c r="N9" s="347"/>
      <c r="O9" s="347"/>
      <c r="P9" s="347"/>
      <c r="Q9" s="347" t="str">
        <f>IF($BB$5=TRUE,IF($BO$5=TRUE,"",BE9),IF($BO$5=TRUE,"",""))</f>
        <v/>
      </c>
      <c r="R9" s="347"/>
      <c r="S9" s="347"/>
      <c r="T9" s="347"/>
      <c r="U9" s="347" t="str">
        <f>IF($BB$5=TRUE,IF($BO$5=TRUE,"",BF9),IF($BO$5=TRUE,"",""))</f>
        <v/>
      </c>
      <c r="V9" s="347"/>
      <c r="W9" s="347"/>
      <c r="X9" s="347"/>
      <c r="Y9" s="347" t="str">
        <f>IF($BB$5=TRUE,IF($BO$5=TRUE,"",BG9),IF($BO$5=TRUE,"",""))</f>
        <v/>
      </c>
      <c r="Z9" s="347"/>
      <c r="AA9" s="347"/>
      <c r="AB9" s="347"/>
      <c r="AC9" s="347" t="str">
        <f>IF($BB$5=TRUE,IF($BO$5=TRUE,"",BH9),IF($BO$5=TRUE,"",""))</f>
        <v/>
      </c>
      <c r="AD9" s="347"/>
      <c r="AE9" s="347"/>
      <c r="AF9" s="347"/>
      <c r="AG9" s="347" t="str">
        <f>IF($BB$5=TRUE,IF($BO$5=TRUE,"",BI9),IF($BO$5=TRUE,"",""))</f>
        <v/>
      </c>
      <c r="AH9" s="347"/>
      <c r="AI9" s="347"/>
      <c r="AJ9" s="347"/>
      <c r="AK9" s="347" t="str">
        <f>IF($BB$5=TRUE,IF($BO$5=TRUE,"",BJ9),IF($BO$5=TRUE,"",""))</f>
        <v/>
      </c>
      <c r="AL9" s="347"/>
      <c r="AM9" s="347"/>
      <c r="AN9" s="347"/>
      <c r="AO9" s="347" t="str">
        <f>IF($BB$5=TRUE,IF($BO$5=TRUE,"",BK9),IF($BO$5=TRUE,"",""))</f>
        <v/>
      </c>
      <c r="AP9" s="347"/>
      <c r="AQ9" s="347"/>
      <c r="AR9" s="347"/>
      <c r="AS9" s="347" t="str">
        <f>IF($BB$5=TRUE,IF($BO$5=TRUE,"",BL9),IF($BO$5=TRUE,"",""))</f>
        <v/>
      </c>
      <c r="AT9" s="347"/>
      <c r="AU9" s="347"/>
      <c r="AV9" s="347"/>
      <c r="AW9" s="348">
        <f>IF($BB$5=TRUE,IF($BO$5=TRUE,"",BM9),IF($BO$5=TRUE,BR9,""))</f>
        <v>0</v>
      </c>
      <c r="AX9" s="348"/>
      <c r="AY9" s="348"/>
      <c r="AZ9" s="408"/>
      <c r="BA9" s="358"/>
      <c r="BB9" s="222"/>
      <c r="BC9" s="185"/>
      <c r="BD9" s="185"/>
      <c r="BE9" s="185"/>
      <c r="BF9" s="185"/>
      <c r="BG9" s="185"/>
      <c r="BH9" s="185"/>
      <c r="BI9" s="185"/>
      <c r="BJ9" s="185"/>
      <c r="BK9" s="185"/>
      <c r="BL9" s="185"/>
      <c r="BM9" s="222"/>
      <c r="BN9" s="130"/>
      <c r="BO9" s="221"/>
      <c r="BP9" s="185"/>
      <c r="BQ9" s="185"/>
      <c r="BR9" s="221"/>
    </row>
    <row r="10" spans="1:72" ht="14.1" customHeight="1">
      <c r="A10" s="124"/>
      <c r="B10" s="313" t="s">
        <v>95</v>
      </c>
      <c r="C10" s="314"/>
      <c r="D10" s="315"/>
      <c r="E10" s="316">
        <f t="shared" ref="E10:E12" si="0">IF($BB$5=TRUE,IF($BO$5=TRUE,"",BB10),IF($BO$5=TRUE,BO10,""))</f>
        <v>0</v>
      </c>
      <c r="F10" s="316"/>
      <c r="G10" s="316"/>
      <c r="H10" s="316"/>
      <c r="I10" s="317">
        <f t="shared" ref="I10:I13" si="1">IF($BB$5=TRUE,IF($BO$5=TRUE,"",BC10),IF($BO$5=TRUE,BP10,""))</f>
        <v>0</v>
      </c>
      <c r="J10" s="317"/>
      <c r="K10" s="317"/>
      <c r="L10" s="317"/>
      <c r="M10" s="317">
        <f t="shared" ref="M10:M13" si="2">IF($BB$5=TRUE,IF($BO$5=TRUE,"",BD10),IF($BO$5=TRUE,BQ10,""))</f>
        <v>0</v>
      </c>
      <c r="N10" s="317"/>
      <c r="O10" s="317"/>
      <c r="P10" s="317"/>
      <c r="Q10" s="317" t="str">
        <f t="shared" ref="Q10:Q12" si="3">IF($BB$5=TRUE,IF($BO$5=TRUE,"",BE10),IF($BO$5=TRUE,"",""))</f>
        <v/>
      </c>
      <c r="R10" s="317"/>
      <c r="S10" s="317"/>
      <c r="T10" s="317"/>
      <c r="U10" s="317" t="str">
        <f t="shared" ref="U10:U13" si="4">IF($BB$5=TRUE,IF($BO$5=TRUE,"",BF10),IF($BO$5=TRUE,"",""))</f>
        <v/>
      </c>
      <c r="V10" s="317"/>
      <c r="W10" s="317"/>
      <c r="X10" s="317"/>
      <c r="Y10" s="317" t="str">
        <f t="shared" ref="Y10:Y13" si="5">IF($BB$5=TRUE,IF($BO$5=TRUE,"",BG10),IF($BO$5=TRUE,"",""))</f>
        <v/>
      </c>
      <c r="Z10" s="317"/>
      <c r="AA10" s="317"/>
      <c r="AB10" s="317"/>
      <c r="AC10" s="317" t="str">
        <f t="shared" ref="AC10:AC13" si="6">IF($BB$5=TRUE,IF($BO$5=TRUE,"",BH10),IF($BO$5=TRUE,"",""))</f>
        <v/>
      </c>
      <c r="AD10" s="317"/>
      <c r="AE10" s="317"/>
      <c r="AF10" s="317"/>
      <c r="AG10" s="317" t="str">
        <f t="shared" ref="AG10:AG13" si="7">IF($BB$5=TRUE,IF($BO$5=TRUE,"",BI10),IF($BO$5=TRUE,"",""))</f>
        <v/>
      </c>
      <c r="AH10" s="317"/>
      <c r="AI10" s="317"/>
      <c r="AJ10" s="317"/>
      <c r="AK10" s="317" t="str">
        <f t="shared" ref="AK10:AK13" si="8">IF($BB$5=TRUE,IF($BO$5=TRUE,"",BJ10),IF($BO$5=TRUE,"",""))</f>
        <v/>
      </c>
      <c r="AL10" s="317"/>
      <c r="AM10" s="317"/>
      <c r="AN10" s="317"/>
      <c r="AO10" s="317" t="str">
        <f t="shared" ref="AO10:AO13" si="9">IF($BB$5=TRUE,IF($BO$5=TRUE,"",BK10),IF($BO$5=TRUE,"",""))</f>
        <v/>
      </c>
      <c r="AP10" s="317"/>
      <c r="AQ10" s="317"/>
      <c r="AR10" s="317"/>
      <c r="AS10" s="317" t="str">
        <f t="shared" ref="AS10:AS13" si="10">IF($BB$5=TRUE,IF($BO$5=TRUE,"",BL10),IF($BO$5=TRUE,"",""))</f>
        <v/>
      </c>
      <c r="AT10" s="317"/>
      <c r="AU10" s="317"/>
      <c r="AV10" s="317"/>
      <c r="AW10" s="344">
        <f>IF($BB$5=TRUE,IF($BO$5=TRUE,"",BM10),IF($BO$5=TRUE,BR10,""))</f>
        <v>0</v>
      </c>
      <c r="AX10" s="345"/>
      <c r="AY10" s="345"/>
      <c r="AZ10" s="345"/>
      <c r="BA10" s="358"/>
      <c r="BB10" s="222"/>
      <c r="BC10" s="185"/>
      <c r="BD10" s="185"/>
      <c r="BE10" s="185"/>
      <c r="BF10" s="185"/>
      <c r="BG10" s="185"/>
      <c r="BH10" s="185"/>
      <c r="BI10" s="185"/>
      <c r="BJ10" s="185"/>
      <c r="BK10" s="185"/>
      <c r="BL10" s="185"/>
      <c r="BM10" s="222"/>
      <c r="BN10" s="130"/>
      <c r="BO10" s="221"/>
      <c r="BP10" s="185"/>
      <c r="BQ10" s="185"/>
      <c r="BR10" s="221"/>
    </row>
    <row r="11" spans="1:72" ht="14.1" customHeight="1">
      <c r="A11" s="124"/>
      <c r="B11" s="313" t="s">
        <v>96</v>
      </c>
      <c r="C11" s="314"/>
      <c r="D11" s="315"/>
      <c r="E11" s="316">
        <f t="shared" si="0"/>
        <v>0</v>
      </c>
      <c r="F11" s="316"/>
      <c r="G11" s="316"/>
      <c r="H11" s="316"/>
      <c r="I11" s="317">
        <f t="shared" si="1"/>
        <v>0</v>
      </c>
      <c r="J11" s="317"/>
      <c r="K11" s="317"/>
      <c r="L11" s="317"/>
      <c r="M11" s="317">
        <f t="shared" si="2"/>
        <v>0</v>
      </c>
      <c r="N11" s="317"/>
      <c r="O11" s="317"/>
      <c r="P11" s="317"/>
      <c r="Q11" s="317" t="str">
        <f t="shared" si="3"/>
        <v/>
      </c>
      <c r="R11" s="317"/>
      <c r="S11" s="317"/>
      <c r="T11" s="317"/>
      <c r="U11" s="317" t="str">
        <f t="shared" si="4"/>
        <v/>
      </c>
      <c r="V11" s="317"/>
      <c r="W11" s="317"/>
      <c r="X11" s="317"/>
      <c r="Y11" s="317" t="str">
        <f t="shared" si="5"/>
        <v/>
      </c>
      <c r="Z11" s="317"/>
      <c r="AA11" s="317"/>
      <c r="AB11" s="317"/>
      <c r="AC11" s="317" t="str">
        <f t="shared" si="6"/>
        <v/>
      </c>
      <c r="AD11" s="317"/>
      <c r="AE11" s="317"/>
      <c r="AF11" s="317"/>
      <c r="AG11" s="317" t="str">
        <f t="shared" si="7"/>
        <v/>
      </c>
      <c r="AH11" s="317"/>
      <c r="AI11" s="317"/>
      <c r="AJ11" s="317"/>
      <c r="AK11" s="317" t="str">
        <f t="shared" si="8"/>
        <v/>
      </c>
      <c r="AL11" s="317"/>
      <c r="AM11" s="317"/>
      <c r="AN11" s="317"/>
      <c r="AO11" s="317" t="str">
        <f t="shared" si="9"/>
        <v/>
      </c>
      <c r="AP11" s="317"/>
      <c r="AQ11" s="317"/>
      <c r="AR11" s="317"/>
      <c r="AS11" s="317" t="str">
        <f t="shared" si="10"/>
        <v/>
      </c>
      <c r="AT11" s="317"/>
      <c r="AU11" s="317"/>
      <c r="AV11" s="317"/>
      <c r="AW11" s="344">
        <f t="shared" ref="AW11:AW13" si="11">IF($BB$5=TRUE,IF($BO$5=TRUE,"",BM11),IF($BO$5=TRUE,BR11,""))</f>
        <v>0</v>
      </c>
      <c r="AX11" s="345"/>
      <c r="AY11" s="345"/>
      <c r="AZ11" s="345"/>
      <c r="BA11" s="358"/>
      <c r="BB11" s="222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222"/>
      <c r="BN11" s="130"/>
      <c r="BO11" s="221"/>
      <c r="BP11" s="185"/>
      <c r="BQ11" s="185"/>
      <c r="BR11" s="221"/>
    </row>
    <row r="12" spans="1:72" ht="14.1" customHeight="1">
      <c r="A12" s="124"/>
      <c r="B12" s="313" t="s">
        <v>97</v>
      </c>
      <c r="C12" s="314"/>
      <c r="D12" s="315"/>
      <c r="E12" s="316">
        <f t="shared" si="0"/>
        <v>0</v>
      </c>
      <c r="F12" s="316"/>
      <c r="G12" s="316"/>
      <c r="H12" s="316"/>
      <c r="I12" s="317">
        <f t="shared" si="1"/>
        <v>0</v>
      </c>
      <c r="J12" s="317"/>
      <c r="K12" s="317"/>
      <c r="L12" s="317"/>
      <c r="M12" s="317">
        <f t="shared" si="2"/>
        <v>0</v>
      </c>
      <c r="N12" s="317"/>
      <c r="O12" s="317"/>
      <c r="P12" s="317"/>
      <c r="Q12" s="317" t="str">
        <f t="shared" si="3"/>
        <v/>
      </c>
      <c r="R12" s="317"/>
      <c r="S12" s="317"/>
      <c r="T12" s="317"/>
      <c r="U12" s="317" t="str">
        <f t="shared" si="4"/>
        <v/>
      </c>
      <c r="V12" s="317"/>
      <c r="W12" s="317"/>
      <c r="X12" s="317"/>
      <c r="Y12" s="317" t="str">
        <f t="shared" si="5"/>
        <v/>
      </c>
      <c r="Z12" s="317"/>
      <c r="AA12" s="317"/>
      <c r="AB12" s="317"/>
      <c r="AC12" s="317" t="str">
        <f t="shared" si="6"/>
        <v/>
      </c>
      <c r="AD12" s="317"/>
      <c r="AE12" s="317"/>
      <c r="AF12" s="317"/>
      <c r="AG12" s="317" t="str">
        <f t="shared" si="7"/>
        <v/>
      </c>
      <c r="AH12" s="317"/>
      <c r="AI12" s="317"/>
      <c r="AJ12" s="317"/>
      <c r="AK12" s="317" t="str">
        <f t="shared" si="8"/>
        <v/>
      </c>
      <c r="AL12" s="317"/>
      <c r="AM12" s="317"/>
      <c r="AN12" s="317"/>
      <c r="AO12" s="317" t="str">
        <f t="shared" si="9"/>
        <v/>
      </c>
      <c r="AP12" s="317"/>
      <c r="AQ12" s="317"/>
      <c r="AR12" s="317"/>
      <c r="AS12" s="317" t="str">
        <f t="shared" si="10"/>
        <v/>
      </c>
      <c r="AT12" s="317"/>
      <c r="AU12" s="317"/>
      <c r="AV12" s="317"/>
      <c r="AW12" s="344">
        <f t="shared" si="11"/>
        <v>0</v>
      </c>
      <c r="AX12" s="345"/>
      <c r="AY12" s="345"/>
      <c r="AZ12" s="345"/>
      <c r="BA12" s="358"/>
      <c r="BB12" s="222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222"/>
      <c r="BN12" s="130"/>
      <c r="BO12" s="221"/>
      <c r="BP12" s="185"/>
      <c r="BQ12" s="185"/>
      <c r="BR12" s="221"/>
    </row>
    <row r="13" spans="1:72" ht="14.1" customHeight="1" thickBot="1">
      <c r="A13" s="124"/>
      <c r="B13" s="331" t="s">
        <v>98</v>
      </c>
      <c r="C13" s="332"/>
      <c r="D13" s="333"/>
      <c r="E13" s="334">
        <f>IF($BB$5=TRUE,IF($BO$5=TRUE,"",BB13),IF($BO$5=TRUE,BO13,""))</f>
        <v>0</v>
      </c>
      <c r="F13" s="334"/>
      <c r="G13" s="334"/>
      <c r="H13" s="334"/>
      <c r="I13" s="335">
        <f t="shared" si="1"/>
        <v>0</v>
      </c>
      <c r="J13" s="335"/>
      <c r="K13" s="335"/>
      <c r="L13" s="335"/>
      <c r="M13" s="335">
        <f t="shared" si="2"/>
        <v>0</v>
      </c>
      <c r="N13" s="335"/>
      <c r="O13" s="335"/>
      <c r="P13" s="335"/>
      <c r="Q13" s="335" t="str">
        <f>IF($BB$5=TRUE,IF($BO$5=TRUE,"",BE13),IF($BO$5=TRUE,"",""))</f>
        <v/>
      </c>
      <c r="R13" s="335"/>
      <c r="S13" s="335"/>
      <c r="T13" s="335"/>
      <c r="U13" s="335" t="str">
        <f t="shared" si="4"/>
        <v/>
      </c>
      <c r="V13" s="335"/>
      <c r="W13" s="335"/>
      <c r="X13" s="335"/>
      <c r="Y13" s="335" t="str">
        <f t="shared" si="5"/>
        <v/>
      </c>
      <c r="Z13" s="335"/>
      <c r="AA13" s="335"/>
      <c r="AB13" s="335"/>
      <c r="AC13" s="335" t="str">
        <f t="shared" si="6"/>
        <v/>
      </c>
      <c r="AD13" s="335"/>
      <c r="AE13" s="335"/>
      <c r="AF13" s="335"/>
      <c r="AG13" s="335" t="str">
        <f t="shared" si="7"/>
        <v/>
      </c>
      <c r="AH13" s="335"/>
      <c r="AI13" s="335"/>
      <c r="AJ13" s="335"/>
      <c r="AK13" s="335" t="str">
        <f t="shared" si="8"/>
        <v/>
      </c>
      <c r="AL13" s="335"/>
      <c r="AM13" s="335"/>
      <c r="AN13" s="335"/>
      <c r="AO13" s="335" t="str">
        <f t="shared" si="9"/>
        <v/>
      </c>
      <c r="AP13" s="335"/>
      <c r="AQ13" s="335"/>
      <c r="AR13" s="335"/>
      <c r="AS13" s="335" t="str">
        <f t="shared" si="10"/>
        <v/>
      </c>
      <c r="AT13" s="335"/>
      <c r="AU13" s="335"/>
      <c r="AV13" s="335"/>
      <c r="AW13" s="339">
        <f t="shared" si="11"/>
        <v>0</v>
      </c>
      <c r="AX13" s="340"/>
      <c r="AY13" s="340"/>
      <c r="AZ13" s="340"/>
      <c r="BA13" s="359"/>
      <c r="BB13" s="222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222"/>
      <c r="BN13" s="130"/>
      <c r="BO13" s="221"/>
      <c r="BP13" s="185"/>
      <c r="BQ13" s="185"/>
      <c r="BR13" s="221"/>
    </row>
    <row r="14" spans="1:72" ht="14.85" customHeight="1" thickTop="1">
      <c r="A14" s="125"/>
      <c r="B14" s="435" t="s">
        <v>48</v>
      </c>
      <c r="C14" s="435"/>
      <c r="D14" s="435"/>
      <c r="E14" s="343">
        <f>IF(E9="","",AVERAGE(E9:H13,AW9:AZ13))</f>
        <v>0</v>
      </c>
      <c r="F14" s="343"/>
      <c r="G14" s="343"/>
      <c r="H14" s="343"/>
      <c r="I14" s="336">
        <f>IF(I9="","",IF(BO5=TRUE,AVERAGE(I9:P13),AVERAGE(I9:L13)))</f>
        <v>0</v>
      </c>
      <c r="J14" s="336"/>
      <c r="K14" s="336"/>
      <c r="L14" s="336"/>
      <c r="M14" s="336" t="str">
        <f>IF(M9="","",IF(BO5=TRUE,"",AVERAGE(M9:P13)))</f>
        <v/>
      </c>
      <c r="N14" s="336"/>
      <c r="O14" s="336"/>
      <c r="P14" s="336"/>
      <c r="Q14" s="336" t="str">
        <f>IF(Q9="","",AVERAGE(Q9:T13))</f>
        <v/>
      </c>
      <c r="R14" s="336"/>
      <c r="S14" s="336"/>
      <c r="T14" s="336"/>
      <c r="U14" s="336" t="str">
        <f>IF(U9="","",AVERAGE(U9:X13))</f>
        <v/>
      </c>
      <c r="V14" s="336"/>
      <c r="W14" s="336"/>
      <c r="X14" s="336"/>
      <c r="Y14" s="336" t="str">
        <f t="shared" ref="Y14" si="12">IF(Y9="","",AVERAGE(Y9:AB13))</f>
        <v/>
      </c>
      <c r="Z14" s="336"/>
      <c r="AA14" s="336"/>
      <c r="AB14" s="336"/>
      <c r="AC14" s="336" t="str">
        <f>IF(AC9="","",AVERAGE(AC9:AF13))</f>
        <v/>
      </c>
      <c r="AD14" s="336"/>
      <c r="AE14" s="336"/>
      <c r="AF14" s="336"/>
      <c r="AG14" s="336" t="str">
        <f t="shared" ref="AG14" si="13">IF(AG9="","",AVERAGE(AG9:AJ13))</f>
        <v/>
      </c>
      <c r="AH14" s="336"/>
      <c r="AI14" s="336"/>
      <c r="AJ14" s="336"/>
      <c r="AK14" s="336" t="str">
        <f t="shared" ref="AK14" si="14">IF(AK9="","",AVERAGE(AK9:AN13))</f>
        <v/>
      </c>
      <c r="AL14" s="336"/>
      <c r="AM14" s="336"/>
      <c r="AN14" s="336"/>
      <c r="AO14" s="336" t="str">
        <f t="shared" ref="AO14" si="15">IF(AO9="","",AVERAGE(AO9:AR13))</f>
        <v/>
      </c>
      <c r="AP14" s="336"/>
      <c r="AQ14" s="336"/>
      <c r="AR14" s="336"/>
      <c r="AS14" s="336" t="str">
        <f t="shared" ref="AS14" si="16">IF(AS9="","",AVERAGE(AS9:AV13))</f>
        <v/>
      </c>
      <c r="AT14" s="336"/>
      <c r="AU14" s="336"/>
      <c r="AV14" s="336"/>
      <c r="AW14" s="112"/>
      <c r="AX14" s="112"/>
      <c r="AY14" s="112"/>
      <c r="AZ14" s="112"/>
      <c r="BA14" s="112"/>
    </row>
    <row r="15" spans="1:72" ht="14.85" customHeight="1" thickBot="1">
      <c r="A15" s="125"/>
      <c r="B15" s="434" t="s">
        <v>49</v>
      </c>
      <c r="C15" s="434"/>
      <c r="D15" s="434"/>
      <c r="E15" s="338">
        <f>IF(E9="","",STDEV(AW9:AZ13,E9:H13))</f>
        <v>0</v>
      </c>
      <c r="F15" s="338"/>
      <c r="G15" s="338"/>
      <c r="H15" s="338"/>
      <c r="I15" s="318">
        <f>IF(I9="","",IF($BO$5=TRUE,STDEV(I9:P13),STDEV(I9:L13)))</f>
        <v>0</v>
      </c>
      <c r="J15" s="318"/>
      <c r="K15" s="318"/>
      <c r="L15" s="318"/>
      <c r="M15" s="318" t="str">
        <f>IF(M9="","",IF($BO$5=TRUE,"",STDEV(M9:P13)))</f>
        <v/>
      </c>
      <c r="N15" s="318"/>
      <c r="O15" s="318"/>
      <c r="P15" s="318"/>
      <c r="Q15" s="318" t="str">
        <f t="shared" ref="Q15" si="17">IF(Q9="","",STDEV(Q9:T13))</f>
        <v/>
      </c>
      <c r="R15" s="318"/>
      <c r="S15" s="318"/>
      <c r="T15" s="318"/>
      <c r="U15" s="318" t="str">
        <f t="shared" ref="U15" si="18">IF(U9="","",STDEV(U9:X13))</f>
        <v/>
      </c>
      <c r="V15" s="318"/>
      <c r="W15" s="318"/>
      <c r="X15" s="318"/>
      <c r="Y15" s="318" t="str">
        <f t="shared" ref="Y15" si="19">IF(Y9="","",STDEV(Y9:AB13))</f>
        <v/>
      </c>
      <c r="Z15" s="318"/>
      <c r="AA15" s="318"/>
      <c r="AB15" s="318"/>
      <c r="AC15" s="318" t="str">
        <f t="shared" ref="AC15" si="20">IF(AC9="","",STDEV(AC9:AF13))</f>
        <v/>
      </c>
      <c r="AD15" s="318"/>
      <c r="AE15" s="318"/>
      <c r="AF15" s="318"/>
      <c r="AG15" s="318" t="str">
        <f t="shared" ref="AG15" si="21">IF(AG9="","",STDEV(AG9:AJ13))</f>
        <v/>
      </c>
      <c r="AH15" s="318"/>
      <c r="AI15" s="318"/>
      <c r="AJ15" s="318"/>
      <c r="AK15" s="318" t="str">
        <f t="shared" ref="AK15" si="22">IF(AK9="","",STDEV(AK9:AN13))</f>
        <v/>
      </c>
      <c r="AL15" s="318"/>
      <c r="AM15" s="318"/>
      <c r="AN15" s="318"/>
      <c r="AO15" s="318" t="str">
        <f t="shared" ref="AO15" si="23">IF(AO9="","",STDEV(AO9:AR13))</f>
        <v/>
      </c>
      <c r="AP15" s="318"/>
      <c r="AQ15" s="318"/>
      <c r="AR15" s="318"/>
      <c r="AS15" s="318" t="str">
        <f>IF(AS9="","",STDEV(AS9:AV13))</f>
        <v/>
      </c>
      <c r="AT15" s="318"/>
      <c r="AU15" s="318"/>
      <c r="AV15" s="318"/>
      <c r="AW15" s="112"/>
      <c r="AX15" s="112"/>
      <c r="AY15" s="112"/>
      <c r="AZ15" s="112"/>
      <c r="BA15" s="112"/>
    </row>
    <row r="16" spans="1:72" ht="8.25" customHeight="1" thickTop="1">
      <c r="A16" s="125"/>
      <c r="B16" s="126"/>
      <c r="C16" s="126"/>
      <c r="D16" s="126"/>
      <c r="E16" s="139"/>
      <c r="F16" s="139"/>
      <c r="G16" s="139"/>
      <c r="H16" s="139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12"/>
      <c r="AX16" s="112"/>
      <c r="AY16" s="112"/>
      <c r="AZ16" s="112"/>
      <c r="BA16" s="112"/>
    </row>
    <row r="17" spans="1:75" ht="14.25" customHeight="1" thickBot="1">
      <c r="A17" s="116"/>
      <c r="B17" s="106" t="s">
        <v>344</v>
      </c>
      <c r="C17" s="116"/>
      <c r="E17" s="116"/>
      <c r="H17" s="118"/>
      <c r="I17" s="159"/>
      <c r="J17" s="160"/>
      <c r="K17" s="160"/>
      <c r="L17" s="160"/>
      <c r="M17" s="159"/>
      <c r="N17" s="160"/>
      <c r="O17" s="160"/>
      <c r="P17" s="160"/>
      <c r="Q17" s="159"/>
      <c r="R17" s="160"/>
      <c r="S17" s="160"/>
      <c r="T17" s="160"/>
      <c r="U17" s="159"/>
      <c r="V17" s="160"/>
      <c r="W17" s="160"/>
      <c r="X17" s="160"/>
      <c r="Y17" s="159"/>
      <c r="Z17" s="160"/>
      <c r="AA17" s="160"/>
      <c r="AB17" s="160"/>
      <c r="AC17" s="159"/>
      <c r="AD17" s="160"/>
      <c r="AE17" s="160"/>
      <c r="AF17" s="160"/>
      <c r="AG17" s="159"/>
      <c r="AH17" s="160"/>
      <c r="AI17" s="160"/>
      <c r="AJ17" s="160"/>
      <c r="AK17" s="159"/>
      <c r="AL17" s="160"/>
      <c r="AM17" s="160"/>
      <c r="AN17" s="160"/>
      <c r="AO17" s="387"/>
      <c r="AP17" s="387"/>
      <c r="AQ17" s="387"/>
      <c r="AR17" s="387"/>
      <c r="AS17" s="387"/>
      <c r="AT17" s="387"/>
      <c r="AU17" s="387"/>
      <c r="AV17" s="391"/>
      <c r="AW17" s="391"/>
      <c r="AX17" s="391"/>
      <c r="AY17" s="391"/>
      <c r="AZ17" s="391"/>
      <c r="BA17" s="116"/>
      <c r="BU17" s="132"/>
      <c r="BV17" s="132"/>
    </row>
    <row r="18" spans="1:75" ht="14.85" customHeight="1" thickTop="1" thickBot="1">
      <c r="B18" s="468" t="s">
        <v>345</v>
      </c>
      <c r="C18" s="469"/>
      <c r="D18" s="469"/>
      <c r="E18" s="469"/>
      <c r="F18" s="469"/>
      <c r="G18" s="497" t="s">
        <v>346</v>
      </c>
      <c r="H18" s="497"/>
      <c r="I18" s="497"/>
      <c r="J18" s="497"/>
      <c r="K18" s="497"/>
      <c r="L18" s="497"/>
      <c r="M18" s="497"/>
      <c r="N18" s="497"/>
      <c r="O18" s="497"/>
      <c r="P18" s="497"/>
      <c r="Q18" s="497"/>
      <c r="R18" s="497"/>
      <c r="S18" s="497"/>
      <c r="T18" s="497"/>
      <c r="U18" s="497"/>
      <c r="V18" s="303" t="s">
        <v>395</v>
      </c>
      <c r="W18" s="303"/>
      <c r="X18" s="303"/>
      <c r="Y18" s="303"/>
      <c r="Z18" s="303"/>
      <c r="AA18" s="304" t="s">
        <v>396</v>
      </c>
      <c r="AB18" s="303"/>
      <c r="AC18" s="303"/>
      <c r="AD18" s="303"/>
      <c r="AE18" s="303"/>
      <c r="AF18" s="303" t="s">
        <v>347</v>
      </c>
      <c r="AG18" s="303"/>
      <c r="AH18" s="303"/>
      <c r="AI18" s="303" t="s">
        <v>348</v>
      </c>
      <c r="AJ18" s="303"/>
      <c r="AK18" s="304" t="s">
        <v>397</v>
      </c>
      <c r="AL18" s="303"/>
      <c r="AM18" s="303"/>
      <c r="AN18" s="303"/>
      <c r="AO18" s="303"/>
      <c r="AP18" s="480" t="s">
        <v>398</v>
      </c>
      <c r="AQ18" s="481"/>
      <c r="AR18" s="481"/>
      <c r="AS18" s="481"/>
      <c r="AT18" s="442" t="str">
        <f>IF(I6="","","1")</f>
        <v>1</v>
      </c>
      <c r="AU18" s="443"/>
      <c r="AV18" s="444"/>
      <c r="AW18" s="133"/>
      <c r="AX18" s="542" t="s">
        <v>413</v>
      </c>
      <c r="AY18" s="542"/>
      <c r="AZ18" s="542"/>
      <c r="BA18" s="542"/>
      <c r="BB18" s="162"/>
      <c r="BC18" s="157"/>
      <c r="BD18" s="157"/>
      <c r="BE18" s="157"/>
      <c r="BF18" s="157"/>
      <c r="BG18" s="157"/>
      <c r="BH18" s="157"/>
      <c r="BI18" s="158"/>
      <c r="BJ18" s="158"/>
      <c r="BK18" s="158"/>
      <c r="BL18" s="158"/>
      <c r="BM18" s="158"/>
      <c r="BN18" s="158"/>
      <c r="BO18" s="158"/>
      <c r="BP18" s="158"/>
      <c r="BQ18" s="158"/>
    </row>
    <row r="19" spans="1:75" ht="14.85" customHeight="1" thickTop="1" thickBot="1">
      <c r="A19" s="142"/>
      <c r="B19" s="468"/>
      <c r="C19" s="469"/>
      <c r="D19" s="469"/>
      <c r="E19" s="469"/>
      <c r="F19" s="469"/>
      <c r="G19" s="497"/>
      <c r="H19" s="497"/>
      <c r="I19" s="497"/>
      <c r="J19" s="497"/>
      <c r="K19" s="497"/>
      <c r="L19" s="497"/>
      <c r="M19" s="497"/>
      <c r="N19" s="497"/>
      <c r="O19" s="497"/>
      <c r="P19" s="497"/>
      <c r="Q19" s="497"/>
      <c r="R19" s="497"/>
      <c r="S19" s="497"/>
      <c r="T19" s="497"/>
      <c r="U19" s="497"/>
      <c r="V19" s="303"/>
      <c r="W19" s="303"/>
      <c r="X19" s="303"/>
      <c r="Y19" s="303"/>
      <c r="Z19" s="303"/>
      <c r="AA19" s="303"/>
      <c r="AB19" s="303"/>
      <c r="AC19" s="303"/>
      <c r="AD19" s="303"/>
      <c r="AE19" s="303"/>
      <c r="AF19" s="303"/>
      <c r="AG19" s="303"/>
      <c r="AH19" s="303"/>
      <c r="AI19" s="303"/>
      <c r="AJ19" s="303"/>
      <c r="AK19" s="303"/>
      <c r="AL19" s="303"/>
      <c r="AM19" s="303"/>
      <c r="AN19" s="303"/>
      <c r="AO19" s="303"/>
      <c r="AP19" s="482"/>
      <c r="AQ19" s="483"/>
      <c r="AR19" s="483"/>
      <c r="AS19" s="483"/>
      <c r="AT19" s="445"/>
      <c r="AU19" s="446"/>
      <c r="AV19" s="447"/>
      <c r="AW19" s="133"/>
      <c r="AX19" s="543" t="s">
        <v>340</v>
      </c>
      <c r="AY19" s="544"/>
      <c r="AZ19" s="544"/>
      <c r="BA19" s="545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112"/>
      <c r="BQ19" s="112"/>
      <c r="BR19" s="112"/>
    </row>
    <row r="20" spans="1:75" ht="14.85" customHeight="1" thickTop="1">
      <c r="A20" s="125"/>
      <c r="B20" s="325" t="s">
        <v>399</v>
      </c>
      <c r="C20" s="326"/>
      <c r="D20" s="326"/>
      <c r="E20" s="326"/>
      <c r="F20" s="326"/>
      <c r="G20" s="508" t="s">
        <v>349</v>
      </c>
      <c r="H20" s="508"/>
      <c r="I20" s="508"/>
      <c r="J20" s="508"/>
      <c r="K20" s="508"/>
      <c r="L20" s="508"/>
      <c r="M20" s="508"/>
      <c r="N20" s="508"/>
      <c r="O20" s="508"/>
      <c r="P20" s="508"/>
      <c r="Q20" s="508"/>
      <c r="R20" s="508"/>
      <c r="S20" s="508"/>
      <c r="T20" s="508"/>
      <c r="U20" s="508"/>
      <c r="V20" s="498">
        <f>'Cal Ref'!$V$47</f>
        <v>3.0000000000000001E-3</v>
      </c>
      <c r="W20" s="499"/>
      <c r="X20" s="499"/>
      <c r="Y20" s="499"/>
      <c r="Z20" s="149" t="s">
        <v>412</v>
      </c>
      <c r="AA20" s="329" t="s">
        <v>37</v>
      </c>
      <c r="AB20" s="329"/>
      <c r="AC20" s="329"/>
      <c r="AD20" s="329"/>
      <c r="AE20" s="329"/>
      <c r="AF20" s="512">
        <v>2</v>
      </c>
      <c r="AG20" s="512"/>
      <c r="AH20" s="512"/>
      <c r="AI20" s="512">
        <v>1</v>
      </c>
      <c r="AJ20" s="512"/>
      <c r="AK20" s="513">
        <f>(V20/AF20)*AI20</f>
        <v>1.5E-3</v>
      </c>
      <c r="AL20" s="513"/>
      <c r="AM20" s="513"/>
      <c r="AN20" s="513"/>
      <c r="AO20" s="514"/>
      <c r="AP20" s="484" t="str">
        <f t="shared" ref="AP20:AP31" si="24">IF($B$7="","","∞")</f>
        <v>∞</v>
      </c>
      <c r="AQ20" s="485"/>
      <c r="AR20" s="485"/>
      <c r="AS20" s="485"/>
      <c r="AT20" s="445"/>
      <c r="AU20" s="446"/>
      <c r="AV20" s="447"/>
      <c r="AW20" s="133"/>
      <c r="AX20" s="538" t="s">
        <v>414</v>
      </c>
      <c r="AY20" s="539"/>
      <c r="AZ20" s="539"/>
      <c r="BA20" s="186">
        <f>$E$14</f>
        <v>0</v>
      </c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</row>
    <row r="21" spans="1:75" ht="14.85" customHeight="1">
      <c r="A21" s="125"/>
      <c r="B21" s="327" t="s">
        <v>400</v>
      </c>
      <c r="C21" s="328"/>
      <c r="D21" s="328"/>
      <c r="E21" s="328"/>
      <c r="F21" s="328"/>
      <c r="G21" s="330" t="s">
        <v>350</v>
      </c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500">
        <f>'Cal Ref'!$V$48</f>
        <v>1.6000000000000001E-3</v>
      </c>
      <c r="W21" s="501"/>
      <c r="X21" s="501"/>
      <c r="Y21" s="501"/>
      <c r="Z21" s="150" t="s">
        <v>351</v>
      </c>
      <c r="AA21" s="308" t="s">
        <v>352</v>
      </c>
      <c r="AB21" s="308"/>
      <c r="AC21" s="308"/>
      <c r="AD21" s="308"/>
      <c r="AE21" s="308"/>
      <c r="AF21" s="397" t="s">
        <v>353</v>
      </c>
      <c r="AG21" s="397"/>
      <c r="AH21" s="397"/>
      <c r="AI21" s="397">
        <v>10</v>
      </c>
      <c r="AJ21" s="397"/>
      <c r="AK21" s="395">
        <f>(V21/SQRT(3))*AI21</f>
        <v>9.2376043070340128E-3</v>
      </c>
      <c r="AL21" s="395"/>
      <c r="AM21" s="395"/>
      <c r="AN21" s="395"/>
      <c r="AO21" s="396"/>
      <c r="AP21" s="472" t="str">
        <f t="shared" si="24"/>
        <v>∞</v>
      </c>
      <c r="AQ21" s="473"/>
      <c r="AR21" s="473"/>
      <c r="AS21" s="473"/>
      <c r="AT21" s="445"/>
      <c r="AU21" s="446"/>
      <c r="AV21" s="447"/>
      <c r="AW21" s="133"/>
      <c r="AX21" s="536" t="s">
        <v>415</v>
      </c>
      <c r="AY21" s="537"/>
      <c r="AZ21" s="537"/>
      <c r="BA21" s="187">
        <f>$E$15</f>
        <v>0</v>
      </c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112"/>
      <c r="BQ21" s="112"/>
      <c r="BR21" s="112"/>
    </row>
    <row r="22" spans="1:75" s="111" customFormat="1" ht="14.85" customHeight="1">
      <c r="A22" s="125"/>
      <c r="B22" s="327" t="s">
        <v>401</v>
      </c>
      <c r="C22" s="328"/>
      <c r="D22" s="328"/>
      <c r="E22" s="328"/>
      <c r="F22" s="328"/>
      <c r="G22" s="330" t="s">
        <v>354</v>
      </c>
      <c r="H22" s="330"/>
      <c r="I22" s="330"/>
      <c r="J22" s="330"/>
      <c r="K22" s="330"/>
      <c r="L22" s="330"/>
      <c r="M22" s="330"/>
      <c r="N22" s="330"/>
      <c r="O22" s="330"/>
      <c r="P22" s="330"/>
      <c r="Q22" s="330"/>
      <c r="R22" s="330"/>
      <c r="S22" s="330"/>
      <c r="T22" s="330"/>
      <c r="U22" s="330"/>
      <c r="V22" s="500">
        <f>'Cal Ref'!$V$49</f>
        <v>1E-3</v>
      </c>
      <c r="W22" s="501"/>
      <c r="X22" s="501"/>
      <c r="Y22" s="501"/>
      <c r="Z22" s="150" t="s">
        <v>351</v>
      </c>
      <c r="AA22" s="308" t="s">
        <v>352</v>
      </c>
      <c r="AB22" s="308"/>
      <c r="AC22" s="308"/>
      <c r="AD22" s="308"/>
      <c r="AE22" s="308"/>
      <c r="AF22" s="397">
        <v>2</v>
      </c>
      <c r="AG22" s="397"/>
      <c r="AH22" s="397"/>
      <c r="AI22" s="397">
        <v>10</v>
      </c>
      <c r="AJ22" s="397"/>
      <c r="AK22" s="395">
        <f>(V22/AF22)*AI22</f>
        <v>5.0000000000000001E-3</v>
      </c>
      <c r="AL22" s="395"/>
      <c r="AM22" s="395"/>
      <c r="AN22" s="395"/>
      <c r="AO22" s="396"/>
      <c r="AP22" s="472" t="str">
        <f t="shared" si="24"/>
        <v>∞</v>
      </c>
      <c r="AQ22" s="473"/>
      <c r="AR22" s="473"/>
      <c r="AS22" s="473"/>
      <c r="AT22" s="445"/>
      <c r="AU22" s="446"/>
      <c r="AV22" s="447"/>
      <c r="AW22" s="133"/>
      <c r="AX22" s="536" t="s">
        <v>10</v>
      </c>
      <c r="AY22" s="537"/>
      <c r="AZ22" s="537"/>
      <c r="BA22" s="540"/>
      <c r="BC22" s="112"/>
      <c r="BD22" s="112"/>
      <c r="BE22" s="112"/>
      <c r="BF22" s="112"/>
      <c r="BG22" s="112"/>
    </row>
    <row r="23" spans="1:75" s="111" customFormat="1" ht="14.85" customHeight="1">
      <c r="A23" s="125"/>
      <c r="B23" s="327" t="s">
        <v>402</v>
      </c>
      <c r="C23" s="328"/>
      <c r="D23" s="328"/>
      <c r="E23" s="328"/>
      <c r="F23" s="328"/>
      <c r="G23" s="330" t="s">
        <v>355</v>
      </c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330"/>
      <c r="V23" s="500">
        <f>'Cal Ref'!$V$50</f>
        <v>1E-3</v>
      </c>
      <c r="W23" s="501"/>
      <c r="X23" s="501"/>
      <c r="Y23" s="501"/>
      <c r="Z23" s="150" t="s">
        <v>351</v>
      </c>
      <c r="AA23" s="308" t="s">
        <v>352</v>
      </c>
      <c r="AB23" s="308"/>
      <c r="AC23" s="308"/>
      <c r="AD23" s="308"/>
      <c r="AE23" s="308"/>
      <c r="AF23" s="397" t="s">
        <v>353</v>
      </c>
      <c r="AG23" s="397"/>
      <c r="AH23" s="397"/>
      <c r="AI23" s="397">
        <v>10</v>
      </c>
      <c r="AJ23" s="397"/>
      <c r="AK23" s="395">
        <f>(V23/SQRT(3))*AI23</f>
        <v>5.773502691896258E-3</v>
      </c>
      <c r="AL23" s="395"/>
      <c r="AM23" s="395"/>
      <c r="AN23" s="395"/>
      <c r="AO23" s="396"/>
      <c r="AP23" s="472" t="str">
        <f t="shared" si="24"/>
        <v>∞</v>
      </c>
      <c r="AQ23" s="473"/>
      <c r="AR23" s="473"/>
      <c r="AS23" s="473"/>
      <c r="AT23" s="445"/>
      <c r="AU23" s="446"/>
      <c r="AV23" s="447"/>
      <c r="AW23" s="133"/>
      <c r="AX23" s="536" t="s">
        <v>414</v>
      </c>
      <c r="AY23" s="537"/>
      <c r="AZ23" s="537"/>
      <c r="BA23" s="187">
        <f>$I$14</f>
        <v>0</v>
      </c>
      <c r="BC23" s="112"/>
      <c r="BD23" s="112"/>
      <c r="BE23" s="112"/>
      <c r="BF23" s="112"/>
      <c r="BG23" s="112"/>
    </row>
    <row r="24" spans="1:75" s="111" customFormat="1" ht="14.85" customHeight="1">
      <c r="A24" s="125"/>
      <c r="B24" s="327" t="s">
        <v>403</v>
      </c>
      <c r="C24" s="328"/>
      <c r="D24" s="328"/>
      <c r="E24" s="328"/>
      <c r="F24" s="328"/>
      <c r="G24" s="330" t="s">
        <v>356</v>
      </c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502">
        <f>'Cal Ref'!$V$51</f>
        <v>4.9999999999999998E-7</v>
      </c>
      <c r="W24" s="503"/>
      <c r="X24" s="503"/>
      <c r="Y24" s="503"/>
      <c r="Z24" s="150" t="s">
        <v>412</v>
      </c>
      <c r="AA24" s="308" t="s">
        <v>352</v>
      </c>
      <c r="AB24" s="308"/>
      <c r="AC24" s="308"/>
      <c r="AD24" s="308"/>
      <c r="AE24" s="308"/>
      <c r="AF24" s="397" t="s">
        <v>353</v>
      </c>
      <c r="AG24" s="397"/>
      <c r="AH24" s="397"/>
      <c r="AI24" s="397">
        <v>1</v>
      </c>
      <c r="AJ24" s="397"/>
      <c r="AK24" s="436">
        <f>(V24/SQRT(3))*AI24</f>
        <v>2.8867513459481289E-7</v>
      </c>
      <c r="AL24" s="436"/>
      <c r="AM24" s="436"/>
      <c r="AN24" s="436"/>
      <c r="AO24" s="437"/>
      <c r="AP24" s="472" t="str">
        <f t="shared" si="24"/>
        <v>∞</v>
      </c>
      <c r="AQ24" s="473"/>
      <c r="AR24" s="473"/>
      <c r="AS24" s="473"/>
      <c r="AT24" s="445"/>
      <c r="AU24" s="446"/>
      <c r="AV24" s="447"/>
      <c r="AW24" s="133"/>
      <c r="AX24" s="536" t="s">
        <v>415</v>
      </c>
      <c r="AY24" s="537"/>
      <c r="AZ24" s="537"/>
      <c r="BA24" s="187">
        <f>$I$15</f>
        <v>0</v>
      </c>
      <c r="BC24" s="112"/>
      <c r="BD24" s="112"/>
      <c r="BE24" s="112"/>
      <c r="BF24" s="112"/>
      <c r="BG24" s="112"/>
    </row>
    <row r="25" spans="1:75" s="111" customFormat="1" ht="14.85" customHeight="1">
      <c r="A25" s="125"/>
      <c r="B25" s="327" t="s">
        <v>404</v>
      </c>
      <c r="C25" s="328"/>
      <c r="D25" s="328"/>
      <c r="E25" s="328"/>
      <c r="F25" s="328"/>
      <c r="G25" s="330" t="s">
        <v>357</v>
      </c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500">
        <f>'Cal Ref'!$V$52</f>
        <v>0.01</v>
      </c>
      <c r="W25" s="501"/>
      <c r="X25" s="501"/>
      <c r="Y25" s="501"/>
      <c r="Z25" s="150" t="s">
        <v>412</v>
      </c>
      <c r="AA25" s="308" t="s">
        <v>352</v>
      </c>
      <c r="AB25" s="308"/>
      <c r="AC25" s="308"/>
      <c r="AD25" s="308"/>
      <c r="AE25" s="308"/>
      <c r="AF25" s="397" t="s">
        <v>353</v>
      </c>
      <c r="AG25" s="397"/>
      <c r="AH25" s="397"/>
      <c r="AI25" s="397">
        <v>1</v>
      </c>
      <c r="AJ25" s="397"/>
      <c r="AK25" s="395">
        <f>(V25/SQRT(3))*AI25</f>
        <v>5.773502691896258E-3</v>
      </c>
      <c r="AL25" s="395"/>
      <c r="AM25" s="395"/>
      <c r="AN25" s="395"/>
      <c r="AO25" s="396"/>
      <c r="AP25" s="472" t="str">
        <f t="shared" si="24"/>
        <v>∞</v>
      </c>
      <c r="AQ25" s="473"/>
      <c r="AR25" s="473"/>
      <c r="AS25" s="473"/>
      <c r="AT25" s="445"/>
      <c r="AU25" s="446"/>
      <c r="AV25" s="447"/>
      <c r="AW25" s="133"/>
      <c r="AX25" s="527" t="s">
        <v>377</v>
      </c>
      <c r="AY25" s="528"/>
      <c r="AZ25" s="528"/>
      <c r="BA25" s="187">
        <f>BA20-BA23</f>
        <v>0</v>
      </c>
      <c r="BC25" s="112"/>
      <c r="BD25" s="112"/>
      <c r="BE25" s="112"/>
      <c r="BF25" s="112"/>
      <c r="BG25" s="112"/>
    </row>
    <row r="26" spans="1:75" s="111" customFormat="1" ht="14.85" customHeight="1">
      <c r="A26" s="125"/>
      <c r="B26" s="327" t="s">
        <v>405</v>
      </c>
      <c r="C26" s="328"/>
      <c r="D26" s="328"/>
      <c r="E26" s="328"/>
      <c r="F26" s="328"/>
      <c r="G26" s="330" t="s">
        <v>358</v>
      </c>
      <c r="H26" s="330"/>
      <c r="I26" s="330"/>
      <c r="J26" s="330"/>
      <c r="K26" s="330"/>
      <c r="L26" s="330"/>
      <c r="M26" s="330"/>
      <c r="N26" s="330"/>
      <c r="O26" s="330"/>
      <c r="P26" s="330"/>
      <c r="Q26" s="330"/>
      <c r="R26" s="330"/>
      <c r="S26" s="330"/>
      <c r="T26" s="330"/>
      <c r="U26" s="330"/>
      <c r="V26" s="500">
        <f>'Cal Ref'!$V$53</f>
        <v>0.01</v>
      </c>
      <c r="W26" s="501"/>
      <c r="X26" s="501"/>
      <c r="Y26" s="501"/>
      <c r="Z26" s="150" t="s">
        <v>412</v>
      </c>
      <c r="AA26" s="308" t="s">
        <v>352</v>
      </c>
      <c r="AB26" s="308"/>
      <c r="AC26" s="308"/>
      <c r="AD26" s="308"/>
      <c r="AE26" s="308"/>
      <c r="AF26" s="397" t="s">
        <v>353</v>
      </c>
      <c r="AG26" s="397"/>
      <c r="AH26" s="397"/>
      <c r="AI26" s="397">
        <v>1</v>
      </c>
      <c r="AJ26" s="397"/>
      <c r="AK26" s="395">
        <f t="shared" ref="AK26:AK28" si="25">(V26/SQRT(3))*AI26</f>
        <v>5.773502691896258E-3</v>
      </c>
      <c r="AL26" s="395"/>
      <c r="AM26" s="395"/>
      <c r="AN26" s="395"/>
      <c r="AO26" s="396"/>
      <c r="AP26" s="472" t="str">
        <f t="shared" si="24"/>
        <v>∞</v>
      </c>
      <c r="AQ26" s="473"/>
      <c r="AR26" s="473"/>
      <c r="AS26" s="473"/>
      <c r="AT26" s="445"/>
      <c r="AU26" s="446"/>
      <c r="AV26" s="447"/>
      <c r="AW26" s="133"/>
      <c r="AX26" s="527" t="s">
        <v>342</v>
      </c>
      <c r="AY26" s="528"/>
      <c r="AZ26" s="528"/>
      <c r="BA26" s="529"/>
      <c r="BS26" s="112"/>
      <c r="BT26" s="112"/>
      <c r="BU26" s="112"/>
      <c r="BV26" s="112"/>
      <c r="BW26" s="112"/>
    </row>
    <row r="27" spans="1:75" s="111" customFormat="1" ht="14.85" customHeight="1">
      <c r="A27" s="125"/>
      <c r="B27" s="327" t="s">
        <v>406</v>
      </c>
      <c r="C27" s="328"/>
      <c r="D27" s="328"/>
      <c r="E27" s="328"/>
      <c r="F27" s="328"/>
      <c r="G27" s="330" t="s">
        <v>359</v>
      </c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504" t="e">
        <f>$AB$3/2</f>
        <v>#VALUE!</v>
      </c>
      <c r="W27" s="505"/>
      <c r="X27" s="505"/>
      <c r="Y27" s="505"/>
      <c r="Z27" s="150" t="s">
        <v>412</v>
      </c>
      <c r="AA27" s="308" t="s">
        <v>352</v>
      </c>
      <c r="AB27" s="308"/>
      <c r="AC27" s="308"/>
      <c r="AD27" s="308"/>
      <c r="AE27" s="308"/>
      <c r="AF27" s="397" t="s">
        <v>353</v>
      </c>
      <c r="AG27" s="397"/>
      <c r="AH27" s="397"/>
      <c r="AI27" s="397">
        <v>1</v>
      </c>
      <c r="AJ27" s="397"/>
      <c r="AK27" s="395" t="e">
        <f t="shared" si="25"/>
        <v>#VALUE!</v>
      </c>
      <c r="AL27" s="395"/>
      <c r="AM27" s="395"/>
      <c r="AN27" s="395"/>
      <c r="AO27" s="396"/>
      <c r="AP27" s="472" t="str">
        <f t="shared" si="24"/>
        <v>∞</v>
      </c>
      <c r="AQ27" s="473"/>
      <c r="AR27" s="473"/>
      <c r="AS27" s="473"/>
      <c r="AT27" s="445"/>
      <c r="AU27" s="446"/>
      <c r="AV27" s="447"/>
      <c r="AW27" s="133"/>
      <c r="AX27" s="530" t="str">
        <f>'Cal Ref'!$I$31</f>
        <v/>
      </c>
      <c r="AY27" s="531"/>
      <c r="AZ27" s="531"/>
      <c r="BA27" s="532"/>
      <c r="BS27" s="112"/>
      <c r="BT27" s="112"/>
      <c r="BU27" s="112"/>
      <c r="BV27" s="112"/>
      <c r="BW27" s="112"/>
    </row>
    <row r="28" spans="1:75" s="111" customFormat="1" ht="14.85" customHeight="1">
      <c r="A28" s="125"/>
      <c r="B28" s="327" t="s">
        <v>407</v>
      </c>
      <c r="C28" s="328"/>
      <c r="D28" s="328"/>
      <c r="E28" s="328"/>
      <c r="F28" s="328"/>
      <c r="G28" s="330" t="s">
        <v>360</v>
      </c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504" t="str">
        <f>'Cal Ref'!$I$31</f>
        <v/>
      </c>
      <c r="W28" s="505"/>
      <c r="X28" s="505"/>
      <c r="Y28" s="505"/>
      <c r="Z28" s="150" t="s">
        <v>412</v>
      </c>
      <c r="AA28" s="308" t="s">
        <v>352</v>
      </c>
      <c r="AB28" s="308"/>
      <c r="AC28" s="308"/>
      <c r="AD28" s="308"/>
      <c r="AE28" s="308"/>
      <c r="AF28" s="397" t="s">
        <v>353</v>
      </c>
      <c r="AG28" s="397"/>
      <c r="AH28" s="397"/>
      <c r="AI28" s="397">
        <v>1</v>
      </c>
      <c r="AJ28" s="397"/>
      <c r="AK28" s="395" t="e">
        <f t="shared" si="25"/>
        <v>#VALUE!</v>
      </c>
      <c r="AL28" s="395"/>
      <c r="AM28" s="395"/>
      <c r="AN28" s="395"/>
      <c r="AO28" s="396"/>
      <c r="AP28" s="472" t="str">
        <f t="shared" si="24"/>
        <v>∞</v>
      </c>
      <c r="AQ28" s="473"/>
      <c r="AR28" s="473"/>
      <c r="AS28" s="473"/>
      <c r="AT28" s="445"/>
      <c r="AU28" s="446"/>
      <c r="AV28" s="447"/>
      <c r="AW28" s="133"/>
      <c r="AX28" s="527" t="s">
        <v>367</v>
      </c>
      <c r="AY28" s="528"/>
      <c r="AZ28" s="528"/>
      <c r="BA28" s="529"/>
      <c r="BS28" s="112"/>
      <c r="BT28" s="112"/>
      <c r="BU28" s="112"/>
      <c r="BV28" s="112"/>
      <c r="BW28" s="112"/>
    </row>
    <row r="29" spans="1:75" s="111" customFormat="1" ht="14.85" customHeight="1" thickBot="1">
      <c r="A29" s="125"/>
      <c r="B29" s="327" t="s">
        <v>408</v>
      </c>
      <c r="C29" s="328"/>
      <c r="D29" s="328"/>
      <c r="E29" s="328"/>
      <c r="F29" s="328"/>
      <c r="G29" s="330" t="s">
        <v>361</v>
      </c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504">
        <v>0</v>
      </c>
      <c r="W29" s="505"/>
      <c r="X29" s="505"/>
      <c r="Y29" s="505"/>
      <c r="Z29" s="150" t="s">
        <v>412</v>
      </c>
      <c r="AA29" s="308" t="s">
        <v>352</v>
      </c>
      <c r="AB29" s="308"/>
      <c r="AC29" s="308"/>
      <c r="AD29" s="308"/>
      <c r="AE29" s="308"/>
      <c r="AF29" s="397" t="s">
        <v>353</v>
      </c>
      <c r="AG29" s="397"/>
      <c r="AH29" s="397"/>
      <c r="AI29" s="397">
        <v>1</v>
      </c>
      <c r="AJ29" s="397"/>
      <c r="AK29" s="395">
        <f>(V29/SQRT(3))*AI29</f>
        <v>0</v>
      </c>
      <c r="AL29" s="395"/>
      <c r="AM29" s="395"/>
      <c r="AN29" s="395"/>
      <c r="AO29" s="396"/>
      <c r="AP29" s="472" t="str">
        <f t="shared" si="24"/>
        <v>∞</v>
      </c>
      <c r="AQ29" s="473"/>
      <c r="AR29" s="473"/>
      <c r="AS29" s="473"/>
      <c r="AT29" s="445"/>
      <c r="AU29" s="446"/>
      <c r="AV29" s="447"/>
      <c r="AW29" s="133"/>
      <c r="AX29" s="533" t="e">
        <f>$AK$36</f>
        <v>#VALUE!</v>
      </c>
      <c r="AY29" s="534"/>
      <c r="AZ29" s="534"/>
      <c r="BA29" s="535"/>
      <c r="BS29" s="112"/>
      <c r="BT29" s="112"/>
      <c r="BU29" s="112"/>
      <c r="BV29" s="112"/>
      <c r="BW29" s="112"/>
    </row>
    <row r="30" spans="1:75" s="111" customFormat="1" ht="14.85" customHeight="1" thickTop="1">
      <c r="A30" s="125"/>
      <c r="B30" s="327" t="s">
        <v>419</v>
      </c>
      <c r="C30" s="328"/>
      <c r="D30" s="328"/>
      <c r="E30" s="328"/>
      <c r="F30" s="328"/>
      <c r="G30" s="330" t="s">
        <v>421</v>
      </c>
      <c r="H30" s="330" t="s">
        <v>421</v>
      </c>
      <c r="I30" s="330" t="s">
        <v>421</v>
      </c>
      <c r="J30" s="330" t="s">
        <v>421</v>
      </c>
      <c r="K30" s="330" t="s">
        <v>421</v>
      </c>
      <c r="L30" s="330" t="s">
        <v>421</v>
      </c>
      <c r="M30" s="330" t="s">
        <v>421</v>
      </c>
      <c r="N30" s="330" t="s">
        <v>421</v>
      </c>
      <c r="O30" s="330" t="s">
        <v>421</v>
      </c>
      <c r="P30" s="330" t="s">
        <v>421</v>
      </c>
      <c r="Q30" s="330" t="s">
        <v>421</v>
      </c>
      <c r="R30" s="330" t="s">
        <v>421</v>
      </c>
      <c r="S30" s="330" t="s">
        <v>421</v>
      </c>
      <c r="T30" s="330" t="s">
        <v>421</v>
      </c>
      <c r="U30" s="330" t="s">
        <v>421</v>
      </c>
      <c r="V30" s="504">
        <f>'Cal Ref'!W$38</f>
        <v>0</v>
      </c>
      <c r="W30" s="505"/>
      <c r="X30" s="505"/>
      <c r="Y30" s="505"/>
      <c r="Z30" s="150" t="s">
        <v>412</v>
      </c>
      <c r="AA30" s="308" t="s">
        <v>352</v>
      </c>
      <c r="AB30" s="308"/>
      <c r="AC30" s="308"/>
      <c r="AD30" s="308"/>
      <c r="AE30" s="308"/>
      <c r="AF30" s="397" t="s">
        <v>353</v>
      </c>
      <c r="AG30" s="397"/>
      <c r="AH30" s="397"/>
      <c r="AI30" s="397">
        <v>1</v>
      </c>
      <c r="AJ30" s="397"/>
      <c r="AK30" s="395">
        <f t="shared" ref="AK30:AK31" si="26">(V30/SQRT(3))*AI30</f>
        <v>0</v>
      </c>
      <c r="AL30" s="395"/>
      <c r="AM30" s="395"/>
      <c r="AN30" s="395"/>
      <c r="AO30" s="396"/>
      <c r="AP30" s="472" t="str">
        <f t="shared" si="24"/>
        <v>∞</v>
      </c>
      <c r="AQ30" s="473"/>
      <c r="AR30" s="473"/>
      <c r="AS30" s="473"/>
      <c r="AT30" s="445"/>
      <c r="AU30" s="446"/>
      <c r="AV30" s="447"/>
      <c r="AW30" s="133"/>
      <c r="AX30" s="133"/>
      <c r="AY30" s="133"/>
      <c r="AZ30" s="133"/>
      <c r="BA30" s="133"/>
      <c r="BS30" s="112"/>
      <c r="BT30" s="112"/>
      <c r="BU30" s="112"/>
      <c r="BV30" s="112"/>
      <c r="BW30" s="112"/>
    </row>
    <row r="31" spans="1:75" s="111" customFormat="1" ht="14.85" customHeight="1">
      <c r="A31" s="125"/>
      <c r="B31" s="327" t="s">
        <v>420</v>
      </c>
      <c r="C31" s="328"/>
      <c r="D31" s="328"/>
      <c r="E31" s="328"/>
      <c r="F31" s="328"/>
      <c r="G31" s="330" t="s">
        <v>422</v>
      </c>
      <c r="H31" s="330" t="s">
        <v>422</v>
      </c>
      <c r="I31" s="330" t="s">
        <v>422</v>
      </c>
      <c r="J31" s="330" t="s">
        <v>422</v>
      </c>
      <c r="K31" s="330" t="s">
        <v>422</v>
      </c>
      <c r="L31" s="330" t="s">
        <v>422</v>
      </c>
      <c r="M31" s="330" t="s">
        <v>422</v>
      </c>
      <c r="N31" s="330" t="s">
        <v>422</v>
      </c>
      <c r="O31" s="330" t="s">
        <v>422</v>
      </c>
      <c r="P31" s="330" t="s">
        <v>422</v>
      </c>
      <c r="Q31" s="330" t="s">
        <v>422</v>
      </c>
      <c r="R31" s="330" t="s">
        <v>422</v>
      </c>
      <c r="S31" s="330" t="s">
        <v>422</v>
      </c>
      <c r="T31" s="330" t="s">
        <v>422</v>
      </c>
      <c r="U31" s="330" t="s">
        <v>422</v>
      </c>
      <c r="V31" s="504">
        <f>IF('Cal Ref'!$AB$4="New (สายใหม่)",0.1,0.44)</f>
        <v>0.44</v>
      </c>
      <c r="W31" s="505"/>
      <c r="X31" s="505"/>
      <c r="Y31" s="505"/>
      <c r="Z31" s="150" t="s">
        <v>412</v>
      </c>
      <c r="AA31" s="308" t="s">
        <v>352</v>
      </c>
      <c r="AB31" s="308"/>
      <c r="AC31" s="308"/>
      <c r="AD31" s="308"/>
      <c r="AE31" s="308"/>
      <c r="AF31" s="397" t="s">
        <v>353</v>
      </c>
      <c r="AG31" s="397"/>
      <c r="AH31" s="397"/>
      <c r="AI31" s="397">
        <v>1</v>
      </c>
      <c r="AJ31" s="397"/>
      <c r="AK31" s="395">
        <f t="shared" si="26"/>
        <v>0.25403411844343537</v>
      </c>
      <c r="AL31" s="395"/>
      <c r="AM31" s="395"/>
      <c r="AN31" s="395"/>
      <c r="AO31" s="396"/>
      <c r="AP31" s="472" t="str">
        <f t="shared" si="24"/>
        <v>∞</v>
      </c>
      <c r="AQ31" s="473"/>
      <c r="AR31" s="473"/>
      <c r="AS31" s="473"/>
      <c r="AT31" s="445"/>
      <c r="AU31" s="446"/>
      <c r="AV31" s="447"/>
      <c r="AW31" s="133"/>
      <c r="AX31" s="133"/>
      <c r="AY31" s="133"/>
      <c r="AZ31" s="133"/>
      <c r="BA31" s="133"/>
      <c r="BS31" s="112"/>
      <c r="BT31" s="112"/>
      <c r="BU31" s="112"/>
      <c r="BV31" s="112"/>
      <c r="BW31" s="112"/>
    </row>
    <row r="32" spans="1:75" s="111" customFormat="1" ht="14.85" customHeight="1">
      <c r="A32" s="125"/>
      <c r="B32" s="327" t="s">
        <v>409</v>
      </c>
      <c r="C32" s="328"/>
      <c r="D32" s="328"/>
      <c r="E32" s="328"/>
      <c r="F32" s="328"/>
      <c r="G32" s="330" t="s">
        <v>362</v>
      </c>
      <c r="H32" s="330"/>
      <c r="I32" s="330"/>
      <c r="J32" s="330"/>
      <c r="K32" s="330"/>
      <c r="L32" s="330"/>
      <c r="M32" s="330"/>
      <c r="N32" s="330"/>
      <c r="O32" s="330"/>
      <c r="P32" s="330"/>
      <c r="Q32" s="330"/>
      <c r="R32" s="330"/>
      <c r="S32" s="330"/>
      <c r="T32" s="330"/>
      <c r="U32" s="330"/>
      <c r="V32" s="504">
        <f>$E$15</f>
        <v>0</v>
      </c>
      <c r="W32" s="505"/>
      <c r="X32" s="505"/>
      <c r="Y32" s="505"/>
      <c r="Z32" s="150" t="s">
        <v>412</v>
      </c>
      <c r="AA32" s="308" t="s">
        <v>37</v>
      </c>
      <c r="AB32" s="308"/>
      <c r="AC32" s="308"/>
      <c r="AD32" s="308"/>
      <c r="AE32" s="308"/>
      <c r="AF32" s="397">
        <v>1</v>
      </c>
      <c r="AG32" s="397"/>
      <c r="AH32" s="397"/>
      <c r="AI32" s="397">
        <f>IF($B$7="","",1)</f>
        <v>1</v>
      </c>
      <c r="AJ32" s="397"/>
      <c r="AK32" s="395">
        <f t="shared" ref="AK32" si="27">(V32/AF32)*AI32</f>
        <v>0</v>
      </c>
      <c r="AL32" s="395"/>
      <c r="AM32" s="395"/>
      <c r="AN32" s="395"/>
      <c r="AO32" s="396"/>
      <c r="AP32" s="472">
        <v>9</v>
      </c>
      <c r="AQ32" s="473"/>
      <c r="AR32" s="473"/>
      <c r="AS32" s="473"/>
      <c r="AT32" s="445"/>
      <c r="AU32" s="446"/>
      <c r="AV32" s="447"/>
      <c r="AW32" s="133"/>
      <c r="AX32" s="133"/>
      <c r="AY32" s="133"/>
      <c r="AZ32" s="133"/>
      <c r="BA32" s="133"/>
      <c r="BS32" s="112"/>
      <c r="BT32" s="112"/>
      <c r="BU32" s="112"/>
      <c r="BV32" s="112"/>
      <c r="BW32" s="112"/>
    </row>
    <row r="33" spans="1:75" s="111" customFormat="1" ht="14.85" customHeight="1" thickBot="1">
      <c r="A33" s="125"/>
      <c r="B33" s="474" t="s">
        <v>410</v>
      </c>
      <c r="C33" s="475"/>
      <c r="D33" s="475"/>
      <c r="E33" s="475"/>
      <c r="F33" s="475"/>
      <c r="G33" s="453" t="s">
        <v>363</v>
      </c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453"/>
      <c r="U33" s="453"/>
      <c r="V33" s="506">
        <f>I$15</f>
        <v>0</v>
      </c>
      <c r="W33" s="507"/>
      <c r="X33" s="507"/>
      <c r="Y33" s="507"/>
      <c r="Z33" s="151" t="s">
        <v>412</v>
      </c>
      <c r="AA33" s="476" t="s">
        <v>37</v>
      </c>
      <c r="AB33" s="476"/>
      <c r="AC33" s="476"/>
      <c r="AD33" s="476"/>
      <c r="AE33" s="476"/>
      <c r="AF33" s="486">
        <v>1</v>
      </c>
      <c r="AG33" s="486"/>
      <c r="AH33" s="486"/>
      <c r="AI33" s="486">
        <f>IF($B$7="","",1)</f>
        <v>1</v>
      </c>
      <c r="AJ33" s="486"/>
      <c r="AK33" s="487">
        <f>(V33/AF33)*AI33</f>
        <v>0</v>
      </c>
      <c r="AL33" s="487"/>
      <c r="AM33" s="487"/>
      <c r="AN33" s="487"/>
      <c r="AO33" s="488"/>
      <c r="AP33" s="472">
        <v>9</v>
      </c>
      <c r="AQ33" s="473"/>
      <c r="AR33" s="473"/>
      <c r="AS33" s="473"/>
      <c r="AT33" s="445"/>
      <c r="AU33" s="446"/>
      <c r="AV33" s="447"/>
      <c r="AW33" s="133"/>
      <c r="AX33" s="133"/>
      <c r="AY33" s="133"/>
      <c r="AZ33" s="133"/>
      <c r="BA33" s="133"/>
      <c r="BS33" s="112"/>
      <c r="BT33" s="112"/>
      <c r="BU33" s="112"/>
      <c r="BV33" s="112"/>
      <c r="BW33" s="112"/>
    </row>
    <row r="34" spans="1:75" s="111" customFormat="1" ht="14.85" customHeight="1" thickTop="1" thickBot="1">
      <c r="A34" s="125"/>
      <c r="B34" s="451" t="s">
        <v>411</v>
      </c>
      <c r="C34" s="452"/>
      <c r="D34" s="452"/>
      <c r="E34" s="452"/>
      <c r="F34" s="452"/>
      <c r="G34" s="453" t="s">
        <v>364</v>
      </c>
      <c r="H34" s="453" t="s">
        <v>364</v>
      </c>
      <c r="I34" s="453" t="s">
        <v>364</v>
      </c>
      <c r="J34" s="453" t="s">
        <v>364</v>
      </c>
      <c r="K34" s="453" t="s">
        <v>364</v>
      </c>
      <c r="L34" s="453" t="s">
        <v>364</v>
      </c>
      <c r="M34" s="453" t="s">
        <v>364</v>
      </c>
      <c r="N34" s="453" t="s">
        <v>364</v>
      </c>
      <c r="O34" s="453" t="s">
        <v>364</v>
      </c>
      <c r="P34" s="453" t="s">
        <v>364</v>
      </c>
      <c r="Q34" s="453" t="s">
        <v>364</v>
      </c>
      <c r="R34" s="453" t="s">
        <v>364</v>
      </c>
      <c r="S34" s="453" t="s">
        <v>364</v>
      </c>
      <c r="T34" s="453" t="s">
        <v>364</v>
      </c>
      <c r="U34" s="453" t="s">
        <v>364</v>
      </c>
      <c r="V34" s="470"/>
      <c r="W34" s="471"/>
      <c r="X34" s="471"/>
      <c r="Y34" s="471"/>
      <c r="Z34" s="152"/>
      <c r="AA34" s="478" t="s">
        <v>37</v>
      </c>
      <c r="AB34" s="478"/>
      <c r="AC34" s="478"/>
      <c r="AD34" s="478"/>
      <c r="AE34" s="479"/>
      <c r="AF34" s="462"/>
      <c r="AG34" s="463"/>
      <c r="AH34" s="463"/>
      <c r="AI34" s="463"/>
      <c r="AJ34" s="464"/>
      <c r="AK34" s="456" t="e">
        <f>SQRT(SUMSQ(AK20:AK33))</f>
        <v>#VALUE!</v>
      </c>
      <c r="AL34" s="457"/>
      <c r="AM34" s="457"/>
      <c r="AN34" s="457"/>
      <c r="AO34" s="457"/>
      <c r="AP34" s="438" t="str">
        <f>IF(V33&lt;0.0000000001,"∞",(AK34^4/((AK33^4/AP33)+(AK32^4/AP32))))</f>
        <v>∞</v>
      </c>
      <c r="AQ34" s="439"/>
      <c r="AR34" s="439"/>
      <c r="AS34" s="439"/>
      <c r="AT34" s="445"/>
      <c r="AU34" s="446"/>
      <c r="AV34" s="447"/>
      <c r="AW34" s="133"/>
      <c r="AX34" s="133"/>
      <c r="AY34" s="133"/>
      <c r="AZ34" s="133"/>
      <c r="BA34" s="133"/>
      <c r="BS34" s="112"/>
      <c r="BT34" s="112"/>
      <c r="BU34" s="112"/>
      <c r="BV34" s="112"/>
      <c r="BW34" s="112"/>
    </row>
    <row r="35" spans="1:75" s="111" customFormat="1" ht="14.85" customHeight="1" thickTop="1" thickBot="1">
      <c r="A35" s="125"/>
      <c r="B35" s="451" t="s">
        <v>366</v>
      </c>
      <c r="C35" s="452"/>
      <c r="D35" s="452"/>
      <c r="E35" s="452"/>
      <c r="F35" s="452"/>
      <c r="G35" s="453" t="s">
        <v>367</v>
      </c>
      <c r="H35" s="453" t="s">
        <v>367</v>
      </c>
      <c r="I35" s="453" t="s">
        <v>367</v>
      </c>
      <c r="J35" s="453" t="s">
        <v>367</v>
      </c>
      <c r="K35" s="453" t="s">
        <v>367</v>
      </c>
      <c r="L35" s="453" t="s">
        <v>367</v>
      </c>
      <c r="M35" s="453" t="s">
        <v>367</v>
      </c>
      <c r="N35" s="453" t="s">
        <v>367</v>
      </c>
      <c r="O35" s="453" t="s">
        <v>367</v>
      </c>
      <c r="P35" s="453" t="s">
        <v>367</v>
      </c>
      <c r="Q35" s="453" t="s">
        <v>367</v>
      </c>
      <c r="R35" s="453" t="s">
        <v>367</v>
      </c>
      <c r="S35" s="453" t="s">
        <v>367</v>
      </c>
      <c r="T35" s="453" t="s">
        <v>367</v>
      </c>
      <c r="U35" s="453" t="s">
        <v>367</v>
      </c>
      <c r="V35" s="454"/>
      <c r="W35" s="455"/>
      <c r="X35" s="455"/>
      <c r="Y35" s="455"/>
      <c r="Z35" s="153"/>
      <c r="AA35" s="458" t="s">
        <v>368</v>
      </c>
      <c r="AB35" s="459"/>
      <c r="AC35" s="460">
        <f>IF(AP34="∞",2,TINV(0.0455,AP34))</f>
        <v>2</v>
      </c>
      <c r="AD35" s="461"/>
      <c r="AE35" s="461"/>
      <c r="AF35" s="465"/>
      <c r="AG35" s="466"/>
      <c r="AH35" s="466"/>
      <c r="AI35" s="466"/>
      <c r="AJ35" s="467"/>
      <c r="AK35" s="456" t="e">
        <f>AK34*AC35</f>
        <v>#VALUE!</v>
      </c>
      <c r="AL35" s="457"/>
      <c r="AM35" s="457"/>
      <c r="AN35" s="457"/>
      <c r="AO35" s="457"/>
      <c r="AP35" s="440" t="s">
        <v>365</v>
      </c>
      <c r="AQ35" s="441" t="s">
        <v>365</v>
      </c>
      <c r="AR35" s="441" t="s">
        <v>365</v>
      </c>
      <c r="AS35" s="441"/>
      <c r="AT35" s="448"/>
      <c r="AU35" s="449"/>
      <c r="AV35" s="450"/>
      <c r="AW35" s="133"/>
      <c r="AX35" s="133"/>
      <c r="AY35" s="133"/>
      <c r="AZ35" s="133"/>
      <c r="BA35" s="133"/>
      <c r="BS35" s="112"/>
      <c r="BT35" s="112"/>
      <c r="BU35" s="112"/>
      <c r="BV35" s="112"/>
      <c r="BW35" s="112"/>
    </row>
    <row r="36" spans="1:75" s="111" customFormat="1" ht="14.85" customHeight="1" thickTop="1" thickBot="1">
      <c r="A36" s="125"/>
      <c r="B36" s="161"/>
      <c r="C36" s="161"/>
      <c r="D36" s="161"/>
      <c r="E36" s="161"/>
      <c r="F36" s="161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54"/>
      <c r="W36" s="154"/>
      <c r="X36" s="154"/>
      <c r="Y36" s="154"/>
      <c r="Z36" s="155"/>
      <c r="AA36" s="156"/>
      <c r="AB36" s="156"/>
      <c r="AC36" s="494" t="s">
        <v>369</v>
      </c>
      <c r="AD36" s="495"/>
      <c r="AE36" s="489">
        <f>IF($J$4&gt;50,0.5,0.4)</f>
        <v>0.4</v>
      </c>
      <c r="AF36" s="489"/>
      <c r="AG36" s="490"/>
      <c r="AH36" s="491" t="s">
        <v>370</v>
      </c>
      <c r="AI36" s="489"/>
      <c r="AJ36" s="489"/>
      <c r="AK36" s="492" t="e">
        <f>IF(AK35&lt;AE36,AE36,ROUNDUP(AK35,2))</f>
        <v>#VALUE!</v>
      </c>
      <c r="AL36" s="492"/>
      <c r="AM36" s="492"/>
      <c r="AN36" s="492"/>
      <c r="AO36" s="493"/>
      <c r="AP36" s="156"/>
      <c r="AQ36" s="156"/>
      <c r="AR36" s="156"/>
      <c r="AS36" s="154"/>
      <c r="AT36" s="154"/>
      <c r="AU36" s="154"/>
      <c r="AV36" s="154"/>
      <c r="AW36" s="133"/>
      <c r="AX36" s="133"/>
      <c r="AY36" s="133"/>
      <c r="AZ36" s="133"/>
      <c r="BA36" s="133"/>
      <c r="BS36" s="112"/>
      <c r="BT36" s="112"/>
      <c r="BU36" s="112"/>
      <c r="BV36" s="112"/>
      <c r="BW36" s="112"/>
    </row>
    <row r="37" spans="1:75" s="111" customFormat="1" ht="14.85" customHeight="1" thickTop="1">
      <c r="A37" s="125"/>
      <c r="B37" s="161"/>
      <c r="C37" s="161"/>
      <c r="D37" s="161"/>
      <c r="E37" s="161"/>
      <c r="F37" s="16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33"/>
      <c r="W37" s="133"/>
      <c r="X37" s="133"/>
      <c r="Y37" s="133"/>
      <c r="Z37" s="143"/>
      <c r="AA37" s="144"/>
      <c r="AB37" s="144"/>
      <c r="AC37" s="144"/>
      <c r="AD37" s="144"/>
      <c r="AE37" s="144"/>
      <c r="AF37" s="145"/>
      <c r="AG37" s="145"/>
      <c r="AH37" s="145"/>
      <c r="AI37" s="145"/>
      <c r="AJ37" s="145"/>
      <c r="AK37" s="133"/>
      <c r="AL37" s="133"/>
      <c r="AM37" s="133"/>
      <c r="AN37" s="133"/>
      <c r="AO37" s="133"/>
      <c r="AP37" s="144"/>
      <c r="AQ37" s="144"/>
      <c r="AR37" s="144"/>
      <c r="AS37" s="133"/>
      <c r="AT37" s="133"/>
      <c r="AU37" s="133"/>
      <c r="AV37" s="133"/>
      <c r="AW37" s="133"/>
      <c r="AX37" s="136"/>
      <c r="AY37" s="136"/>
      <c r="AZ37" s="136"/>
      <c r="BA37" s="136"/>
      <c r="BS37" s="112"/>
      <c r="BT37" s="112"/>
      <c r="BU37" s="112"/>
      <c r="BV37" s="112"/>
      <c r="BW37" s="112"/>
    </row>
    <row r="38" spans="1:75" ht="14.85" customHeight="1">
      <c r="A38" s="125"/>
      <c r="B38" s="322" t="s">
        <v>12</v>
      </c>
      <c r="C38" s="322"/>
      <c r="D38" s="322"/>
      <c r="E38" s="322"/>
      <c r="F38" s="322"/>
      <c r="G38" s="322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06" t="s">
        <v>13</v>
      </c>
      <c r="Y38" s="306"/>
      <c r="Z38" s="306"/>
      <c r="AA38" s="324"/>
      <c r="AB38" s="324"/>
      <c r="AC38" s="324"/>
      <c r="AD38" s="324"/>
      <c r="AE38" s="324"/>
      <c r="AF38" s="324"/>
      <c r="AG38" s="324"/>
      <c r="AH38" s="324"/>
      <c r="AI38" s="130"/>
      <c r="AJ38" s="130"/>
      <c r="AK38" s="130"/>
      <c r="AL38" s="130"/>
      <c r="AM38" s="130"/>
      <c r="AN38" s="130"/>
      <c r="AO38" s="136"/>
      <c r="AP38" s="137"/>
      <c r="AQ38" s="137"/>
      <c r="AR38" s="137"/>
      <c r="AS38" s="137"/>
      <c r="AT38" s="137"/>
      <c r="AU38" s="136"/>
      <c r="AV38" s="136"/>
      <c r="AW38" s="136"/>
      <c r="AX38" s="135"/>
      <c r="AY38" s="135"/>
      <c r="AZ38" s="135"/>
      <c r="BA38" s="135"/>
    </row>
    <row r="39" spans="1:75" s="111" customFormat="1" ht="14.85" customHeight="1">
      <c r="A39" s="125"/>
      <c r="B39" s="137" t="s">
        <v>14</v>
      </c>
      <c r="C39" s="134"/>
      <c r="D39" s="134"/>
      <c r="E39" s="134"/>
      <c r="F39" s="134"/>
      <c r="G39" s="134"/>
      <c r="H39" s="305"/>
      <c r="I39" s="305"/>
      <c r="J39" s="305"/>
      <c r="K39" s="305"/>
      <c r="L39" s="305"/>
      <c r="M39" s="305"/>
      <c r="N39" s="305"/>
      <c r="O39" s="305"/>
      <c r="P39" s="305"/>
      <c r="Q39" s="305"/>
      <c r="R39" s="305"/>
      <c r="S39" s="305"/>
      <c r="T39" s="305"/>
      <c r="U39" s="305"/>
      <c r="V39" s="305"/>
      <c r="W39" s="305"/>
      <c r="X39" s="306" t="s">
        <v>13</v>
      </c>
      <c r="Y39" s="306"/>
      <c r="Z39" s="306"/>
      <c r="AA39" s="307"/>
      <c r="AB39" s="307"/>
      <c r="AC39" s="307"/>
      <c r="AD39" s="307"/>
      <c r="AE39" s="307"/>
      <c r="AF39" s="307"/>
      <c r="AG39" s="307"/>
      <c r="AH39" s="307"/>
      <c r="AI39" s="130"/>
      <c r="AJ39" s="130"/>
      <c r="AK39" s="130"/>
      <c r="AL39" s="130"/>
      <c r="AM39" s="130"/>
      <c r="AN39" s="130"/>
      <c r="AO39" s="137"/>
      <c r="AP39" s="137"/>
      <c r="AQ39" s="137"/>
      <c r="AR39" s="137"/>
      <c r="AS39" s="137"/>
      <c r="AT39" s="137"/>
      <c r="AU39" s="135"/>
      <c r="AV39" s="135"/>
      <c r="AW39" s="135"/>
      <c r="AX39" s="135"/>
      <c r="AY39" s="135"/>
      <c r="AZ39" s="135"/>
      <c r="BA39" s="135"/>
      <c r="BS39" s="112"/>
      <c r="BT39" s="112"/>
      <c r="BU39" s="112"/>
      <c r="BV39" s="112"/>
      <c r="BW39" s="112"/>
    </row>
    <row r="40" spans="1:75" s="111" customFormat="1" ht="14.85" customHeight="1">
      <c r="A40" s="125"/>
      <c r="B40" s="137" t="s">
        <v>15</v>
      </c>
      <c r="C40" s="137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0"/>
      <c r="AA40" s="170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S40" s="112"/>
      <c r="BT40" s="112"/>
      <c r="BU40" s="112"/>
      <c r="BV40" s="112"/>
      <c r="BW40" s="112"/>
    </row>
    <row r="41" spans="1:75" s="111" customFormat="1" ht="14.85" customHeight="1">
      <c r="A41" s="125"/>
      <c r="B41" s="137"/>
      <c r="C41" s="137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S41" s="112"/>
      <c r="BT41" s="112"/>
      <c r="BU41" s="112"/>
      <c r="BV41" s="112"/>
      <c r="BW41" s="112"/>
    </row>
    <row r="42" spans="1:75" s="111" customFormat="1" ht="14.85" customHeigh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S42" s="112"/>
      <c r="BT42" s="112"/>
      <c r="BU42" s="112"/>
      <c r="BV42" s="112"/>
      <c r="BW42" s="112"/>
    </row>
  </sheetData>
  <sheetProtection algorithmName="SHA-512" hashValue="Znr6wNIoKVSNxNPl7M78LvtWHW6M3LmADUJLP7Y+ShKcTsi8KR3K215M/EL6Og1XzXRTK2R69Uw8FqQGNwkLjg==" saltValue="If1AjkrMZv+6EzkapATLEg==" spinCount="100000" sheet="1" objects="1" scenarios="1"/>
  <protectedRanges>
    <protectedRange sqref="AA38:AA39" name="Range8_2"/>
    <protectedRange sqref="AA38:AA39" name="Range15_2"/>
    <protectedRange sqref="J4 AB3" name="Range3_3"/>
    <protectedRange sqref="G4" name="Range3_1"/>
    <protectedRange sqref="AY1" name="ช่วง2"/>
    <protectedRange sqref="AV1" name="ช่วง1"/>
  </protectedRanges>
  <mergeCells count="296">
    <mergeCell ref="H39:W39"/>
    <mergeCell ref="X39:Z39"/>
    <mergeCell ref="AA39:AH39"/>
    <mergeCell ref="AC36:AD36"/>
    <mergeCell ref="AE36:AG36"/>
    <mergeCell ref="AH36:AJ36"/>
    <mergeCell ref="AK36:AO36"/>
    <mergeCell ref="B38:G38"/>
    <mergeCell ref="H38:W38"/>
    <mergeCell ref="X38:Z38"/>
    <mergeCell ref="AA38:AH38"/>
    <mergeCell ref="AP34:AS34"/>
    <mergeCell ref="B35:F35"/>
    <mergeCell ref="G35:U35"/>
    <mergeCell ref="V35:Y35"/>
    <mergeCell ref="AA35:AB35"/>
    <mergeCell ref="AC35:AE35"/>
    <mergeCell ref="AK35:AO35"/>
    <mergeCell ref="AP35:AS35"/>
    <mergeCell ref="B34:F34"/>
    <mergeCell ref="G34:U34"/>
    <mergeCell ref="V34:Y34"/>
    <mergeCell ref="AA34:AE34"/>
    <mergeCell ref="AF34:AJ35"/>
    <mergeCell ref="AK34:AO34"/>
    <mergeCell ref="AK32:AO32"/>
    <mergeCell ref="AP32:AS32"/>
    <mergeCell ref="B33:F33"/>
    <mergeCell ref="G33:U33"/>
    <mergeCell ref="V33:Y33"/>
    <mergeCell ref="AA33:AE33"/>
    <mergeCell ref="AF33:AH33"/>
    <mergeCell ref="AI33:AJ33"/>
    <mergeCell ref="AK33:AO33"/>
    <mergeCell ref="AP33:AS33"/>
    <mergeCell ref="B32:F32"/>
    <mergeCell ref="G32:U32"/>
    <mergeCell ref="V32:Y32"/>
    <mergeCell ref="AA32:AE32"/>
    <mergeCell ref="AF32:AH32"/>
    <mergeCell ref="AI32:AJ32"/>
    <mergeCell ref="AK30:AO30"/>
    <mergeCell ref="AP30:AS30"/>
    <mergeCell ref="B31:F31"/>
    <mergeCell ref="G31:U31"/>
    <mergeCell ref="V31:Y31"/>
    <mergeCell ref="AA31:AE31"/>
    <mergeCell ref="AF31:AH31"/>
    <mergeCell ref="AI31:AJ31"/>
    <mergeCell ref="AK31:AO31"/>
    <mergeCell ref="AP31:AS31"/>
    <mergeCell ref="B30:F30"/>
    <mergeCell ref="G30:U30"/>
    <mergeCell ref="V30:Y30"/>
    <mergeCell ref="AA30:AE30"/>
    <mergeCell ref="AF30:AH30"/>
    <mergeCell ref="AI30:AJ30"/>
    <mergeCell ref="AK28:AO28"/>
    <mergeCell ref="AP28:AS28"/>
    <mergeCell ref="B29:F29"/>
    <mergeCell ref="G29:U29"/>
    <mergeCell ref="V29:Y29"/>
    <mergeCell ref="AA29:AE29"/>
    <mergeCell ref="AF29:AH29"/>
    <mergeCell ref="AI29:AJ29"/>
    <mergeCell ref="AK29:AO29"/>
    <mergeCell ref="AP29:AS29"/>
    <mergeCell ref="B28:F28"/>
    <mergeCell ref="G28:U28"/>
    <mergeCell ref="V28:Y28"/>
    <mergeCell ref="AA28:AE28"/>
    <mergeCell ref="AF28:AH28"/>
    <mergeCell ref="AI28:AJ28"/>
    <mergeCell ref="AK26:AO26"/>
    <mergeCell ref="AP26:AS26"/>
    <mergeCell ref="B27:F27"/>
    <mergeCell ref="G27:U27"/>
    <mergeCell ref="V27:Y27"/>
    <mergeCell ref="AA27:AE27"/>
    <mergeCell ref="AF27:AH27"/>
    <mergeCell ref="AI27:AJ27"/>
    <mergeCell ref="AK27:AO27"/>
    <mergeCell ref="AP27:AS27"/>
    <mergeCell ref="B26:F26"/>
    <mergeCell ref="G26:U26"/>
    <mergeCell ref="V26:Y26"/>
    <mergeCell ref="AA26:AE26"/>
    <mergeCell ref="AF26:AH26"/>
    <mergeCell ref="AI26:AJ26"/>
    <mergeCell ref="AK24:AO24"/>
    <mergeCell ref="AP24:AS24"/>
    <mergeCell ref="B25:F25"/>
    <mergeCell ref="G25:U25"/>
    <mergeCell ref="V25:Y25"/>
    <mergeCell ref="AA25:AE25"/>
    <mergeCell ref="AF25:AH25"/>
    <mergeCell ref="AI25:AJ25"/>
    <mergeCell ref="AK25:AO25"/>
    <mergeCell ref="AP25:AS25"/>
    <mergeCell ref="B24:F24"/>
    <mergeCell ref="G24:U24"/>
    <mergeCell ref="V24:Y24"/>
    <mergeCell ref="AA24:AE24"/>
    <mergeCell ref="AF24:AH24"/>
    <mergeCell ref="AI24:AJ24"/>
    <mergeCell ref="AK22:AO22"/>
    <mergeCell ref="AP22:AS22"/>
    <mergeCell ref="B23:F23"/>
    <mergeCell ref="G23:U23"/>
    <mergeCell ref="V23:Y23"/>
    <mergeCell ref="AA23:AE23"/>
    <mergeCell ref="AF23:AH23"/>
    <mergeCell ref="AI23:AJ23"/>
    <mergeCell ref="AK23:AO23"/>
    <mergeCell ref="AP23:AS23"/>
    <mergeCell ref="B22:F22"/>
    <mergeCell ref="G22:U22"/>
    <mergeCell ref="V22:Y22"/>
    <mergeCell ref="AA22:AE22"/>
    <mergeCell ref="AF22:AH22"/>
    <mergeCell ref="AI22:AJ22"/>
    <mergeCell ref="AP20:AS20"/>
    <mergeCell ref="B21:F21"/>
    <mergeCell ref="G21:U21"/>
    <mergeCell ref="V21:Y21"/>
    <mergeCell ref="AA21:AE21"/>
    <mergeCell ref="AF21:AH21"/>
    <mergeCell ref="AI21:AJ21"/>
    <mergeCell ref="AK21:AO21"/>
    <mergeCell ref="AP21:AS21"/>
    <mergeCell ref="AK15:AN15"/>
    <mergeCell ref="AO15:AR15"/>
    <mergeCell ref="AS15:AV15"/>
    <mergeCell ref="AS14:AV14"/>
    <mergeCell ref="AX18:BA18"/>
    <mergeCell ref="AX19:BA19"/>
    <mergeCell ref="AO17:AU17"/>
    <mergeCell ref="AV17:AZ17"/>
    <mergeCell ref="B18:F19"/>
    <mergeCell ref="G18:U19"/>
    <mergeCell ref="V18:Z19"/>
    <mergeCell ref="AA18:AE19"/>
    <mergeCell ref="AF18:AH19"/>
    <mergeCell ref="AI18:AJ19"/>
    <mergeCell ref="AK18:AO19"/>
    <mergeCell ref="AP18:AS19"/>
    <mergeCell ref="AT18:AV35"/>
    <mergeCell ref="B20:F20"/>
    <mergeCell ref="G20:U20"/>
    <mergeCell ref="V20:Y20"/>
    <mergeCell ref="AA20:AE20"/>
    <mergeCell ref="AF20:AH20"/>
    <mergeCell ref="AI20:AJ20"/>
    <mergeCell ref="AK20:AO20"/>
    <mergeCell ref="B15:D15"/>
    <mergeCell ref="E15:H15"/>
    <mergeCell ref="I15:L15"/>
    <mergeCell ref="M15:P15"/>
    <mergeCell ref="Q15:T15"/>
    <mergeCell ref="U15:X15"/>
    <mergeCell ref="Y15:AB15"/>
    <mergeCell ref="AC15:AF15"/>
    <mergeCell ref="AG15:AJ15"/>
    <mergeCell ref="AK12:AN12"/>
    <mergeCell ref="AO12:AR12"/>
    <mergeCell ref="U14:X14"/>
    <mergeCell ref="Y14:AB14"/>
    <mergeCell ref="AC14:AF14"/>
    <mergeCell ref="AG14:AJ14"/>
    <mergeCell ref="AK14:AN14"/>
    <mergeCell ref="AO14:AR14"/>
    <mergeCell ref="AG13:AJ13"/>
    <mergeCell ref="AK13:AN13"/>
    <mergeCell ref="AO13:AR13"/>
    <mergeCell ref="U11:X11"/>
    <mergeCell ref="Y11:AB11"/>
    <mergeCell ref="AC11:AF11"/>
    <mergeCell ref="AS13:AV13"/>
    <mergeCell ref="AW13:AZ13"/>
    <mergeCell ref="B14:D14"/>
    <mergeCell ref="E14:H14"/>
    <mergeCell ref="I14:L14"/>
    <mergeCell ref="M14:P14"/>
    <mergeCell ref="Q14:T14"/>
    <mergeCell ref="AS12:AV12"/>
    <mergeCell ref="AW12:AZ12"/>
    <mergeCell ref="B13:D13"/>
    <mergeCell ref="E13:H13"/>
    <mergeCell ref="I13:L13"/>
    <mergeCell ref="M13:P13"/>
    <mergeCell ref="Q13:T13"/>
    <mergeCell ref="U13:X13"/>
    <mergeCell ref="Y13:AB13"/>
    <mergeCell ref="AC13:AF13"/>
    <mergeCell ref="U12:X12"/>
    <mergeCell ref="Y12:AB12"/>
    <mergeCell ref="AC12:AF12"/>
    <mergeCell ref="AG12:AJ12"/>
    <mergeCell ref="B12:D12"/>
    <mergeCell ref="E12:H12"/>
    <mergeCell ref="I12:L12"/>
    <mergeCell ref="M12:P12"/>
    <mergeCell ref="Q12:T12"/>
    <mergeCell ref="B11:D11"/>
    <mergeCell ref="E11:H11"/>
    <mergeCell ref="I11:L11"/>
    <mergeCell ref="M11:P11"/>
    <mergeCell ref="Q11:T11"/>
    <mergeCell ref="AO8:AR8"/>
    <mergeCell ref="AG9:AJ9"/>
    <mergeCell ref="AK9:AN9"/>
    <mergeCell ref="AO9:AR9"/>
    <mergeCell ref="AS9:AV9"/>
    <mergeCell ref="AW9:AZ9"/>
    <mergeCell ref="AG11:AJ11"/>
    <mergeCell ref="AK11:AN11"/>
    <mergeCell ref="AO11:AR11"/>
    <mergeCell ref="AS11:AV11"/>
    <mergeCell ref="AW11:AZ11"/>
    <mergeCell ref="B10:D10"/>
    <mergeCell ref="E10:H10"/>
    <mergeCell ref="I10:L10"/>
    <mergeCell ref="M10:P10"/>
    <mergeCell ref="Q10:T10"/>
    <mergeCell ref="AS10:AV10"/>
    <mergeCell ref="AW10:AZ10"/>
    <mergeCell ref="AG10:AJ10"/>
    <mergeCell ref="AK10:AN10"/>
    <mergeCell ref="AO10:AR10"/>
    <mergeCell ref="U10:X10"/>
    <mergeCell ref="Y10:AB10"/>
    <mergeCell ref="AC10:AF10"/>
    <mergeCell ref="Q9:T9"/>
    <mergeCell ref="U9:X9"/>
    <mergeCell ref="Y9:AB9"/>
    <mergeCell ref="AC9:AF9"/>
    <mergeCell ref="U8:X8"/>
    <mergeCell ref="Y8:AB8"/>
    <mergeCell ref="AC8:AF8"/>
    <mergeCell ref="AG8:AJ8"/>
    <mergeCell ref="AK8:AN8"/>
    <mergeCell ref="BP5:BR7"/>
    <mergeCell ref="B6:D6"/>
    <mergeCell ref="E6:H7"/>
    <mergeCell ref="I6:L7"/>
    <mergeCell ref="M6:P7"/>
    <mergeCell ref="Q6:T7"/>
    <mergeCell ref="U6:X7"/>
    <mergeCell ref="Y6:AB7"/>
    <mergeCell ref="AC6:AF7"/>
    <mergeCell ref="AG6:AJ7"/>
    <mergeCell ref="B5:D5"/>
    <mergeCell ref="E5:AZ5"/>
    <mergeCell ref="BA5:BA13"/>
    <mergeCell ref="BB5:BB7"/>
    <mergeCell ref="BC5:BM7"/>
    <mergeCell ref="BO5:BO7"/>
    <mergeCell ref="AK6:AN7"/>
    <mergeCell ref="AO6:AR7"/>
    <mergeCell ref="AS8:AV8"/>
    <mergeCell ref="AW8:AZ8"/>
    <mergeCell ref="B9:D9"/>
    <mergeCell ref="E9:H9"/>
    <mergeCell ref="I9:L9"/>
    <mergeCell ref="M9:P9"/>
    <mergeCell ref="B4:I4"/>
    <mergeCell ref="J4:L4"/>
    <mergeCell ref="M4:N4"/>
    <mergeCell ref="B7:D7"/>
    <mergeCell ref="B8:D8"/>
    <mergeCell ref="E8:H8"/>
    <mergeCell ref="I8:L8"/>
    <mergeCell ref="M8:P8"/>
    <mergeCell ref="Q8:T8"/>
    <mergeCell ref="AS1:AU1"/>
    <mergeCell ref="AV1:AW1"/>
    <mergeCell ref="AY1:AZ1"/>
    <mergeCell ref="T3:AA3"/>
    <mergeCell ref="AB3:AD3"/>
    <mergeCell ref="AE3:AF3"/>
    <mergeCell ref="AO3:AU3"/>
    <mergeCell ref="AV3:AZ3"/>
    <mergeCell ref="AS6:AV7"/>
    <mergeCell ref="AW6:AZ7"/>
    <mergeCell ref="AO4:AU4"/>
    <mergeCell ref="AV4:AZ4"/>
    <mergeCell ref="AX26:BA26"/>
    <mergeCell ref="AX27:BA27"/>
    <mergeCell ref="AX28:BA28"/>
    <mergeCell ref="AX29:BA29"/>
    <mergeCell ref="AX23:AZ23"/>
    <mergeCell ref="AX24:AZ24"/>
    <mergeCell ref="AX20:AZ20"/>
    <mergeCell ref="AX21:AZ21"/>
    <mergeCell ref="AX25:AZ25"/>
    <mergeCell ref="AX22:BA22"/>
  </mergeCells>
  <conditionalFormatting sqref="E9:E16 AW9:AW13 AO9:AO16 AS9:AS16 BI18 BM18 BQ18 AK9:AK16 AG9:AG16 AC9:AC16 Y9:Y16 U9:U16 Q9:Q16 M9:M16 I9:I16">
    <cfRule type="cellIs" dxfId="10" priority="11" operator="equal">
      <formula>0</formula>
    </cfRule>
  </conditionalFormatting>
  <conditionalFormatting sqref="BP9:BQ13">
    <cfRule type="expression" dxfId="9" priority="5">
      <formula>$AB$3=1</formula>
    </cfRule>
    <cfRule type="expression" dxfId="8" priority="6">
      <formula>$AB$3=0.1</formula>
    </cfRule>
    <cfRule type="expression" dxfId="7" priority="7">
      <formula>$AB$3=0.001</formula>
    </cfRule>
    <cfRule type="expression" dxfId="6" priority="8">
      <formula>$AB$3=0.001</formula>
    </cfRule>
  </conditionalFormatting>
  <conditionalFormatting sqref="BC9:BL13">
    <cfRule type="expression" dxfId="5" priority="1">
      <formula>$AB$3=1</formula>
    </cfRule>
    <cfRule type="expression" dxfId="4" priority="2">
      <formula>$AB$3=0.1</formula>
    </cfRule>
    <cfRule type="expression" dxfId="3" priority="3">
      <formula>$AB$3=0.001</formula>
    </cfRule>
    <cfRule type="expression" dxfId="2" priority="4">
      <formula>$AB$3=0.001</formula>
    </cfRule>
  </conditionalFormatting>
  <pageMargins left="0.19685039370078741" right="0.19685039370078741" top="0.19685039370078741" bottom="0.19685039370078741" header="0.51181102362204722" footer="0.19685039370078741"/>
  <pageSetup paperSize="9" fitToWidth="0" orientation="landscape" r:id="rId1"/>
  <headerFooter alignWithMargins="0">
    <oddFooter>&amp;L&amp;"Times New Roman,ธรรมดา"P-WI-09-TEM-003-3 R2 (15/08/67) P&amp;P/&amp;N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3B5B3F-6347-42C3-9040-5CFD91123A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Certificate</vt:lpstr>
      <vt:lpstr>Page1</vt:lpstr>
      <vt:lpstr>DTM</vt:lpstr>
      <vt:lpstr>Data</vt:lpstr>
      <vt:lpstr>Data (2)</vt:lpstr>
      <vt:lpstr>STD</vt:lpstr>
      <vt:lpstr>Cal Ref</vt:lpstr>
      <vt:lpstr>Cal 1</vt:lpstr>
      <vt:lpstr>'Cal 1'!Name.Personnel</vt:lpstr>
      <vt:lpstr>'Cal Ref'!Name.Personnel</vt:lpstr>
      <vt:lpstr>Name.Personnel</vt:lpstr>
      <vt:lpstr>'Cal 1'!Print_Area</vt:lpstr>
      <vt:lpstr>'Cal Ref'!Print_Area</vt:lpstr>
      <vt:lpstr>Certificate!Print_Area</vt:lpstr>
      <vt:lpstr>Page1!Print_Area</vt:lpstr>
      <vt:lpstr>S_TEM_001</vt:lpstr>
      <vt:lpstr>W_TEM_001</vt:lpstr>
      <vt:lpstr>W_TEM_002</vt:lpstr>
      <vt:lpstr>W_TEM_016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iLLuSioN</dc:creator>
  <cp:lastModifiedBy>Army Medical</cp:lastModifiedBy>
  <cp:lastPrinted>2025-08-19T03:27:09Z</cp:lastPrinted>
  <dcterms:created xsi:type="dcterms:W3CDTF">2006-04-26T11:43:29Z</dcterms:created>
  <dcterms:modified xsi:type="dcterms:W3CDTF">2026-06-17T05:06:07Z</dcterms:modified>
</cp:coreProperties>
</file>