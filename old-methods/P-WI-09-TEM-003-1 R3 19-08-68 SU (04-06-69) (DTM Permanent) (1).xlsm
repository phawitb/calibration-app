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เวิร์กบุ๊กนี้" defaultThemeVersion="124226"/>
  <mc:AlternateContent xmlns:mc="http://schemas.openxmlformats.org/markup-compatibility/2006">
    <mc:Choice Requires="x15">
      <x15ac:absPath xmlns:x15ac="http://schemas.microsoft.com/office/spreadsheetml/2010/11/ac" url="D:\ย้ายมาจากไดรฟ์ C\desktop\งาน Iab ISO\1 QM-QP Master\P โปรแกรม\"/>
    </mc:Choice>
  </mc:AlternateContent>
  <xr:revisionPtr revIDLastSave="0" documentId="13_ncr:1_{C194F8B1-1124-4E13-8C1E-F26FF5AAFCD2}" xr6:coauthVersionLast="47" xr6:coauthVersionMax="47" xr10:uidLastSave="{00000000-0000-0000-0000-000000000000}"/>
  <bookViews>
    <workbookView xWindow="-120" yWindow="-120" windowWidth="29040" windowHeight="15840" activeTab="8" xr2:uid="{00000000-000D-0000-FFFF-FFFF00000000}"/>
  </bookViews>
  <sheets>
    <sheet name="Certificate 1 probe" sheetId="76" r:id="rId1"/>
    <sheet name="Certificate 10 probe" sheetId="99" r:id="rId2"/>
    <sheet name="Page1" sheetId="78" r:id="rId3"/>
    <sheet name="Data" sheetId="80" state="hidden" r:id="rId4"/>
    <sheet name="Data (2)" sheetId="103" state="hidden" r:id="rId5"/>
    <sheet name="DTM" sheetId="102" state="hidden" r:id="rId6"/>
    <sheet name="STD" sheetId="81" state="hidden" r:id="rId7"/>
    <sheet name="Cal Ref" sheetId="91" r:id="rId8"/>
    <sheet name="Cal 1" sheetId="92" r:id="rId9"/>
  </sheets>
  <definedNames>
    <definedName name="_xlnm._FilterDatabase" localSheetId="3" hidden="1">Data!$H$1:$I$1</definedName>
    <definedName name="ExternalData_1" localSheetId="5" hidden="1">DTM!$A$1:$T$37</definedName>
    <definedName name="ExternalData_2" localSheetId="4" hidden="1">'Data (2)'!$A$1:$K$57</definedName>
    <definedName name="Name.Personnel" localSheetId="7">Personnel[Name]</definedName>
    <definedName name="Name.Personnel" localSheetId="1">Personnel[Name]</definedName>
    <definedName name="Name.Personnel">Personnel[Name]</definedName>
    <definedName name="_xlnm.Print_Area" localSheetId="8">'Cal 1'!$A$1:$BA$245</definedName>
    <definedName name="_xlnm.Print_Area" localSheetId="7">'Cal Ref'!$A$1:$BA$246</definedName>
    <definedName name="_xlnm.Print_Area" localSheetId="0">'Certificate 1 probe'!$A$1:$AM$96</definedName>
    <definedName name="_xlnm.Print_Area" localSheetId="1">'Certificate 10 probe'!$A$1:$AM$205</definedName>
    <definedName name="_xlnm.Print_Area" localSheetId="2">Page1!$A$1:$AT$41</definedName>
    <definedName name="S_TEM_001">STD!$K$3:$K$4</definedName>
    <definedName name="Toolcode.Apparatus" localSheetId="8">Apparatus[Tool Code]</definedName>
    <definedName name="Toolcode.Apparatus" localSheetId="7">Apparatus[Tool Code]</definedName>
    <definedName name="Toolcode.Apparatus" localSheetId="1">Apparatus[Tool Code]</definedName>
    <definedName name="Toolcode.Apparatus">Apparatus[Tool Code]</definedName>
    <definedName name="Toolcode.Ref.STD" localSheetId="8">Ref.STD[Tool Code]</definedName>
    <definedName name="Toolcode.Ref.STD" localSheetId="7">Ref.STD[Tool Code]</definedName>
    <definedName name="Toolcode.Ref.STD" localSheetId="1">Ref.STD[Tool Code]</definedName>
    <definedName name="Toolcode.Ref.STD">Ref.STD[Tool Code]</definedName>
    <definedName name="W_TEM_001">STD!$L$3:$L$4</definedName>
    <definedName name="W_TEM_002">STD!$M$3:$M$4</definedName>
    <definedName name="W_TEM_007">STD!$L$3:$L$4</definedName>
    <definedName name="W_TEM_016">STD!$N$3:$N$4</definedName>
  </definedNames>
  <calcPr calcId="191029"/>
</workbook>
</file>

<file path=xl/calcChain.xml><?xml version="1.0" encoding="utf-8"?>
<calcChain xmlns="http://schemas.openxmlformats.org/spreadsheetml/2006/main">
  <c r="T7" i="81" l="1"/>
  <c r="R7" i="81" s="1"/>
  <c r="T8" i="81"/>
  <c r="R8" i="81"/>
  <c r="AI15" i="78" s="1"/>
  <c r="V51" i="91" l="1"/>
  <c r="P2" i="81"/>
  <c r="Q2" i="81"/>
  <c r="R2" i="81"/>
  <c r="S2" i="81"/>
  <c r="P3" i="81"/>
  <c r="Q3" i="81"/>
  <c r="R3" i="81"/>
  <c r="S3" i="81"/>
  <c r="P4" i="81"/>
  <c r="Q4" i="81"/>
  <c r="R4" i="81"/>
  <c r="S4" i="81"/>
  <c r="P5" i="81"/>
  <c r="Q5" i="81"/>
  <c r="R5" i="81"/>
  <c r="S5" i="81"/>
  <c r="P6" i="81"/>
  <c r="Q6" i="81"/>
  <c r="R6" i="81"/>
  <c r="S6" i="81"/>
  <c r="P7" i="81"/>
  <c r="Q7" i="81"/>
  <c r="S7" i="81"/>
  <c r="P8" i="81"/>
  <c r="Q8" i="81"/>
  <c r="S8" i="81"/>
  <c r="P77" i="76"/>
  <c r="P9" i="81"/>
  <c r="Q9" i="81"/>
  <c r="R9" i="81"/>
  <c r="S9" i="81"/>
  <c r="P10" i="81"/>
  <c r="Q10" i="81"/>
  <c r="R10" i="81"/>
  <c r="S10" i="81"/>
  <c r="P11" i="81"/>
  <c r="Q11" i="81"/>
  <c r="R11" i="81"/>
  <c r="S11" i="81"/>
  <c r="P12" i="81"/>
  <c r="Q12" i="81"/>
  <c r="R12" i="81"/>
  <c r="S12" i="81"/>
  <c r="P13" i="81"/>
  <c r="Q13" i="81"/>
  <c r="R13" i="81"/>
  <c r="S13" i="81"/>
  <c r="P14" i="81"/>
  <c r="Q14" i="81"/>
  <c r="R14" i="81"/>
  <c r="S14" i="81"/>
  <c r="P15" i="81"/>
  <c r="Q15" i="81"/>
  <c r="R15" i="81"/>
  <c r="S15" i="81"/>
  <c r="P16" i="81"/>
  <c r="Q16" i="81"/>
  <c r="R16" i="81"/>
  <c r="S16" i="81"/>
  <c r="P17" i="81"/>
  <c r="Q17" i="81"/>
  <c r="R17" i="81"/>
  <c r="S17" i="81"/>
  <c r="P18" i="81"/>
  <c r="Q18" i="81"/>
  <c r="R18" i="81"/>
  <c r="S18" i="81"/>
  <c r="P19" i="81"/>
  <c r="Q19" i="81"/>
  <c r="R19" i="81"/>
  <c r="S19" i="81"/>
  <c r="P20" i="81"/>
  <c r="Q20" i="81"/>
  <c r="R20" i="81"/>
  <c r="S20" i="81"/>
  <c r="P21" i="81"/>
  <c r="Q21" i="81"/>
  <c r="R21" i="81"/>
  <c r="S21" i="81"/>
  <c r="P22" i="81"/>
  <c r="Q22" i="81"/>
  <c r="R22" i="81"/>
  <c r="S22" i="81"/>
  <c r="P23" i="81"/>
  <c r="Q23" i="81"/>
  <c r="R23" i="81"/>
  <c r="S23" i="81"/>
  <c r="P24" i="81"/>
  <c r="Q24" i="81"/>
  <c r="R24" i="81"/>
  <c r="S24" i="81"/>
  <c r="P25" i="81"/>
  <c r="Q25" i="81"/>
  <c r="R25" i="81"/>
  <c r="S25" i="81"/>
  <c r="P26" i="81"/>
  <c r="Q26" i="81"/>
  <c r="R26" i="81"/>
  <c r="S26" i="81"/>
  <c r="P27" i="81"/>
  <c r="Q27" i="81"/>
  <c r="R27" i="81"/>
  <c r="S27" i="81"/>
  <c r="P28" i="81"/>
  <c r="Q28" i="81"/>
  <c r="R28" i="81"/>
  <c r="S28" i="81"/>
  <c r="P29" i="81"/>
  <c r="Q29" i="81"/>
  <c r="R29" i="81"/>
  <c r="S29" i="81"/>
  <c r="P30" i="81"/>
  <c r="Q30" i="81"/>
  <c r="R30" i="81"/>
  <c r="S30" i="81"/>
  <c r="P31" i="81"/>
  <c r="Q31" i="81"/>
  <c r="R31" i="81"/>
  <c r="S31" i="81"/>
  <c r="P32" i="81"/>
  <c r="Q32" i="81"/>
  <c r="R32" i="81"/>
  <c r="S32" i="81"/>
  <c r="P33" i="81"/>
  <c r="Q33" i="81"/>
  <c r="R33" i="81"/>
  <c r="S33" i="81"/>
  <c r="Q1" i="81"/>
  <c r="R1" i="81"/>
  <c r="S1" i="81"/>
  <c r="P1" i="81"/>
  <c r="K5" i="81"/>
  <c r="L5" i="81"/>
  <c r="M5" i="81"/>
  <c r="N5" i="81"/>
  <c r="K6" i="81"/>
  <c r="L6" i="81"/>
  <c r="M6" i="81"/>
  <c r="N6" i="81"/>
  <c r="K7" i="81"/>
  <c r="L7" i="81"/>
  <c r="M7" i="81"/>
  <c r="N7" i="81"/>
  <c r="K3" i="81"/>
  <c r="L3" i="81"/>
  <c r="M3" i="81"/>
  <c r="N3" i="81"/>
  <c r="K4" i="81"/>
  <c r="L4" i="81"/>
  <c r="M4" i="81"/>
  <c r="N4" i="81"/>
  <c r="L2" i="81"/>
  <c r="M2" i="81"/>
  <c r="N2" i="81"/>
  <c r="K2" i="81"/>
  <c r="F26" i="81"/>
  <c r="A27" i="81"/>
  <c r="B27" i="81"/>
  <c r="C27" i="81"/>
  <c r="D27" i="81"/>
  <c r="E27" i="81"/>
  <c r="F27" i="81"/>
  <c r="G27" i="81"/>
  <c r="A28" i="81"/>
  <c r="B28" i="81"/>
  <c r="C28" i="81"/>
  <c r="D28" i="81"/>
  <c r="E28" i="81"/>
  <c r="F28" i="81"/>
  <c r="G28" i="81"/>
  <c r="A29" i="81"/>
  <c r="B29" i="81"/>
  <c r="C29" i="81"/>
  <c r="D29" i="81"/>
  <c r="E29" i="81"/>
  <c r="F29" i="81"/>
  <c r="G29" i="81"/>
  <c r="A30" i="81"/>
  <c r="B30" i="81"/>
  <c r="C30" i="81"/>
  <c r="D30" i="81"/>
  <c r="E30" i="81"/>
  <c r="F30" i="81"/>
  <c r="G30" i="81"/>
  <c r="A31" i="81"/>
  <c r="B31" i="81"/>
  <c r="C31" i="81"/>
  <c r="D31" i="81"/>
  <c r="E31" i="81"/>
  <c r="F31" i="81"/>
  <c r="G31" i="81"/>
  <c r="A32" i="81"/>
  <c r="B32" i="81"/>
  <c r="C32" i="81"/>
  <c r="D32" i="81"/>
  <c r="E32" i="81"/>
  <c r="F32" i="81"/>
  <c r="G32" i="81"/>
  <c r="A33" i="81"/>
  <c r="B33" i="81"/>
  <c r="C33" i="81"/>
  <c r="D33" i="81"/>
  <c r="E33" i="81"/>
  <c r="F33" i="81"/>
  <c r="G33" i="81"/>
  <c r="A34" i="81"/>
  <c r="B34" i="81"/>
  <c r="C34" i="81"/>
  <c r="D34" i="81"/>
  <c r="E34" i="81"/>
  <c r="F34" i="81"/>
  <c r="G34" i="81"/>
  <c r="A35" i="81"/>
  <c r="B35" i="81"/>
  <c r="C35" i="81"/>
  <c r="D35" i="81"/>
  <c r="E35" i="81"/>
  <c r="F35" i="81"/>
  <c r="G35" i="81"/>
  <c r="A36" i="81"/>
  <c r="B36" i="81"/>
  <c r="C36" i="81"/>
  <c r="D36" i="81"/>
  <c r="E36" i="81"/>
  <c r="F36" i="81"/>
  <c r="G36" i="81"/>
  <c r="A37" i="81"/>
  <c r="B37" i="81"/>
  <c r="C37" i="81"/>
  <c r="D37" i="81"/>
  <c r="E37" i="81"/>
  <c r="F37" i="81"/>
  <c r="G37" i="81"/>
  <c r="A38" i="81"/>
  <c r="B38" i="81"/>
  <c r="C38" i="81"/>
  <c r="D38" i="81"/>
  <c r="E38" i="81"/>
  <c r="F38" i="81"/>
  <c r="G38" i="81"/>
  <c r="B26" i="81"/>
  <c r="C26" i="81"/>
  <c r="D26" i="81"/>
  <c r="E26" i="81"/>
  <c r="G26" i="81"/>
  <c r="A26" i="81"/>
  <c r="A14" i="81"/>
  <c r="B14" i="81"/>
  <c r="C14" i="81"/>
  <c r="D14" i="81"/>
  <c r="E14" i="81"/>
  <c r="F14" i="81"/>
  <c r="G14" i="81"/>
  <c r="A15" i="81"/>
  <c r="B15" i="81"/>
  <c r="C15" i="81"/>
  <c r="D15" i="81"/>
  <c r="E15" i="81"/>
  <c r="F15" i="81"/>
  <c r="G15" i="81"/>
  <c r="A16" i="81"/>
  <c r="B16" i="81"/>
  <c r="C16" i="81"/>
  <c r="D16" i="81"/>
  <c r="E16" i="81"/>
  <c r="F16" i="81"/>
  <c r="G16" i="81"/>
  <c r="A17" i="81"/>
  <c r="B17" i="81"/>
  <c r="C17" i="81"/>
  <c r="D17" i="81"/>
  <c r="E17" i="81"/>
  <c r="F17" i="81"/>
  <c r="G17" i="81"/>
  <c r="A18" i="81"/>
  <c r="B18" i="81"/>
  <c r="C18" i="81"/>
  <c r="D18" i="81"/>
  <c r="E18" i="81"/>
  <c r="F18" i="81"/>
  <c r="G18" i="81"/>
  <c r="A19" i="81"/>
  <c r="B19" i="81"/>
  <c r="C19" i="81"/>
  <c r="D19" i="81"/>
  <c r="E19" i="81"/>
  <c r="F19" i="81"/>
  <c r="G19" i="81"/>
  <c r="A20" i="81"/>
  <c r="B20" i="81"/>
  <c r="C20" i="81"/>
  <c r="D20" i="81"/>
  <c r="E20" i="81"/>
  <c r="F20" i="81"/>
  <c r="G20" i="81"/>
  <c r="A21" i="81"/>
  <c r="B21" i="81"/>
  <c r="C21" i="81"/>
  <c r="D21" i="81"/>
  <c r="E21" i="81"/>
  <c r="F21" i="81"/>
  <c r="G21" i="81"/>
  <c r="B13" i="81"/>
  <c r="C13" i="81"/>
  <c r="D13" i="81"/>
  <c r="E13" i="81"/>
  <c r="F13" i="81"/>
  <c r="G13" i="81"/>
  <c r="A13" i="81"/>
  <c r="B3" i="81"/>
  <c r="C3" i="81"/>
  <c r="D3" i="81"/>
  <c r="E3" i="81"/>
  <c r="F3" i="81"/>
  <c r="G3" i="81"/>
  <c r="B4" i="81"/>
  <c r="C4" i="81"/>
  <c r="D4" i="81"/>
  <c r="E4" i="81"/>
  <c r="F4" i="81"/>
  <c r="G4" i="81"/>
  <c r="B5" i="81"/>
  <c r="C5" i="81"/>
  <c r="D5" i="81"/>
  <c r="E5" i="81"/>
  <c r="F5" i="81"/>
  <c r="G5" i="81"/>
  <c r="B6" i="81"/>
  <c r="C6" i="81"/>
  <c r="D6" i="81"/>
  <c r="E6" i="81"/>
  <c r="F6" i="81"/>
  <c r="G6" i="81"/>
  <c r="B7" i="81"/>
  <c r="C7" i="81"/>
  <c r="D7" i="81"/>
  <c r="E7" i="81"/>
  <c r="F7" i="81"/>
  <c r="G7" i="81"/>
  <c r="B8" i="81"/>
  <c r="C8" i="81"/>
  <c r="D8" i="81"/>
  <c r="E8" i="81"/>
  <c r="F8" i="81"/>
  <c r="G8" i="81"/>
  <c r="B9" i="81"/>
  <c r="C9" i="81"/>
  <c r="D9" i="81"/>
  <c r="E9" i="81"/>
  <c r="F9" i="81"/>
  <c r="G9" i="81"/>
  <c r="B10" i="81"/>
  <c r="C10" i="81"/>
  <c r="D10" i="81"/>
  <c r="E10" i="81"/>
  <c r="F10" i="81"/>
  <c r="G10" i="81"/>
  <c r="A4" i="81"/>
  <c r="A5" i="81"/>
  <c r="A6" i="81"/>
  <c r="A7" i="81"/>
  <c r="A8" i="81"/>
  <c r="A9" i="81"/>
  <c r="A10" i="81"/>
  <c r="A3" i="81"/>
  <c r="AF24" i="78"/>
  <c r="Z24" i="78"/>
  <c r="AN24" i="78"/>
  <c r="AF22" i="78"/>
  <c r="AN30" i="78"/>
  <c r="AN31" i="78"/>
  <c r="AN32" i="78"/>
  <c r="AN29" i="78"/>
  <c r="AF30" i="78"/>
  <c r="AF31" i="78"/>
  <c r="AF32" i="78"/>
  <c r="AF29" i="78"/>
  <c r="Z32" i="78"/>
  <c r="Z31" i="78"/>
  <c r="Z30" i="78"/>
  <c r="Z29" i="78"/>
  <c r="I32" i="78"/>
  <c r="I31" i="78"/>
  <c r="I30" i="78"/>
  <c r="I29" i="78"/>
  <c r="H18" i="80"/>
  <c r="I18" i="80"/>
  <c r="H19" i="80"/>
  <c r="I19" i="80"/>
  <c r="H20" i="80"/>
  <c r="I20" i="80"/>
  <c r="H21" i="80"/>
  <c r="I21" i="80"/>
  <c r="D44" i="76"/>
  <c r="W44" i="99"/>
  <c r="D44" i="99"/>
  <c r="W44" i="76"/>
  <c r="H4" i="80"/>
  <c r="I4" i="80"/>
  <c r="H5" i="80"/>
  <c r="I5" i="80"/>
  <c r="H6" i="80"/>
  <c r="I6" i="80"/>
  <c r="H7" i="80"/>
  <c r="I7" i="80"/>
  <c r="H8" i="80"/>
  <c r="I8" i="80"/>
  <c r="H9" i="80"/>
  <c r="I9" i="80"/>
  <c r="H10" i="80"/>
  <c r="I10" i="80"/>
  <c r="H11" i="80"/>
  <c r="I11" i="80"/>
  <c r="H12" i="80"/>
  <c r="I12" i="80"/>
  <c r="H13" i="80"/>
  <c r="I13" i="80"/>
  <c r="H14" i="80"/>
  <c r="I14" i="80"/>
  <c r="H15" i="80"/>
  <c r="I15" i="80"/>
  <c r="H16" i="80"/>
  <c r="I16" i="80"/>
  <c r="H17" i="80"/>
  <c r="I17" i="80"/>
  <c r="I3" i="80"/>
  <c r="H3" i="80"/>
  <c r="A4" i="80"/>
  <c r="B4" i="80"/>
  <c r="C4" i="80"/>
  <c r="D4" i="80"/>
  <c r="E4" i="80"/>
  <c r="F4" i="80"/>
  <c r="A5" i="80"/>
  <c r="B5" i="80"/>
  <c r="C5" i="80"/>
  <c r="D5" i="80"/>
  <c r="E5" i="80"/>
  <c r="F5" i="80"/>
  <c r="A6" i="80"/>
  <c r="B6" i="80"/>
  <c r="C6" i="80"/>
  <c r="D6" i="80"/>
  <c r="E6" i="80"/>
  <c r="F6" i="80"/>
  <c r="A7" i="80"/>
  <c r="B7" i="80"/>
  <c r="C7" i="80"/>
  <c r="D7" i="80"/>
  <c r="E7" i="80"/>
  <c r="F7" i="80"/>
  <c r="A8" i="80"/>
  <c r="B8" i="80"/>
  <c r="C8" i="80"/>
  <c r="D8" i="80"/>
  <c r="E8" i="80"/>
  <c r="F8" i="80"/>
  <c r="A9" i="80"/>
  <c r="B9" i="80"/>
  <c r="C9" i="80"/>
  <c r="D9" i="80"/>
  <c r="E9" i="80"/>
  <c r="F9" i="80"/>
  <c r="A10" i="80"/>
  <c r="B10" i="80"/>
  <c r="C10" i="80"/>
  <c r="D10" i="80"/>
  <c r="E10" i="80"/>
  <c r="F10" i="80"/>
  <c r="A11" i="80"/>
  <c r="B11" i="80"/>
  <c r="C11" i="80"/>
  <c r="D11" i="80"/>
  <c r="E11" i="80"/>
  <c r="F11" i="80"/>
  <c r="A12" i="80"/>
  <c r="B12" i="80"/>
  <c r="C12" i="80"/>
  <c r="D12" i="80"/>
  <c r="E12" i="80"/>
  <c r="F12" i="80"/>
  <c r="A13" i="80"/>
  <c r="B13" i="80"/>
  <c r="C13" i="80"/>
  <c r="D13" i="80"/>
  <c r="E13" i="80"/>
  <c r="F13" i="80"/>
  <c r="A14" i="80"/>
  <c r="B14" i="80"/>
  <c r="C14" i="80"/>
  <c r="D14" i="80"/>
  <c r="E14" i="80"/>
  <c r="F14" i="80"/>
  <c r="A15" i="80"/>
  <c r="B15" i="80"/>
  <c r="C15" i="80"/>
  <c r="D15" i="80"/>
  <c r="E15" i="80"/>
  <c r="F15" i="80"/>
  <c r="A16" i="80"/>
  <c r="B16" i="80"/>
  <c r="C16" i="80"/>
  <c r="D16" i="80"/>
  <c r="E16" i="80"/>
  <c r="F16" i="80"/>
  <c r="A17" i="80"/>
  <c r="B17" i="80"/>
  <c r="C17" i="80"/>
  <c r="D17" i="80"/>
  <c r="E17" i="80"/>
  <c r="F17" i="80"/>
  <c r="A18" i="80"/>
  <c r="B18" i="80"/>
  <c r="C18" i="80"/>
  <c r="D18" i="80"/>
  <c r="E18" i="80"/>
  <c r="F18" i="80"/>
  <c r="A19" i="80"/>
  <c r="B19" i="80"/>
  <c r="C19" i="80"/>
  <c r="D19" i="80"/>
  <c r="E19" i="80"/>
  <c r="F19" i="80"/>
  <c r="A20" i="80"/>
  <c r="B20" i="80"/>
  <c r="C20" i="80"/>
  <c r="D20" i="80"/>
  <c r="E20" i="80"/>
  <c r="F20" i="80"/>
  <c r="A21" i="80"/>
  <c r="B21" i="80"/>
  <c r="C21" i="80"/>
  <c r="D21" i="80"/>
  <c r="E21" i="80"/>
  <c r="F21" i="80"/>
  <c r="A22" i="80"/>
  <c r="B22" i="80"/>
  <c r="C22" i="80"/>
  <c r="D22" i="80"/>
  <c r="E22" i="80"/>
  <c r="F22" i="80"/>
  <c r="A23" i="80"/>
  <c r="B23" i="80"/>
  <c r="C23" i="80"/>
  <c r="D23" i="80"/>
  <c r="E23" i="80"/>
  <c r="F23" i="80"/>
  <c r="A24" i="80"/>
  <c r="B24" i="80"/>
  <c r="C24" i="80"/>
  <c r="D24" i="80"/>
  <c r="E24" i="80"/>
  <c r="F24" i="80"/>
  <c r="A25" i="80"/>
  <c r="B25" i="80"/>
  <c r="C25" i="80"/>
  <c r="D25" i="80"/>
  <c r="E25" i="80"/>
  <c r="F25" i="80"/>
  <c r="A26" i="80"/>
  <c r="B26" i="80"/>
  <c r="C26" i="80"/>
  <c r="D26" i="80"/>
  <c r="E26" i="80"/>
  <c r="F26" i="80"/>
  <c r="A27" i="80"/>
  <c r="B27" i="80"/>
  <c r="C27" i="80"/>
  <c r="D27" i="80"/>
  <c r="E27" i="80"/>
  <c r="F27" i="80"/>
  <c r="A28" i="80"/>
  <c r="B28" i="80"/>
  <c r="C28" i="80"/>
  <c r="D28" i="80"/>
  <c r="E28" i="80"/>
  <c r="F28" i="80"/>
  <c r="A29" i="80"/>
  <c r="B29" i="80"/>
  <c r="C29" i="80"/>
  <c r="D29" i="80"/>
  <c r="E29" i="80"/>
  <c r="F29" i="80"/>
  <c r="A30" i="80"/>
  <c r="B30" i="80"/>
  <c r="C30" i="80"/>
  <c r="D30" i="80"/>
  <c r="E30" i="80"/>
  <c r="F30" i="80"/>
  <c r="A31" i="80"/>
  <c r="B31" i="80"/>
  <c r="C31" i="80"/>
  <c r="D31" i="80"/>
  <c r="E31" i="80"/>
  <c r="F31" i="80"/>
  <c r="A32" i="80"/>
  <c r="B32" i="80"/>
  <c r="C32" i="80"/>
  <c r="D32" i="80"/>
  <c r="E32" i="80"/>
  <c r="F32" i="80"/>
  <c r="A33" i="80"/>
  <c r="B33" i="80"/>
  <c r="C33" i="80"/>
  <c r="D33" i="80"/>
  <c r="E33" i="80"/>
  <c r="F33" i="80"/>
  <c r="A34" i="80"/>
  <c r="B34" i="80"/>
  <c r="C34" i="80"/>
  <c r="D34" i="80"/>
  <c r="E34" i="80"/>
  <c r="F34" i="80"/>
  <c r="A35" i="80"/>
  <c r="B35" i="80"/>
  <c r="C35" i="80"/>
  <c r="D35" i="80"/>
  <c r="E35" i="80"/>
  <c r="F35" i="80"/>
  <c r="A36" i="80"/>
  <c r="B36" i="80"/>
  <c r="C36" i="80"/>
  <c r="D36" i="80"/>
  <c r="E36" i="80"/>
  <c r="F36" i="80"/>
  <c r="A37" i="80"/>
  <c r="B37" i="80"/>
  <c r="C37" i="80"/>
  <c r="D37" i="80"/>
  <c r="E37" i="80"/>
  <c r="F37" i="80"/>
  <c r="A38" i="80"/>
  <c r="B38" i="80"/>
  <c r="C38" i="80"/>
  <c r="D38" i="80"/>
  <c r="E38" i="80"/>
  <c r="F38" i="80"/>
  <c r="A39" i="80"/>
  <c r="B39" i="80"/>
  <c r="C39" i="80"/>
  <c r="D39" i="80"/>
  <c r="E39" i="80"/>
  <c r="F39" i="80"/>
  <c r="A40" i="80"/>
  <c r="B40" i="80"/>
  <c r="C40" i="80"/>
  <c r="D40" i="80"/>
  <c r="E40" i="80"/>
  <c r="F40" i="80"/>
  <c r="A41" i="80"/>
  <c r="B41" i="80"/>
  <c r="C41" i="80"/>
  <c r="D41" i="80"/>
  <c r="E41" i="80"/>
  <c r="F41" i="80"/>
  <c r="A42" i="80"/>
  <c r="B42" i="80"/>
  <c r="C42" i="80"/>
  <c r="D42" i="80"/>
  <c r="E42" i="80"/>
  <c r="F42" i="80"/>
  <c r="A43" i="80"/>
  <c r="B43" i="80"/>
  <c r="C43" i="80"/>
  <c r="D43" i="80"/>
  <c r="E43" i="80"/>
  <c r="F43" i="80"/>
  <c r="A44" i="80"/>
  <c r="B44" i="80"/>
  <c r="C44" i="80"/>
  <c r="D44" i="80"/>
  <c r="E44" i="80"/>
  <c r="F44" i="80"/>
  <c r="A45" i="80"/>
  <c r="B45" i="80"/>
  <c r="C45" i="80"/>
  <c r="D45" i="80"/>
  <c r="E45" i="80"/>
  <c r="F45" i="80"/>
  <c r="A46" i="80"/>
  <c r="B46" i="80"/>
  <c r="C46" i="80"/>
  <c r="D46" i="80"/>
  <c r="E46" i="80"/>
  <c r="F46" i="80"/>
  <c r="A47" i="80"/>
  <c r="B47" i="80"/>
  <c r="C47" i="80"/>
  <c r="D47" i="80"/>
  <c r="E47" i="80"/>
  <c r="F47" i="80"/>
  <c r="A48" i="80"/>
  <c r="B48" i="80"/>
  <c r="C48" i="80"/>
  <c r="D48" i="80"/>
  <c r="E48" i="80"/>
  <c r="F48" i="80"/>
  <c r="A49" i="80"/>
  <c r="B49" i="80"/>
  <c r="C49" i="80"/>
  <c r="D49" i="80"/>
  <c r="E49" i="80"/>
  <c r="F49" i="80"/>
  <c r="A50" i="80"/>
  <c r="B50" i="80"/>
  <c r="C50" i="80"/>
  <c r="D50" i="80"/>
  <c r="E50" i="80"/>
  <c r="F50" i="80"/>
  <c r="A51" i="80"/>
  <c r="B51" i="80"/>
  <c r="C51" i="80"/>
  <c r="D51" i="80"/>
  <c r="E51" i="80"/>
  <c r="F51" i="80"/>
  <c r="A52" i="80"/>
  <c r="B52" i="80"/>
  <c r="C52" i="80"/>
  <c r="D52" i="80"/>
  <c r="E52" i="80"/>
  <c r="F52" i="80"/>
  <c r="A53" i="80"/>
  <c r="B53" i="80"/>
  <c r="C53" i="80"/>
  <c r="D53" i="80"/>
  <c r="E53" i="80"/>
  <c r="F53" i="80"/>
  <c r="A54" i="80"/>
  <c r="B54" i="80"/>
  <c r="C54" i="80"/>
  <c r="D54" i="80"/>
  <c r="E54" i="80"/>
  <c r="F54" i="80"/>
  <c r="A55" i="80"/>
  <c r="B55" i="80"/>
  <c r="C55" i="80"/>
  <c r="D55" i="80"/>
  <c r="E55" i="80"/>
  <c r="F55" i="80"/>
  <c r="A56" i="80"/>
  <c r="B56" i="80"/>
  <c r="C56" i="80"/>
  <c r="D56" i="80"/>
  <c r="E56" i="80"/>
  <c r="F56" i="80"/>
  <c r="A57" i="80"/>
  <c r="B57" i="80"/>
  <c r="C57" i="80"/>
  <c r="D57" i="80"/>
  <c r="E57" i="80"/>
  <c r="F57" i="80"/>
  <c r="B3" i="80"/>
  <c r="C3" i="80"/>
  <c r="D3" i="80"/>
  <c r="E3" i="80"/>
  <c r="F3" i="80"/>
  <c r="A3" i="80"/>
  <c r="AB3" i="92"/>
  <c r="J19" i="91"/>
  <c r="AP14" i="78"/>
  <c r="P71" i="76"/>
  <c r="B68" i="76" l="1"/>
  <c r="P73" i="76"/>
  <c r="P75" i="76"/>
  <c r="B127" i="99"/>
  <c r="P72" i="76"/>
  <c r="P74" i="76"/>
  <c r="P78" i="76"/>
  <c r="P76" i="76"/>
  <c r="B67" i="99"/>
  <c r="I18" i="78"/>
  <c r="AN23" i="78" l="1"/>
  <c r="AN22" i="78"/>
  <c r="I22" i="78"/>
  <c r="AS12" i="91"/>
  <c r="AW11" i="91"/>
  <c r="I10" i="91"/>
  <c r="BB6" i="92" l="1"/>
  <c r="AG7" i="91" l="1"/>
  <c r="AW28" i="91"/>
  <c r="AS28" i="91"/>
  <c r="AO28" i="91"/>
  <c r="AK28" i="91"/>
  <c r="AG28" i="91"/>
  <c r="AC28" i="91"/>
  <c r="Y28" i="91"/>
  <c r="U28" i="91"/>
  <c r="Q28" i="91"/>
  <c r="M28" i="91"/>
  <c r="I28" i="91"/>
  <c r="E28" i="91"/>
  <c r="AW27" i="91"/>
  <c r="AS27" i="91"/>
  <c r="AO27" i="91"/>
  <c r="AK27" i="91"/>
  <c r="AG27" i="91"/>
  <c r="AC27" i="91"/>
  <c r="Y27" i="91"/>
  <c r="U27" i="91"/>
  <c r="Q27" i="91"/>
  <c r="M27" i="91"/>
  <c r="I27" i="91"/>
  <c r="E27" i="91"/>
  <c r="AW26" i="91"/>
  <c r="AS26" i="91"/>
  <c r="AO26" i="91"/>
  <c r="AK26" i="91"/>
  <c r="AG26" i="91"/>
  <c r="AC26" i="91"/>
  <c r="Y26" i="91"/>
  <c r="U26" i="91"/>
  <c r="Q26" i="91"/>
  <c r="M26" i="91"/>
  <c r="I26" i="91"/>
  <c r="E26" i="91"/>
  <c r="AW25" i="91"/>
  <c r="AS25" i="91"/>
  <c r="AO25" i="91"/>
  <c r="AK25" i="91"/>
  <c r="AG25" i="91"/>
  <c r="AC25" i="91"/>
  <c r="Y25" i="91"/>
  <c r="U25" i="91"/>
  <c r="Q25" i="91"/>
  <c r="M25" i="91"/>
  <c r="I25" i="91"/>
  <c r="E25" i="91"/>
  <c r="AW24" i="91"/>
  <c r="AS24" i="91"/>
  <c r="AO24" i="91"/>
  <c r="AO29" i="91" s="1"/>
  <c r="AK24" i="91"/>
  <c r="AK30" i="91" s="1"/>
  <c r="AG24" i="91"/>
  <c r="AG29" i="91" s="1"/>
  <c r="AC24" i="91"/>
  <c r="AC29" i="91" s="1"/>
  <c r="Y24" i="91"/>
  <c r="U24" i="91"/>
  <c r="Q24" i="91"/>
  <c r="Q29" i="91" s="1"/>
  <c r="M24" i="91"/>
  <c r="I24" i="91"/>
  <c r="E24" i="91"/>
  <c r="AS21" i="91"/>
  <c r="AO21" i="91"/>
  <c r="AK21" i="91"/>
  <c r="AG21" i="91"/>
  <c r="AC21" i="91"/>
  <c r="Y21" i="91"/>
  <c r="U21" i="91"/>
  <c r="Q21" i="91"/>
  <c r="M21" i="91"/>
  <c r="I21" i="91"/>
  <c r="AW14" i="91"/>
  <c r="AS14" i="91"/>
  <c r="AO14" i="91"/>
  <c r="AK14" i="91"/>
  <c r="AG14" i="91"/>
  <c r="AC14" i="91"/>
  <c r="Y14" i="91"/>
  <c r="U14" i="91"/>
  <c r="Q14" i="91"/>
  <c r="M14" i="91"/>
  <c r="I14" i="91"/>
  <c r="E14" i="91"/>
  <c r="AW13" i="91"/>
  <c r="AS13" i="91"/>
  <c r="AO13" i="91"/>
  <c r="AK13" i="91"/>
  <c r="AG13" i="91"/>
  <c r="AC13" i="91"/>
  <c r="Y13" i="91"/>
  <c r="U13" i="91"/>
  <c r="Q13" i="91"/>
  <c r="M13" i="91"/>
  <c r="I13" i="91"/>
  <c r="E13" i="91"/>
  <c r="AW12" i="91"/>
  <c r="AO12" i="91"/>
  <c r="AK12" i="91"/>
  <c r="AG12" i="91"/>
  <c r="AC12" i="91"/>
  <c r="Y12" i="91"/>
  <c r="U12" i="91"/>
  <c r="Q12" i="91"/>
  <c r="M12" i="91"/>
  <c r="I12" i="91"/>
  <c r="E12" i="91"/>
  <c r="AS11" i="91"/>
  <c r="AO11" i="91"/>
  <c r="AK11" i="91"/>
  <c r="AG11" i="91"/>
  <c r="AC11" i="91"/>
  <c r="Y11" i="91"/>
  <c r="U11" i="91"/>
  <c r="Q11" i="91"/>
  <c r="M11" i="91"/>
  <c r="I11" i="91"/>
  <c r="E11" i="91"/>
  <c r="AW10" i="91"/>
  <c r="AS10" i="91"/>
  <c r="AO10" i="91"/>
  <c r="AK10" i="91"/>
  <c r="AG10" i="91"/>
  <c r="AC10" i="91"/>
  <c r="Y10" i="91"/>
  <c r="U10" i="91"/>
  <c r="Q10" i="91"/>
  <c r="M10" i="91"/>
  <c r="E10" i="91"/>
  <c r="M30" i="91" l="1"/>
  <c r="AC15" i="91"/>
  <c r="AD36" i="91" s="1"/>
  <c r="AG15" i="91"/>
  <c r="AH36" i="91" s="1"/>
  <c r="AK15" i="91"/>
  <c r="AL36" i="91" s="1"/>
  <c r="U29" i="91"/>
  <c r="AS29" i="91"/>
  <c r="Q15" i="91"/>
  <c r="R36" i="91" s="1"/>
  <c r="AO15" i="91"/>
  <c r="AP36" i="91" s="1"/>
  <c r="U16" i="91"/>
  <c r="AS16" i="91"/>
  <c r="Y15" i="91"/>
  <c r="Z36" i="91" s="1"/>
  <c r="I29" i="91"/>
  <c r="I30" i="91"/>
  <c r="M15" i="91"/>
  <c r="N36" i="91" s="1"/>
  <c r="I16" i="91"/>
  <c r="E15" i="91"/>
  <c r="I15" i="91"/>
  <c r="J36" i="91" s="1"/>
  <c r="W71" i="76" s="1"/>
  <c r="U30" i="91"/>
  <c r="Y29" i="91"/>
  <c r="AS30" i="91"/>
  <c r="E29" i="91"/>
  <c r="Q30" i="91"/>
  <c r="AO30" i="91"/>
  <c r="Y16" i="91"/>
  <c r="AC16" i="91"/>
  <c r="AG16" i="91"/>
  <c r="E16" i="91"/>
  <c r="M29" i="91"/>
  <c r="AK29" i="91"/>
  <c r="M16" i="91"/>
  <c r="AK16" i="91"/>
  <c r="Y30" i="91"/>
  <c r="AS15" i="91"/>
  <c r="Q16" i="91"/>
  <c r="AO16" i="91"/>
  <c r="E30" i="91"/>
  <c r="AC30" i="91"/>
  <c r="U15" i="91"/>
  <c r="V36" i="91" s="1"/>
  <c r="AG30" i="91"/>
  <c r="AT37" i="91" l="1"/>
  <c r="AT36" i="91"/>
  <c r="I31" i="91"/>
  <c r="AO31" i="91"/>
  <c r="AG31" i="91"/>
  <c r="AC31" i="91"/>
  <c r="Y31" i="91"/>
  <c r="AK31" i="91"/>
  <c r="M31" i="91"/>
  <c r="U31" i="91"/>
  <c r="Q31" i="91"/>
  <c r="AS31" i="91"/>
  <c r="B19" i="92" l="1"/>
  <c r="B65" i="76" l="1"/>
  <c r="J23" i="99" l="1"/>
  <c r="B113" i="99"/>
  <c r="B191" i="99"/>
  <c r="B177" i="99"/>
  <c r="B141" i="99"/>
  <c r="AD15" i="99" l="1"/>
  <c r="J15" i="99"/>
  <c r="AD14" i="99"/>
  <c r="J14" i="99"/>
  <c r="AD15" i="76"/>
  <c r="J15" i="76"/>
  <c r="AD14" i="76"/>
  <c r="J14" i="76"/>
  <c r="O64" i="99" l="1"/>
  <c r="I65" i="99"/>
  <c r="I161" i="99"/>
  <c r="I111" i="99"/>
  <c r="O160" i="99"/>
  <c r="O110" i="99"/>
  <c r="J34" i="91"/>
  <c r="B55" i="99"/>
  <c r="W45" i="99"/>
  <c r="D45" i="99"/>
  <c r="J22" i="99"/>
  <c r="J21" i="99"/>
  <c r="C18" i="99"/>
  <c r="J16" i="99"/>
  <c r="J13" i="99"/>
  <c r="AI9" i="99"/>
  <c r="AI56" i="99" s="1"/>
  <c r="AI107" i="99" s="1"/>
  <c r="I166" i="99" l="1"/>
  <c r="I130" i="99"/>
  <c r="I194" i="99"/>
  <c r="I180" i="99"/>
  <c r="I144" i="99"/>
  <c r="I116" i="99"/>
  <c r="I70" i="99"/>
  <c r="I84" i="99"/>
  <c r="AI157" i="99"/>
  <c r="V52" i="92" l="1"/>
  <c r="V226" i="92" s="1"/>
  <c r="AK226" i="92" s="1"/>
  <c r="V51" i="92"/>
  <c r="V168" i="92" s="1"/>
  <c r="AK168" i="92" s="1"/>
  <c r="V49" i="92"/>
  <c r="V223" i="92" s="1"/>
  <c r="AK223" i="92" s="1"/>
  <c r="V47" i="92"/>
  <c r="V203" i="92" s="1"/>
  <c r="AK203" i="92" s="1"/>
  <c r="V48" i="92"/>
  <c r="V105" i="92" s="1"/>
  <c r="AK105" i="92" s="1"/>
  <c r="V46" i="92"/>
  <c r="AK46" i="92" s="1"/>
  <c r="BO6" i="92"/>
  <c r="AE234" i="92"/>
  <c r="AI231" i="92"/>
  <c r="AI230" i="92"/>
  <c r="AP229" i="92"/>
  <c r="AK229" i="92"/>
  <c r="AP228" i="92"/>
  <c r="AP227" i="92"/>
  <c r="V227" i="92"/>
  <c r="AK227" i="92" s="1"/>
  <c r="AP226" i="92"/>
  <c r="AP225" i="92"/>
  <c r="AP224" i="92"/>
  <c r="AP223" i="92"/>
  <c r="AP222" i="92"/>
  <c r="AP221" i="92"/>
  <c r="AP220" i="92"/>
  <c r="AE216" i="92"/>
  <c r="AI213" i="92"/>
  <c r="AI212" i="92"/>
  <c r="AP211" i="92"/>
  <c r="AK211" i="92"/>
  <c r="AP210" i="92"/>
  <c r="AP209" i="92"/>
  <c r="V209" i="92"/>
  <c r="AK209" i="92" s="1"/>
  <c r="AP208" i="92"/>
  <c r="AP207" i="92"/>
  <c r="AP206" i="92"/>
  <c r="AP205" i="92"/>
  <c r="AP204" i="92"/>
  <c r="AP203" i="92"/>
  <c r="AP202" i="92"/>
  <c r="AE195" i="92"/>
  <c r="AI192" i="92"/>
  <c r="AI191" i="92"/>
  <c r="AP190" i="92"/>
  <c r="AK190" i="92"/>
  <c r="AP189" i="92"/>
  <c r="AP188" i="92"/>
  <c r="V188" i="92"/>
  <c r="AK188" i="92" s="1"/>
  <c r="AP187" i="92"/>
  <c r="AP186" i="92"/>
  <c r="AP185" i="92"/>
  <c r="AP184" i="92"/>
  <c r="AP183" i="92"/>
  <c r="AP182" i="92"/>
  <c r="AP181" i="92"/>
  <c r="AE177" i="92"/>
  <c r="AI174" i="92"/>
  <c r="AI173" i="92"/>
  <c r="AP172" i="92"/>
  <c r="AK172" i="92"/>
  <c r="AP171" i="92"/>
  <c r="AP170" i="92"/>
  <c r="V170" i="92"/>
  <c r="AK170" i="92" s="1"/>
  <c r="AP169" i="92"/>
  <c r="AP168" i="92"/>
  <c r="AP167" i="92"/>
  <c r="AP166" i="92"/>
  <c r="AP165" i="92"/>
  <c r="AP164" i="92"/>
  <c r="AP163" i="92"/>
  <c r="AE156" i="92"/>
  <c r="AI153" i="92"/>
  <c r="AI152" i="92"/>
  <c r="AP151" i="92"/>
  <c r="AK151" i="92"/>
  <c r="AP150" i="92"/>
  <c r="AP149" i="92"/>
  <c r="V149" i="92"/>
  <c r="AK149" i="92" s="1"/>
  <c r="AP148" i="92"/>
  <c r="AP147" i="92"/>
  <c r="AP146" i="92"/>
  <c r="AP145" i="92"/>
  <c r="AP144" i="92"/>
  <c r="AP143" i="92"/>
  <c r="AP142" i="92"/>
  <c r="AE138" i="92"/>
  <c r="AI135" i="92"/>
  <c r="AI134" i="92"/>
  <c r="AP133" i="92"/>
  <c r="AK133" i="92"/>
  <c r="AP132" i="92"/>
  <c r="AP131" i="92"/>
  <c r="V131" i="92"/>
  <c r="AK131" i="92" s="1"/>
  <c r="AP130" i="92"/>
  <c r="AP129" i="92"/>
  <c r="AP128" i="92"/>
  <c r="AP127" i="92"/>
  <c r="AP126" i="92"/>
  <c r="AP125" i="92"/>
  <c r="AP124" i="92"/>
  <c r="AE117" i="92"/>
  <c r="AI114" i="92"/>
  <c r="AI113" i="92"/>
  <c r="AP112" i="92"/>
  <c r="AK112" i="92"/>
  <c r="AP111" i="92"/>
  <c r="AP110" i="92"/>
  <c r="V110" i="92"/>
  <c r="AK110" i="92" s="1"/>
  <c r="AP109" i="92"/>
  <c r="AP108" i="92"/>
  <c r="AP107" i="92"/>
  <c r="AP106" i="92"/>
  <c r="AP105" i="92"/>
  <c r="AP104" i="92"/>
  <c r="AP103" i="92"/>
  <c r="AE99" i="92"/>
  <c r="AI96" i="92"/>
  <c r="AI95" i="92"/>
  <c r="AP94" i="92"/>
  <c r="AK94" i="92"/>
  <c r="AP93" i="92"/>
  <c r="AP92" i="92"/>
  <c r="V92" i="92"/>
  <c r="AK92" i="92" s="1"/>
  <c r="AP91" i="92"/>
  <c r="AP90" i="92"/>
  <c r="AP89" i="92"/>
  <c r="AP88" i="92"/>
  <c r="AP87" i="92"/>
  <c r="AP86" i="92"/>
  <c r="AP85" i="92"/>
  <c r="AE78" i="92"/>
  <c r="AI75" i="92"/>
  <c r="AI74" i="92"/>
  <c r="AP73" i="92"/>
  <c r="AK73" i="92"/>
  <c r="AP72" i="92"/>
  <c r="AP71" i="92"/>
  <c r="V71" i="92"/>
  <c r="AK71" i="92" s="1"/>
  <c r="AP70" i="92"/>
  <c r="AP69" i="92"/>
  <c r="AP68" i="92"/>
  <c r="AP67" i="92"/>
  <c r="AP66" i="92"/>
  <c r="AP65" i="92"/>
  <c r="AP64" i="92"/>
  <c r="AE60" i="92"/>
  <c r="AI57" i="92"/>
  <c r="AI56" i="92"/>
  <c r="AP55" i="92"/>
  <c r="AK55" i="92"/>
  <c r="AP54" i="92"/>
  <c r="AP53" i="92"/>
  <c r="V53" i="92"/>
  <c r="AK53" i="92" s="1"/>
  <c r="AP52" i="92"/>
  <c r="AP51" i="92"/>
  <c r="AP50" i="92"/>
  <c r="AP49" i="92"/>
  <c r="AP48" i="92"/>
  <c r="AP47" i="92"/>
  <c r="AP46" i="92"/>
  <c r="AV4" i="92"/>
  <c r="AV3" i="92"/>
  <c r="AV43" i="92" s="1"/>
  <c r="AY1" i="92"/>
  <c r="AY236" i="92" s="1"/>
  <c r="B34" i="91"/>
  <c r="AT34" i="91"/>
  <c r="AP34" i="91"/>
  <c r="AL34" i="91"/>
  <c r="AH34" i="91"/>
  <c r="AD34" i="91"/>
  <c r="Z34" i="91"/>
  <c r="V34" i="91"/>
  <c r="R34" i="91"/>
  <c r="N34" i="91"/>
  <c r="AE235" i="91"/>
  <c r="AI232" i="91"/>
  <c r="AI231" i="91"/>
  <c r="AP230" i="91"/>
  <c r="AK230" i="91"/>
  <c r="AP229" i="91"/>
  <c r="AP228" i="91"/>
  <c r="V228" i="91"/>
  <c r="AK228" i="91" s="1"/>
  <c r="AP227" i="91"/>
  <c r="V227" i="91"/>
  <c r="AK227" i="91" s="1"/>
  <c r="AP226" i="91"/>
  <c r="V226" i="91"/>
  <c r="AK226" i="91" s="1"/>
  <c r="AP225" i="91"/>
  <c r="AP224" i="91"/>
  <c r="V224" i="91"/>
  <c r="AK224" i="91" s="1"/>
  <c r="AP223" i="91"/>
  <c r="V223" i="91"/>
  <c r="AK223" i="91" s="1"/>
  <c r="AP222" i="91"/>
  <c r="V222" i="91"/>
  <c r="AK222" i="91" s="1"/>
  <c r="AP221" i="91"/>
  <c r="V221" i="91"/>
  <c r="AK221" i="91" s="1"/>
  <c r="AE217" i="91"/>
  <c r="AI214" i="91"/>
  <c r="AI213" i="91"/>
  <c r="AP212" i="91"/>
  <c r="AK212" i="91"/>
  <c r="AP211" i="91"/>
  <c r="AP210" i="91"/>
  <c r="V210" i="91"/>
  <c r="AK210" i="91" s="1"/>
  <c r="AP209" i="91"/>
  <c r="V209" i="91"/>
  <c r="AK209" i="91" s="1"/>
  <c r="AP208" i="91"/>
  <c r="V208" i="91"/>
  <c r="AK208" i="91" s="1"/>
  <c r="AP207" i="91"/>
  <c r="AP206" i="91"/>
  <c r="V206" i="91"/>
  <c r="AK206" i="91" s="1"/>
  <c r="AP205" i="91"/>
  <c r="V205" i="91"/>
  <c r="AK205" i="91" s="1"/>
  <c r="AP204" i="91"/>
  <c r="V204" i="91"/>
  <c r="AK204" i="91" s="1"/>
  <c r="AP203" i="91"/>
  <c r="V203" i="91"/>
  <c r="AK203" i="91" s="1"/>
  <c r="AE196" i="91"/>
  <c r="AI193" i="91"/>
  <c r="AI192" i="91"/>
  <c r="AP191" i="91"/>
  <c r="AK191" i="91"/>
  <c r="AP190" i="91"/>
  <c r="AP189" i="91"/>
  <c r="V189" i="91"/>
  <c r="AK189" i="91" s="1"/>
  <c r="AP188" i="91"/>
  <c r="V188" i="91"/>
  <c r="AK188" i="91" s="1"/>
  <c r="AP187" i="91"/>
  <c r="V187" i="91"/>
  <c r="AK187" i="91" s="1"/>
  <c r="AP186" i="91"/>
  <c r="AP185" i="91"/>
  <c r="V185" i="91"/>
  <c r="AK185" i="91" s="1"/>
  <c r="AP184" i="91"/>
  <c r="V184" i="91"/>
  <c r="AK184" i="91" s="1"/>
  <c r="AP183" i="91"/>
  <c r="V183" i="91"/>
  <c r="AK183" i="91" s="1"/>
  <c r="AP182" i="91"/>
  <c r="V182" i="91"/>
  <c r="AK182" i="91" s="1"/>
  <c r="AE178" i="91"/>
  <c r="AI175" i="91"/>
  <c r="AI174" i="91"/>
  <c r="AP173" i="91"/>
  <c r="AK173" i="91"/>
  <c r="AP172" i="91"/>
  <c r="AP171" i="91"/>
  <c r="V171" i="91"/>
  <c r="AK171" i="91" s="1"/>
  <c r="AP170" i="91"/>
  <c r="V170" i="91"/>
  <c r="AK170" i="91" s="1"/>
  <c r="AP169" i="91"/>
  <c r="V169" i="91"/>
  <c r="AK169" i="91" s="1"/>
  <c r="AP168" i="91"/>
  <c r="AP167" i="91"/>
  <c r="V167" i="91"/>
  <c r="AK167" i="91" s="1"/>
  <c r="AP166" i="91"/>
  <c r="V166" i="91"/>
  <c r="AK166" i="91" s="1"/>
  <c r="AP165" i="91"/>
  <c r="V165" i="91"/>
  <c r="AK165" i="91" s="1"/>
  <c r="AP164" i="91"/>
  <c r="V164" i="91"/>
  <c r="AK164" i="91" s="1"/>
  <c r="AE157" i="91"/>
  <c r="AI154" i="91"/>
  <c r="AI153" i="91"/>
  <c r="AP152" i="91"/>
  <c r="AK152" i="91"/>
  <c r="AP151" i="91"/>
  <c r="AP150" i="91"/>
  <c r="V150" i="91"/>
  <c r="AK150" i="91" s="1"/>
  <c r="AP149" i="91"/>
  <c r="V149" i="91"/>
  <c r="AK149" i="91" s="1"/>
  <c r="AP148" i="91"/>
  <c r="V148" i="91"/>
  <c r="AK148" i="91" s="1"/>
  <c r="AP147" i="91"/>
  <c r="AP146" i="91"/>
  <c r="V146" i="91"/>
  <c r="AK146" i="91" s="1"/>
  <c r="AP145" i="91"/>
  <c r="V145" i="91"/>
  <c r="AK145" i="91" s="1"/>
  <c r="AP144" i="91"/>
  <c r="V144" i="91"/>
  <c r="AK144" i="91" s="1"/>
  <c r="AP143" i="91"/>
  <c r="V143" i="91"/>
  <c r="AK143" i="91" s="1"/>
  <c r="AE139" i="91"/>
  <c r="AI136" i="91"/>
  <c r="AI135" i="91"/>
  <c r="AP134" i="91"/>
  <c r="AK134" i="91"/>
  <c r="AP133" i="91"/>
  <c r="AP132" i="91"/>
  <c r="V132" i="91"/>
  <c r="AK132" i="91" s="1"/>
  <c r="AP131" i="91"/>
  <c r="V131" i="91"/>
  <c r="AK131" i="91" s="1"/>
  <c r="AP130" i="91"/>
  <c r="V130" i="91"/>
  <c r="AK130" i="91" s="1"/>
  <c r="AP129" i="91"/>
  <c r="AP128" i="91"/>
  <c r="V128" i="91"/>
  <c r="AK128" i="91" s="1"/>
  <c r="AP127" i="91"/>
  <c r="V127" i="91"/>
  <c r="AK127" i="91" s="1"/>
  <c r="AP126" i="91"/>
  <c r="V126" i="91"/>
  <c r="AK126" i="91" s="1"/>
  <c r="AP125" i="91"/>
  <c r="V125" i="91"/>
  <c r="AK125" i="91" s="1"/>
  <c r="V70" i="91"/>
  <c r="AK70" i="91" s="1"/>
  <c r="V104" i="91"/>
  <c r="AK104" i="91" s="1"/>
  <c r="V86" i="91"/>
  <c r="AK86" i="91" s="1"/>
  <c r="V92" i="91"/>
  <c r="AK92" i="91" s="1"/>
  <c r="V91" i="91"/>
  <c r="AK91" i="91" s="1"/>
  <c r="V89" i="91"/>
  <c r="AK89" i="91" s="1"/>
  <c r="V88" i="91"/>
  <c r="AK88" i="91" s="1"/>
  <c r="V87" i="91"/>
  <c r="AK87" i="91" s="1"/>
  <c r="AE118" i="91"/>
  <c r="AI115" i="91"/>
  <c r="AI114" i="91"/>
  <c r="AP113" i="91"/>
  <c r="AK113" i="91"/>
  <c r="AP112" i="91"/>
  <c r="AP111" i="91"/>
  <c r="V111" i="91"/>
  <c r="AK111" i="91" s="1"/>
  <c r="AP110" i="91"/>
  <c r="V110" i="91"/>
  <c r="AK110" i="91" s="1"/>
  <c r="AP109" i="91"/>
  <c r="V109" i="91"/>
  <c r="AK109" i="91" s="1"/>
  <c r="AP108" i="91"/>
  <c r="AP107" i="91"/>
  <c r="V107" i="91"/>
  <c r="AK107" i="91" s="1"/>
  <c r="AP106" i="91"/>
  <c r="V106" i="91"/>
  <c r="AK106" i="91" s="1"/>
  <c r="AP105" i="91"/>
  <c r="V105" i="91"/>
  <c r="AK105" i="91" s="1"/>
  <c r="AP104" i="91"/>
  <c r="AE100" i="91"/>
  <c r="AI97" i="91"/>
  <c r="AI96" i="91"/>
  <c r="AP95" i="91"/>
  <c r="AK95" i="91"/>
  <c r="AP94" i="91"/>
  <c r="AP93" i="91"/>
  <c r="V93" i="91"/>
  <c r="AK93" i="91" s="1"/>
  <c r="AP92" i="91"/>
  <c r="AP91" i="91"/>
  <c r="AP90" i="91"/>
  <c r="AP89" i="91"/>
  <c r="AP88" i="91"/>
  <c r="AP87" i="91"/>
  <c r="AP86" i="91"/>
  <c r="AE79" i="91"/>
  <c r="AE61" i="91"/>
  <c r="V71" i="91"/>
  <c r="AK71" i="91" s="1"/>
  <c r="V68" i="91"/>
  <c r="AK68" i="91" s="1"/>
  <c r="V67" i="91"/>
  <c r="AK67" i="91" s="1"/>
  <c r="V66" i="91"/>
  <c r="AK66" i="91" s="1"/>
  <c r="V65" i="91"/>
  <c r="AK65" i="91" s="1"/>
  <c r="AI76" i="91"/>
  <c r="AI75" i="91"/>
  <c r="AP74" i="91"/>
  <c r="AK74" i="91"/>
  <c r="AP73" i="91"/>
  <c r="AP72" i="91"/>
  <c r="V72" i="91"/>
  <c r="AK72" i="91" s="1"/>
  <c r="AP71" i="91"/>
  <c r="AP70" i="91"/>
  <c r="AP69" i="91"/>
  <c r="AP68" i="91"/>
  <c r="AP67" i="91"/>
  <c r="AP66" i="91"/>
  <c r="AP65" i="91"/>
  <c r="AK49" i="91"/>
  <c r="AK56" i="91"/>
  <c r="AK53" i="91"/>
  <c r="AK52" i="91"/>
  <c r="AK50" i="91"/>
  <c r="AK48" i="91"/>
  <c r="AK47" i="91"/>
  <c r="V50" i="92"/>
  <c r="V54" i="91"/>
  <c r="AK54" i="91" s="1"/>
  <c r="I125" i="99" l="1"/>
  <c r="I139" i="99"/>
  <c r="I189" i="99"/>
  <c r="I203" i="99"/>
  <c r="I175" i="99"/>
  <c r="I153" i="99"/>
  <c r="I188" i="99"/>
  <c r="I124" i="99"/>
  <c r="I202" i="99"/>
  <c r="I138" i="99"/>
  <c r="I174" i="99"/>
  <c r="I152" i="99"/>
  <c r="I173" i="99"/>
  <c r="I201" i="99"/>
  <c r="I187" i="99"/>
  <c r="I137" i="99"/>
  <c r="I151" i="99"/>
  <c r="I123" i="99"/>
  <c r="I150" i="99"/>
  <c r="I122" i="99"/>
  <c r="I200" i="99"/>
  <c r="I186" i="99"/>
  <c r="I172" i="99"/>
  <c r="I136" i="99"/>
  <c r="I185" i="99"/>
  <c r="I121" i="99"/>
  <c r="I135" i="99"/>
  <c r="I171" i="99"/>
  <c r="I149" i="99"/>
  <c r="I199" i="99"/>
  <c r="I170" i="99"/>
  <c r="I120" i="99"/>
  <c r="I198" i="99"/>
  <c r="I134" i="99"/>
  <c r="I184" i="99"/>
  <c r="I148" i="99"/>
  <c r="I183" i="99"/>
  <c r="I147" i="99"/>
  <c r="I119" i="99"/>
  <c r="I197" i="99"/>
  <c r="I133" i="99"/>
  <c r="I169" i="99"/>
  <c r="I182" i="99"/>
  <c r="I168" i="99"/>
  <c r="I146" i="99"/>
  <c r="I196" i="99"/>
  <c r="I118" i="99"/>
  <c r="I132" i="99"/>
  <c r="I131" i="99"/>
  <c r="I145" i="99"/>
  <c r="I181" i="99"/>
  <c r="I117" i="99"/>
  <c r="I195" i="99"/>
  <c r="I167" i="99"/>
  <c r="AD19" i="92"/>
  <c r="AG14" i="92"/>
  <c r="I14" i="92"/>
  <c r="AG13" i="92"/>
  <c r="I13" i="92"/>
  <c r="AG12" i="92"/>
  <c r="I12" i="92"/>
  <c r="AG11" i="92"/>
  <c r="I11" i="92"/>
  <c r="AG10" i="92"/>
  <c r="I10" i="92"/>
  <c r="Z19" i="92"/>
  <c r="AC14" i="92"/>
  <c r="E14" i="92"/>
  <c r="AC13" i="92"/>
  <c r="E13" i="92"/>
  <c r="AC12" i="92"/>
  <c r="E12" i="92"/>
  <c r="AC11" i="92"/>
  <c r="E11" i="92"/>
  <c r="AC10" i="92"/>
  <c r="E10" i="92"/>
  <c r="AT19" i="92"/>
  <c r="V19" i="92"/>
  <c r="AW14" i="92"/>
  <c r="Y14" i="92"/>
  <c r="AW13" i="92"/>
  <c r="Y13" i="92"/>
  <c r="AW12" i="92"/>
  <c r="Y12" i="92"/>
  <c r="AW11" i="92"/>
  <c r="Y11" i="92"/>
  <c r="AW10" i="92"/>
  <c r="Y10" i="92"/>
  <c r="AP19" i="92"/>
  <c r="R19" i="92"/>
  <c r="AS14" i="92"/>
  <c r="U14" i="92"/>
  <c r="AS13" i="92"/>
  <c r="U13" i="92"/>
  <c r="AS12" i="92"/>
  <c r="U12" i="92"/>
  <c r="AS11" i="92"/>
  <c r="U11" i="92"/>
  <c r="AS10" i="92"/>
  <c r="AT218" i="92" s="1"/>
  <c r="U10" i="92"/>
  <c r="AL19" i="92"/>
  <c r="N19" i="92"/>
  <c r="AO14" i="92"/>
  <c r="Q14" i="92"/>
  <c r="AO13" i="92"/>
  <c r="Q13" i="92"/>
  <c r="AO12" i="92"/>
  <c r="Q12" i="92"/>
  <c r="AO11" i="92"/>
  <c r="Q11" i="92"/>
  <c r="AO10" i="92"/>
  <c r="AT200" i="92" s="1"/>
  <c r="Q10" i="92"/>
  <c r="AH19" i="92"/>
  <c r="J19" i="92"/>
  <c r="AK14" i="92"/>
  <c r="M14" i="92"/>
  <c r="AK13" i="92"/>
  <c r="M13" i="92"/>
  <c r="AK12" i="92"/>
  <c r="M12" i="92"/>
  <c r="AK11" i="92"/>
  <c r="M11" i="92"/>
  <c r="AK10" i="92"/>
  <c r="M10" i="92"/>
  <c r="V145" i="92"/>
  <c r="AK145" i="92" s="1"/>
  <c r="V104" i="92"/>
  <c r="AK104" i="92" s="1"/>
  <c r="V109" i="92"/>
  <c r="AK109" i="92" s="1"/>
  <c r="V144" i="92"/>
  <c r="AK144" i="92" s="1"/>
  <c r="V182" i="92"/>
  <c r="AK182" i="92" s="1"/>
  <c r="V69" i="92"/>
  <c r="AK69" i="92" s="1"/>
  <c r="V129" i="92"/>
  <c r="AK129" i="92" s="1"/>
  <c r="V90" i="92"/>
  <c r="AK90" i="92" s="1"/>
  <c r="AK52" i="92"/>
  <c r="V108" i="92"/>
  <c r="AK108" i="92" s="1"/>
  <c r="V184" i="92"/>
  <c r="AK184" i="92" s="1"/>
  <c r="V205" i="92"/>
  <c r="AK205" i="92" s="1"/>
  <c r="V67" i="92"/>
  <c r="AK67" i="92" s="1"/>
  <c r="V165" i="92"/>
  <c r="AK165" i="92" s="1"/>
  <c r="V66" i="92"/>
  <c r="AK66" i="92" s="1"/>
  <c r="V126" i="92"/>
  <c r="AK126" i="92" s="1"/>
  <c r="V87" i="92"/>
  <c r="AK87" i="92" s="1"/>
  <c r="V142" i="92"/>
  <c r="AK142" i="92" s="1"/>
  <c r="V221" i="92"/>
  <c r="AK221" i="92" s="1"/>
  <c r="AK51" i="91"/>
  <c r="I75" i="99"/>
  <c r="I89" i="99"/>
  <c r="I76" i="99"/>
  <c r="I90" i="99"/>
  <c r="I71" i="99"/>
  <c r="I85" i="99"/>
  <c r="I77" i="99"/>
  <c r="I91" i="99"/>
  <c r="I72" i="99"/>
  <c r="I86" i="99"/>
  <c r="I78" i="99"/>
  <c r="I92" i="99"/>
  <c r="I73" i="99"/>
  <c r="I87" i="99"/>
  <c r="I79" i="99"/>
  <c r="I93" i="99"/>
  <c r="I74" i="99"/>
  <c r="I88" i="99"/>
  <c r="AV82" i="92"/>
  <c r="AV121" i="92" s="1"/>
  <c r="AV160" i="92" s="1"/>
  <c r="AV238" i="92" s="1"/>
  <c r="AK48" i="92"/>
  <c r="V127" i="92"/>
  <c r="AK127" i="92" s="1"/>
  <c r="V181" i="92"/>
  <c r="AK181" i="92" s="1"/>
  <c r="V222" i="92"/>
  <c r="AK222" i="92" s="1"/>
  <c r="V148" i="92"/>
  <c r="AK148" i="92" s="1"/>
  <c r="V186" i="92"/>
  <c r="AK186" i="92" s="1"/>
  <c r="V207" i="92"/>
  <c r="AK207" i="92" s="1"/>
  <c r="V64" i="92"/>
  <c r="AK64" i="92" s="1"/>
  <c r="V103" i="92"/>
  <c r="AK103" i="92" s="1"/>
  <c r="V183" i="92"/>
  <c r="AK183" i="92" s="1"/>
  <c r="V204" i="92"/>
  <c r="AK204" i="92" s="1"/>
  <c r="V130" i="92"/>
  <c r="AK130" i="92" s="1"/>
  <c r="V169" i="92"/>
  <c r="AK169" i="92" s="1"/>
  <c r="V220" i="92"/>
  <c r="AK220" i="92" s="1"/>
  <c r="V187" i="92"/>
  <c r="AK187" i="92" s="1"/>
  <c r="V70" i="92"/>
  <c r="AK70" i="92" s="1"/>
  <c r="V91" i="92"/>
  <c r="AK91" i="92" s="1"/>
  <c r="V208" i="92"/>
  <c r="AK208" i="92" s="1"/>
  <c r="V225" i="92"/>
  <c r="AK225" i="92" s="1"/>
  <c r="AK51" i="92"/>
  <c r="V147" i="92"/>
  <c r="AK147" i="92" s="1"/>
  <c r="V88" i="92"/>
  <c r="AK88" i="92" s="1"/>
  <c r="V166" i="92"/>
  <c r="AK166" i="92" s="1"/>
  <c r="AK49" i="92"/>
  <c r="V106" i="92"/>
  <c r="AK106" i="92" s="1"/>
  <c r="V65" i="92"/>
  <c r="AK65" i="92" s="1"/>
  <c r="V143" i="92"/>
  <c r="AK143" i="92" s="1"/>
  <c r="V164" i="92"/>
  <c r="AK164" i="92" s="1"/>
  <c r="V125" i="92"/>
  <c r="AK125" i="92" s="1"/>
  <c r="AK47" i="92"/>
  <c r="V86" i="92"/>
  <c r="AK86" i="92" s="1"/>
  <c r="V85" i="92"/>
  <c r="AK85" i="92" s="1"/>
  <c r="V124" i="92"/>
  <c r="AK124" i="92" s="1"/>
  <c r="V163" i="92"/>
  <c r="AK163" i="92" s="1"/>
  <c r="V202" i="92"/>
  <c r="AK202" i="92" s="1"/>
  <c r="U7" i="92"/>
  <c r="Y7" i="92"/>
  <c r="AC7" i="92"/>
  <c r="AS7" i="92"/>
  <c r="M7" i="92"/>
  <c r="AT62" i="92" s="1"/>
  <c r="AK7" i="92"/>
  <c r="I7" i="92"/>
  <c r="AG7" i="92"/>
  <c r="Q7" i="92"/>
  <c r="AO7" i="92"/>
  <c r="V224" i="92"/>
  <c r="AK224" i="92" s="1"/>
  <c r="V206" i="92"/>
  <c r="AK206" i="92" s="1"/>
  <c r="V146" i="92"/>
  <c r="AK146" i="92" s="1"/>
  <c r="V128" i="92"/>
  <c r="AK128" i="92" s="1"/>
  <c r="V68" i="92"/>
  <c r="AK68" i="92" s="1"/>
  <c r="V185" i="92"/>
  <c r="AK185" i="92" s="1"/>
  <c r="V167" i="92"/>
  <c r="AK167" i="92" s="1"/>
  <c r="V107" i="92"/>
  <c r="AK107" i="92" s="1"/>
  <c r="V89" i="92"/>
  <c r="AK89" i="92" s="1"/>
  <c r="AK50" i="92"/>
  <c r="AY41" i="92"/>
  <c r="AY119" i="92"/>
  <c r="AY197" i="92"/>
  <c r="AY80" i="92"/>
  <c r="AY158" i="92"/>
  <c r="V207" i="91"/>
  <c r="AK207" i="91" s="1"/>
  <c r="V225" i="91"/>
  <c r="AK225" i="91" s="1"/>
  <c r="V168" i="91"/>
  <c r="AK168" i="91" s="1"/>
  <c r="V186" i="91"/>
  <c r="AK186" i="91" s="1"/>
  <c r="V90" i="91"/>
  <c r="AK90" i="91" s="1"/>
  <c r="V129" i="91"/>
  <c r="AK129" i="91" s="1"/>
  <c r="V147" i="91"/>
  <c r="AK147" i="91" s="1"/>
  <c r="V69" i="91"/>
  <c r="AK69" i="91" s="1"/>
  <c r="V108" i="91"/>
  <c r="AK108" i="91" s="1"/>
  <c r="AP56" i="91"/>
  <c r="AP55" i="91"/>
  <c r="AP54" i="91"/>
  <c r="AP53" i="91"/>
  <c r="AP52" i="91"/>
  <c r="AP51" i="91"/>
  <c r="AP50" i="91"/>
  <c r="AP49" i="91"/>
  <c r="AP48" i="91"/>
  <c r="AP47" i="91"/>
  <c r="AI58" i="91"/>
  <c r="AI57" i="91"/>
  <c r="AT123" i="91"/>
  <c r="AS7" i="91"/>
  <c r="AO7" i="91"/>
  <c r="AK7" i="91"/>
  <c r="AC7" i="91"/>
  <c r="Y7" i="91"/>
  <c r="U7" i="91"/>
  <c r="Q7" i="91"/>
  <c r="M7" i="91"/>
  <c r="AT63" i="91" s="1"/>
  <c r="I7" i="91"/>
  <c r="AT45" i="91" s="1"/>
  <c r="AV4" i="91"/>
  <c r="AV3" i="91"/>
  <c r="AV44" i="91" s="1"/>
  <c r="AY1" i="91"/>
  <c r="AV1" i="91"/>
  <c r="AV42" i="91" s="1"/>
  <c r="AV81" i="91" s="1"/>
  <c r="AV120" i="91" s="1"/>
  <c r="AV159" i="91" s="1"/>
  <c r="AV198" i="91" s="1"/>
  <c r="I16" i="92" l="1"/>
  <c r="J22" i="92" s="1"/>
  <c r="I15" i="92"/>
  <c r="J21" i="92" s="1"/>
  <c r="M15" i="92"/>
  <c r="M16" i="92"/>
  <c r="N22" i="92" s="1"/>
  <c r="Q15" i="92"/>
  <c r="Q16" i="92"/>
  <c r="R22" i="92" s="1"/>
  <c r="U15" i="92"/>
  <c r="U16" i="92"/>
  <c r="V22" i="92" s="1"/>
  <c r="Y15" i="92"/>
  <c r="Y16" i="92"/>
  <c r="Z22" i="92" s="1"/>
  <c r="E16" i="92"/>
  <c r="F22" i="92" s="1"/>
  <c r="E15" i="92"/>
  <c r="F21" i="92" s="1"/>
  <c r="AG16" i="92"/>
  <c r="AH22" i="92" s="1"/>
  <c r="AG15" i="92"/>
  <c r="AK15" i="92"/>
  <c r="AK16" i="92"/>
  <c r="AL22" i="92" s="1"/>
  <c r="AO15" i="92"/>
  <c r="AO16" i="92"/>
  <c r="AP22" i="92" s="1"/>
  <c r="AS15" i="92"/>
  <c r="AS16" i="92"/>
  <c r="AT22" i="92" s="1"/>
  <c r="AC15" i="92"/>
  <c r="AC16" i="92"/>
  <c r="AD22" i="92" s="1"/>
  <c r="W84" i="99"/>
  <c r="W85" i="99"/>
  <c r="AV199" i="92"/>
  <c r="AV237" i="91"/>
  <c r="AV1" i="92"/>
  <c r="AV41" i="92" s="1"/>
  <c r="AV80" i="92" s="1"/>
  <c r="AV119" i="92" s="1"/>
  <c r="AV158" i="92" s="1"/>
  <c r="AV197" i="92" s="1"/>
  <c r="AV236" i="92" s="1"/>
  <c r="AY198" i="91"/>
  <c r="AY237" i="91"/>
  <c r="AT44" i="92"/>
  <c r="AV83" i="91"/>
  <c r="AV122" i="91" s="1"/>
  <c r="AV161" i="91" s="1"/>
  <c r="AV200" i="91" s="1"/>
  <c r="AT122" i="92"/>
  <c r="AT83" i="92"/>
  <c r="AT161" i="92"/>
  <c r="AT140" i="92"/>
  <c r="AT179" i="92"/>
  <c r="AT101" i="92"/>
  <c r="W92" i="99"/>
  <c r="AT201" i="91"/>
  <c r="W93" i="99"/>
  <c r="AT219" i="91"/>
  <c r="AT162" i="91"/>
  <c r="AT180" i="91"/>
  <c r="AY120" i="91"/>
  <c r="AY159" i="91"/>
  <c r="AD37" i="91"/>
  <c r="AT141" i="91"/>
  <c r="W87" i="99"/>
  <c r="AT102" i="91"/>
  <c r="AT84" i="91"/>
  <c r="AY81" i="91"/>
  <c r="AY42" i="91"/>
  <c r="F37" i="91"/>
  <c r="V37" i="91"/>
  <c r="Z37" i="91"/>
  <c r="AH37" i="91"/>
  <c r="J37" i="91"/>
  <c r="F36" i="91"/>
  <c r="B71" i="76" s="1"/>
  <c r="N37" i="91"/>
  <c r="AL37" i="91"/>
  <c r="R37" i="91"/>
  <c r="B55" i="76"/>
  <c r="B78" i="76" l="1"/>
  <c r="B73" i="76"/>
  <c r="B199" i="99"/>
  <c r="B189" i="99"/>
  <c r="B183" i="99"/>
  <c r="B173" i="99"/>
  <c r="B167" i="99"/>
  <c r="B149" i="99"/>
  <c r="B139" i="99"/>
  <c r="B133" i="99"/>
  <c r="B117" i="99"/>
  <c r="B77" i="76"/>
  <c r="B72" i="76"/>
  <c r="B198" i="99"/>
  <c r="B188" i="99"/>
  <c r="B182" i="99"/>
  <c r="B172" i="99"/>
  <c r="B166" i="99"/>
  <c r="B148" i="99"/>
  <c r="B138" i="99"/>
  <c r="B132" i="99"/>
  <c r="B122" i="99"/>
  <c r="B116" i="99"/>
  <c r="B150" i="99"/>
  <c r="B124" i="99"/>
  <c r="B76" i="76"/>
  <c r="B203" i="99"/>
  <c r="B197" i="99"/>
  <c r="B187" i="99"/>
  <c r="B181" i="99"/>
  <c r="B171" i="99"/>
  <c r="B153" i="99"/>
  <c r="B147" i="99"/>
  <c r="B137" i="99"/>
  <c r="B131" i="99"/>
  <c r="B121" i="99"/>
  <c r="B184" i="99"/>
  <c r="B118" i="99"/>
  <c r="B75" i="76"/>
  <c r="B202" i="99"/>
  <c r="B196" i="99"/>
  <c r="B186" i="99"/>
  <c r="B180" i="99"/>
  <c r="B170" i="99"/>
  <c r="B152" i="99"/>
  <c r="B146" i="99"/>
  <c r="B136" i="99"/>
  <c r="B130" i="99"/>
  <c r="B120" i="99"/>
  <c r="B74" i="76"/>
  <c r="B201" i="99"/>
  <c r="B195" i="99"/>
  <c r="B185" i="99"/>
  <c r="B175" i="99"/>
  <c r="B169" i="99"/>
  <c r="B151" i="99"/>
  <c r="B145" i="99"/>
  <c r="B135" i="99"/>
  <c r="B125" i="99"/>
  <c r="B119" i="99"/>
  <c r="B200" i="99"/>
  <c r="B194" i="99"/>
  <c r="B174" i="99"/>
  <c r="B168" i="99"/>
  <c r="B144" i="99"/>
  <c r="B134" i="99"/>
  <c r="B123" i="99"/>
  <c r="W78" i="76"/>
  <c r="AD78" i="76" s="1"/>
  <c r="W180" i="99"/>
  <c r="W130" i="99"/>
  <c r="W77" i="76"/>
  <c r="W72" i="76"/>
  <c r="W166" i="99"/>
  <c r="W116" i="99"/>
  <c r="W73" i="76"/>
  <c r="AD73" i="76" s="1"/>
  <c r="W75" i="76"/>
  <c r="W74" i="76"/>
  <c r="W194" i="99"/>
  <c r="W144" i="99"/>
  <c r="W76" i="76"/>
  <c r="AD76" i="76" s="1"/>
  <c r="AP21" i="92"/>
  <c r="R21" i="92"/>
  <c r="AD21" i="92"/>
  <c r="AL21" i="92"/>
  <c r="Z21" i="92"/>
  <c r="N21" i="92"/>
  <c r="AH21" i="92"/>
  <c r="AT21" i="92"/>
  <c r="V21" i="92"/>
  <c r="V96" i="92"/>
  <c r="AK96" i="92" s="1"/>
  <c r="J23" i="92"/>
  <c r="W88" i="99"/>
  <c r="W86" i="99"/>
  <c r="W91" i="99"/>
  <c r="AD38" i="91"/>
  <c r="W90" i="99"/>
  <c r="B93" i="99"/>
  <c r="AD93" i="99" s="1"/>
  <c r="B91" i="99"/>
  <c r="B87" i="99"/>
  <c r="AD87" i="99" s="1"/>
  <c r="B88" i="99"/>
  <c r="B86" i="99"/>
  <c r="B92" i="99"/>
  <c r="B85" i="99"/>
  <c r="AD85" i="99" s="1"/>
  <c r="B89" i="99"/>
  <c r="B90" i="99"/>
  <c r="B84" i="99"/>
  <c r="AD84" i="99" s="1"/>
  <c r="AV239" i="91"/>
  <c r="B77" i="99"/>
  <c r="B73" i="99"/>
  <c r="B70" i="99"/>
  <c r="B79" i="99"/>
  <c r="B78" i="99"/>
  <c r="B76" i="99"/>
  <c r="B75" i="99"/>
  <c r="B74" i="99"/>
  <c r="B72" i="99"/>
  <c r="B71" i="99"/>
  <c r="N38" i="91"/>
  <c r="V57" i="92"/>
  <c r="V230" i="92"/>
  <c r="AK230" i="92" s="1"/>
  <c r="V75" i="92"/>
  <c r="AK75" i="92" s="1"/>
  <c r="V114" i="92"/>
  <c r="AK114" i="92" s="1"/>
  <c r="V135" i="92"/>
  <c r="AK135" i="92" s="1"/>
  <c r="V113" i="92"/>
  <c r="AK113" i="92" s="1"/>
  <c r="V134" i="92"/>
  <c r="AK134" i="92" s="1"/>
  <c r="V95" i="92"/>
  <c r="AK95" i="92" s="1"/>
  <c r="V56" i="92"/>
  <c r="AK56" i="92" s="1"/>
  <c r="V191" i="92"/>
  <c r="AK191" i="92" s="1"/>
  <c r="V212" i="92"/>
  <c r="AK212" i="92" s="1"/>
  <c r="V173" i="92"/>
  <c r="AK173" i="92" s="1"/>
  <c r="V74" i="92"/>
  <c r="AK74" i="92" s="1"/>
  <c r="V152" i="92"/>
  <c r="AK152" i="92" s="1"/>
  <c r="V174" i="92"/>
  <c r="AK174" i="92" s="1"/>
  <c r="V153" i="92"/>
  <c r="AK153" i="92" s="1"/>
  <c r="V231" i="92"/>
  <c r="AK231" i="92" s="1"/>
  <c r="V213" i="92"/>
  <c r="AK213" i="92" s="1"/>
  <c r="V192" i="92"/>
  <c r="AK192" i="92" s="1"/>
  <c r="J38" i="91"/>
  <c r="V38" i="91"/>
  <c r="AP38" i="91"/>
  <c r="AT38" i="91"/>
  <c r="V214" i="91"/>
  <c r="AP37" i="91"/>
  <c r="V232" i="91"/>
  <c r="AK232" i="91" s="1"/>
  <c r="V175" i="91"/>
  <c r="V231" i="91"/>
  <c r="AK231" i="91" s="1"/>
  <c r="V213" i="91"/>
  <c r="AK213" i="91" s="1"/>
  <c r="V193" i="91"/>
  <c r="V154" i="91"/>
  <c r="V135" i="91"/>
  <c r="AK135" i="91" s="1"/>
  <c r="V192" i="91"/>
  <c r="AK192" i="91" s="1"/>
  <c r="V174" i="91"/>
  <c r="AK174" i="91" s="1"/>
  <c r="V136" i="91"/>
  <c r="V153" i="91"/>
  <c r="AK153" i="91" s="1"/>
  <c r="V97" i="91"/>
  <c r="AK97" i="91" s="1"/>
  <c r="V115" i="91"/>
  <c r="V76" i="91"/>
  <c r="V75" i="91"/>
  <c r="AK75" i="91" s="1"/>
  <c r="V114" i="91"/>
  <c r="AK114" i="91" s="1"/>
  <c r="V96" i="91"/>
  <c r="AK96" i="91" s="1"/>
  <c r="AH39" i="91"/>
  <c r="V58" i="91"/>
  <c r="V57" i="91"/>
  <c r="AK57" i="91" s="1"/>
  <c r="AL39" i="91"/>
  <c r="R39" i="91"/>
  <c r="AD39" i="91"/>
  <c r="Z39" i="91"/>
  <c r="N39" i="91"/>
  <c r="AD180" i="99" l="1"/>
  <c r="AD74" i="76"/>
  <c r="AD194" i="99"/>
  <c r="AD72" i="76"/>
  <c r="AD75" i="76"/>
  <c r="AD130" i="99"/>
  <c r="AD77" i="76"/>
  <c r="AD116" i="99"/>
  <c r="AD144" i="99"/>
  <c r="AD166" i="99"/>
  <c r="W79" i="99"/>
  <c r="AD79" i="99" s="1"/>
  <c r="W189" i="99"/>
  <c r="AD189" i="99" s="1"/>
  <c r="W139" i="99"/>
  <c r="AD139" i="99" s="1"/>
  <c r="W175" i="99"/>
  <c r="AD175" i="99" s="1"/>
  <c r="W125" i="99"/>
  <c r="AD125" i="99" s="1"/>
  <c r="W203" i="99"/>
  <c r="AD203" i="99" s="1"/>
  <c r="W153" i="99"/>
  <c r="AD153" i="99" s="1"/>
  <c r="Z23" i="92"/>
  <c r="W170" i="99"/>
  <c r="AD170" i="99" s="1"/>
  <c r="W120" i="99"/>
  <c r="AD120" i="99" s="1"/>
  <c r="W198" i="99"/>
  <c r="AD198" i="99" s="1"/>
  <c r="W148" i="99"/>
  <c r="AD148" i="99" s="1"/>
  <c r="W184" i="99"/>
  <c r="AD184" i="99" s="1"/>
  <c r="W134" i="99"/>
  <c r="AD134" i="99" s="1"/>
  <c r="W77" i="99"/>
  <c r="AD77" i="99" s="1"/>
  <c r="W173" i="99"/>
  <c r="AD173" i="99" s="1"/>
  <c r="W123" i="99"/>
  <c r="AD123" i="99" s="1"/>
  <c r="W201" i="99"/>
  <c r="AD201" i="99" s="1"/>
  <c r="W151" i="99"/>
  <c r="AD151" i="99" s="1"/>
  <c r="W187" i="99"/>
  <c r="AD187" i="99" s="1"/>
  <c r="W137" i="99"/>
  <c r="AD137" i="99" s="1"/>
  <c r="W73" i="99"/>
  <c r="W183" i="99"/>
  <c r="AD183" i="99" s="1"/>
  <c r="W133" i="99"/>
  <c r="AD133" i="99" s="1"/>
  <c r="W169" i="99"/>
  <c r="AD169" i="99" s="1"/>
  <c r="W119" i="99"/>
  <c r="AD119" i="99" s="1"/>
  <c r="W197" i="99"/>
  <c r="AD197" i="99" s="1"/>
  <c r="W147" i="99"/>
  <c r="AD147" i="99" s="1"/>
  <c r="AD23" i="92"/>
  <c r="W199" i="99"/>
  <c r="AD199" i="99" s="1"/>
  <c r="W149" i="99"/>
  <c r="AD149" i="99" s="1"/>
  <c r="W185" i="99"/>
  <c r="AD185" i="99" s="1"/>
  <c r="W135" i="99"/>
  <c r="AD135" i="99" s="1"/>
  <c r="W171" i="99"/>
  <c r="AD171" i="99" s="1"/>
  <c r="W121" i="99"/>
  <c r="AD121" i="99" s="1"/>
  <c r="W78" i="99"/>
  <c r="AD78" i="99" s="1"/>
  <c r="W202" i="99"/>
  <c r="AD202" i="99" s="1"/>
  <c r="W152" i="99"/>
  <c r="AD152" i="99" s="1"/>
  <c r="W188" i="99"/>
  <c r="AD188" i="99" s="1"/>
  <c r="W138" i="99"/>
  <c r="AD138" i="99" s="1"/>
  <c r="W174" i="99"/>
  <c r="AD174" i="99" s="1"/>
  <c r="W124" i="99"/>
  <c r="AD124" i="99" s="1"/>
  <c r="W72" i="99"/>
  <c r="AD72" i="99" s="1"/>
  <c r="W196" i="99"/>
  <c r="AD196" i="99" s="1"/>
  <c r="W146" i="99"/>
  <c r="AD146" i="99" s="1"/>
  <c r="W182" i="99"/>
  <c r="AD182" i="99" s="1"/>
  <c r="W132" i="99"/>
  <c r="AD132" i="99" s="1"/>
  <c r="W118" i="99"/>
  <c r="AD118" i="99" s="1"/>
  <c r="W168" i="99"/>
  <c r="AD168" i="99" s="1"/>
  <c r="W76" i="99"/>
  <c r="AD76" i="99" s="1"/>
  <c r="W186" i="99"/>
  <c r="AD186" i="99" s="1"/>
  <c r="W136" i="99"/>
  <c r="AD136" i="99" s="1"/>
  <c r="W172" i="99"/>
  <c r="AD172" i="99" s="1"/>
  <c r="W122" i="99"/>
  <c r="AD122" i="99" s="1"/>
  <c r="W150" i="99"/>
  <c r="AD150" i="99" s="1"/>
  <c r="W200" i="99"/>
  <c r="AD200" i="99" s="1"/>
  <c r="W71" i="99"/>
  <c r="AD71" i="99" s="1"/>
  <c r="W167" i="99"/>
  <c r="AD167" i="99" s="1"/>
  <c r="W117" i="99"/>
  <c r="AD117" i="99" s="1"/>
  <c r="W195" i="99"/>
  <c r="AD195" i="99" s="1"/>
  <c r="W145" i="99"/>
  <c r="AD145" i="99" s="1"/>
  <c r="W181" i="99"/>
  <c r="AD181" i="99" s="1"/>
  <c r="W131" i="99"/>
  <c r="AD131" i="99" s="1"/>
  <c r="AH24" i="92"/>
  <c r="N24" i="92"/>
  <c r="V72" i="92" s="1"/>
  <c r="AK72" i="92" s="1"/>
  <c r="AK76" i="92" s="1"/>
  <c r="AD24" i="92"/>
  <c r="V150" i="92" s="1"/>
  <c r="AK150" i="92" s="1"/>
  <c r="AK154" i="92" s="1"/>
  <c r="Z24" i="92"/>
  <c r="V132" i="92" s="1"/>
  <c r="AK132" i="92" s="1"/>
  <c r="AK136" i="92" s="1"/>
  <c r="R24" i="92"/>
  <c r="V93" i="92" s="1"/>
  <c r="AK93" i="92" s="1"/>
  <c r="AK97" i="92" s="1"/>
  <c r="AL24" i="92"/>
  <c r="V189" i="92" s="1"/>
  <c r="AK189" i="92" s="1"/>
  <c r="AK193" i="92" s="1"/>
  <c r="AH23" i="92"/>
  <c r="N23" i="92"/>
  <c r="AP23" i="92"/>
  <c r="AL23" i="92"/>
  <c r="V23" i="92"/>
  <c r="R23" i="92"/>
  <c r="AT23" i="92"/>
  <c r="W75" i="99"/>
  <c r="AD75" i="99" s="1"/>
  <c r="W74" i="99"/>
  <c r="AD74" i="99" s="1"/>
  <c r="AK57" i="92"/>
  <c r="AK58" i="91"/>
  <c r="AH38" i="91"/>
  <c r="W70" i="99"/>
  <c r="AD70" i="99" s="1"/>
  <c r="Z38" i="91"/>
  <c r="AL38" i="91"/>
  <c r="R38" i="91"/>
  <c r="AD91" i="99"/>
  <c r="W89" i="99"/>
  <c r="AD89" i="99" s="1"/>
  <c r="AD92" i="99"/>
  <c r="AD86" i="99"/>
  <c r="AD88" i="99"/>
  <c r="AD90" i="99"/>
  <c r="AD71" i="76"/>
  <c r="J39" i="91"/>
  <c r="V211" i="91"/>
  <c r="AK211" i="91" s="1"/>
  <c r="AP39" i="91"/>
  <c r="V229" i="91"/>
  <c r="AK229" i="91" s="1"/>
  <c r="AK233" i="91" s="1"/>
  <c r="AP233" i="91" s="1"/>
  <c r="AT39" i="91"/>
  <c r="V112" i="91"/>
  <c r="AK112" i="91" s="1"/>
  <c r="V39" i="91"/>
  <c r="V172" i="91"/>
  <c r="AK172" i="91" s="1"/>
  <c r="AK214" i="91"/>
  <c r="V190" i="91"/>
  <c r="AK190" i="91" s="1"/>
  <c r="V151" i="91"/>
  <c r="AK151" i="91" s="1"/>
  <c r="V133" i="91"/>
  <c r="AK133" i="91" s="1"/>
  <c r="AK175" i="91"/>
  <c r="AK193" i="91"/>
  <c r="V94" i="91"/>
  <c r="AK94" i="91" s="1"/>
  <c r="AK98" i="91" s="1"/>
  <c r="AP98" i="91" s="1"/>
  <c r="AK154" i="91"/>
  <c r="AK136" i="91"/>
  <c r="V73" i="91"/>
  <c r="AK73" i="91" s="1"/>
  <c r="V55" i="91"/>
  <c r="AK55" i="91" s="1"/>
  <c r="AK115" i="91"/>
  <c r="AK76" i="91"/>
  <c r="AH61" i="99"/>
  <c r="Z23" i="78"/>
  <c r="I23" i="78"/>
  <c r="B61" i="99" s="1"/>
  <c r="I24" i="78"/>
  <c r="I25" i="78"/>
  <c r="AF23" i="78"/>
  <c r="S61" i="99" s="1"/>
  <c r="AA61" i="99" s="1"/>
  <c r="AF25" i="78"/>
  <c r="Z25" i="78"/>
  <c r="AH60" i="99"/>
  <c r="Z22" i="78"/>
  <c r="AN25" i="78"/>
  <c r="V171" i="92" l="1"/>
  <c r="AK171" i="92" s="1"/>
  <c r="AK175" i="92" s="1"/>
  <c r="AD73" i="99"/>
  <c r="AT24" i="92"/>
  <c r="V228" i="92" s="1"/>
  <c r="AK228" i="92" s="1"/>
  <c r="AK232" i="92" s="1"/>
  <c r="AP24" i="92"/>
  <c r="V210" i="92" s="1"/>
  <c r="AK210" i="92" s="1"/>
  <c r="AK214" i="92" s="1"/>
  <c r="V24" i="92"/>
  <c r="V111" i="92" s="1"/>
  <c r="AK111" i="92" s="1"/>
  <c r="AK115" i="92" s="1"/>
  <c r="J24" i="92"/>
  <c r="V54" i="92" s="1"/>
  <c r="AK54" i="92" s="1"/>
  <c r="AK58" i="92" s="1"/>
  <c r="AK59" i="91"/>
  <c r="AP97" i="92"/>
  <c r="AC98" i="92" s="1"/>
  <c r="AK98" i="92" s="1"/>
  <c r="AK99" i="92" s="1"/>
  <c r="R25" i="92" s="1"/>
  <c r="AP136" i="92"/>
  <c r="AC137" i="92" s="1"/>
  <c r="AK137" i="92" s="1"/>
  <c r="AK138" i="92" s="1"/>
  <c r="Z25" i="92" s="1"/>
  <c r="AP193" i="92"/>
  <c r="AC194" i="92" s="1"/>
  <c r="AK194" i="92" s="1"/>
  <c r="AK195" i="92" s="1"/>
  <c r="AL25" i="92" s="1"/>
  <c r="AP76" i="92"/>
  <c r="AC77" i="92" s="1"/>
  <c r="AK77" i="92" s="1"/>
  <c r="AK78" i="92" s="1"/>
  <c r="N25" i="92" s="1"/>
  <c r="AP154" i="92"/>
  <c r="AC155" i="92" s="1"/>
  <c r="AK155" i="92" s="1"/>
  <c r="AK156" i="92" s="1"/>
  <c r="AD25" i="92" s="1"/>
  <c r="AK194" i="91"/>
  <c r="AP194" i="91" s="1"/>
  <c r="AK215" i="91"/>
  <c r="AP215" i="91" s="1"/>
  <c r="AK137" i="91"/>
  <c r="AP137" i="91" s="1"/>
  <c r="AK176" i="91"/>
  <c r="AP176" i="91" s="1"/>
  <c r="AK155" i="91"/>
  <c r="AP155" i="91" s="1"/>
  <c r="AK116" i="91"/>
  <c r="AP116" i="91" s="1"/>
  <c r="AK77" i="91"/>
  <c r="AP77" i="91" s="1"/>
  <c r="AC99" i="91"/>
  <c r="AK99" i="91" s="1"/>
  <c r="AK100" i="91" s="1"/>
  <c r="R40" i="91" s="1"/>
  <c r="AI86" i="99" s="1"/>
  <c r="B60" i="99"/>
  <c r="S60" i="99"/>
  <c r="AA60" i="99" s="1"/>
  <c r="I66" i="76"/>
  <c r="AP175" i="92" l="1"/>
  <c r="AC176" i="92" s="1"/>
  <c r="AK176" i="92" s="1"/>
  <c r="AK177" i="92" s="1"/>
  <c r="AH25" i="92" s="1"/>
  <c r="AP59" i="91"/>
  <c r="AC60" i="91" s="1"/>
  <c r="AK60" i="91" s="1"/>
  <c r="AK61" i="91" s="1"/>
  <c r="J40" i="91" s="1"/>
  <c r="AI71" i="76" s="1"/>
  <c r="AI77" i="99"/>
  <c r="AI201" i="99"/>
  <c r="AI187" i="99"/>
  <c r="AI173" i="99"/>
  <c r="AI123" i="99"/>
  <c r="AI151" i="99"/>
  <c r="AI137" i="99"/>
  <c r="AI74" i="99"/>
  <c r="AI170" i="99"/>
  <c r="AI148" i="99"/>
  <c r="AI134" i="99"/>
  <c r="AI120" i="99"/>
  <c r="AI184" i="99"/>
  <c r="AI198" i="99"/>
  <c r="AI72" i="99"/>
  <c r="AI132" i="99"/>
  <c r="AI196" i="99"/>
  <c r="AI182" i="99"/>
  <c r="AI168" i="99"/>
  <c r="AI146" i="99"/>
  <c r="AI118" i="99"/>
  <c r="AI75" i="99"/>
  <c r="AI199" i="99"/>
  <c r="AI185" i="99"/>
  <c r="AI149" i="99"/>
  <c r="AI135" i="99"/>
  <c r="AI171" i="99"/>
  <c r="AI121" i="99"/>
  <c r="AI71" i="99"/>
  <c r="AI181" i="99"/>
  <c r="AI167" i="99"/>
  <c r="AI131" i="99"/>
  <c r="AI195" i="99"/>
  <c r="AI145" i="99"/>
  <c r="AI117" i="99"/>
  <c r="AI76" i="99"/>
  <c r="AI122" i="99"/>
  <c r="AI200" i="99"/>
  <c r="AI186" i="99"/>
  <c r="AI172" i="99"/>
  <c r="AI150" i="99"/>
  <c r="AI136" i="99"/>
  <c r="AP58" i="92"/>
  <c r="AC59" i="92" s="1"/>
  <c r="AK59" i="92" s="1"/>
  <c r="AK60" i="92" s="1"/>
  <c r="AP232" i="92"/>
  <c r="AC233" i="92" s="1"/>
  <c r="AK233" i="92" s="1"/>
  <c r="AK234" i="92" s="1"/>
  <c r="AP214" i="92"/>
  <c r="AC215" i="92" s="1"/>
  <c r="AK215" i="92" s="1"/>
  <c r="AK216" i="92" s="1"/>
  <c r="AP25" i="92" s="1"/>
  <c r="AP115" i="92"/>
  <c r="AC116" i="92" s="1"/>
  <c r="AK116" i="92" s="1"/>
  <c r="AK117" i="92" s="1"/>
  <c r="V25" i="92" s="1"/>
  <c r="AC138" i="91"/>
  <c r="AK138" i="91" s="1"/>
  <c r="AK139" i="91" s="1"/>
  <c r="Z40" i="91" s="1"/>
  <c r="AI88" i="99" s="1"/>
  <c r="AC78" i="91"/>
  <c r="AK78" i="91" s="1"/>
  <c r="AK79" i="91" s="1"/>
  <c r="N40" i="91" s="1"/>
  <c r="AI85" i="99" s="1"/>
  <c r="AC195" i="91"/>
  <c r="AK195" i="91" s="1"/>
  <c r="AK196" i="91" s="1"/>
  <c r="AL40" i="91" s="1"/>
  <c r="AI91" i="99" s="1"/>
  <c r="AC117" i="91"/>
  <c r="AK117" i="91" s="1"/>
  <c r="AK118" i="91" s="1"/>
  <c r="V40" i="91" s="1"/>
  <c r="AI87" i="99" s="1"/>
  <c r="B163" i="99"/>
  <c r="B81" i="99"/>
  <c r="AC216" i="91"/>
  <c r="AK216" i="91" s="1"/>
  <c r="AK217" i="91" s="1"/>
  <c r="AP40" i="91" s="1"/>
  <c r="AI92" i="99" s="1"/>
  <c r="AC234" i="91"/>
  <c r="AK234" i="91" s="1"/>
  <c r="AK235" i="91" s="1"/>
  <c r="AT40" i="91" s="1"/>
  <c r="AI93" i="99" s="1"/>
  <c r="AC177" i="91"/>
  <c r="AK177" i="91" s="1"/>
  <c r="AK178" i="91" s="1"/>
  <c r="AH40" i="91" s="1"/>
  <c r="AI90" i="99" s="1"/>
  <c r="AC156" i="91"/>
  <c r="AK156" i="91" s="1"/>
  <c r="AK157" i="91" s="1"/>
  <c r="AD40" i="91" s="1"/>
  <c r="AI89" i="99" s="1"/>
  <c r="AI73" i="99" l="1"/>
  <c r="AI197" i="99"/>
  <c r="AI183" i="99"/>
  <c r="AI169" i="99"/>
  <c r="AI147" i="99"/>
  <c r="AI119" i="99"/>
  <c r="AI133" i="99"/>
  <c r="AI78" i="99"/>
  <c r="AI152" i="99"/>
  <c r="AI138" i="99"/>
  <c r="AI202" i="99"/>
  <c r="AI188" i="99"/>
  <c r="AI174" i="99"/>
  <c r="AI124" i="99"/>
  <c r="AI84" i="99"/>
  <c r="J25" i="92"/>
  <c r="AT25" i="92"/>
  <c r="I7" i="78"/>
  <c r="AI78" i="76" l="1"/>
  <c r="AI75" i="76"/>
  <c r="AI72" i="76"/>
  <c r="AI76" i="76"/>
  <c r="AI74" i="76"/>
  <c r="AI73" i="76"/>
  <c r="AI77" i="76"/>
  <c r="AI79" i="99"/>
  <c r="AI203" i="99"/>
  <c r="AI189" i="99"/>
  <c r="AI175" i="99"/>
  <c r="AI153" i="99"/>
  <c r="AI139" i="99"/>
  <c r="AI125" i="99"/>
  <c r="AI194" i="99"/>
  <c r="AI180" i="99"/>
  <c r="AI130" i="99"/>
  <c r="AI116" i="99"/>
  <c r="AI166" i="99"/>
  <c r="AI144" i="99"/>
  <c r="AI70" i="99"/>
  <c r="C18" i="76"/>
  <c r="I10" i="78"/>
  <c r="AI9" i="76"/>
  <c r="B61" i="76" l="1"/>
  <c r="S62" i="76"/>
  <c r="S61" i="76"/>
  <c r="AA61" i="76" s="1"/>
  <c r="B62" i="76"/>
  <c r="AH61" i="76"/>
  <c r="AH62" i="76" l="1"/>
  <c r="AA62" i="76"/>
  <c r="I9" i="78" l="1"/>
  <c r="J12" i="99" s="1"/>
  <c r="I8" i="78"/>
  <c r="J11" i="76" l="1"/>
  <c r="J11" i="99"/>
  <c r="J12" i="76"/>
  <c r="J21" i="76" l="1"/>
  <c r="J16" i="76"/>
  <c r="W45" i="76" l="1"/>
  <c r="J22" i="76" l="1"/>
  <c r="D45" i="76" l="1"/>
  <c r="AI57" i="76" l="1"/>
  <c r="J13" i="76" l="1"/>
  <c r="J23" i="76"/>
  <c r="AW9" i="78"/>
  <c r="AW10" i="78" s="1"/>
  <c r="AW11" i="78" s="1"/>
  <c r="AV9" i="78"/>
  <c r="AV10" i="78" s="1"/>
  <c r="AV11" i="78" s="1"/>
  <c r="AW12" i="78" l="1"/>
  <c r="J24" i="76"/>
  <c r="J24" i="99"/>
  <c r="S37" i="78"/>
  <c r="AP37" i="7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185F461-8731-433F-B828-0F4476211B0F}" keepAlive="1" name="Query - Data" description="Connection to the 'Data' query in the workbook." type="5" refreshedVersion="8" background="1" saveData="1">
    <dbPr connection="Provider=Microsoft.Mashup.OleDb.1;Data Source=$Workbook$;Location=Data;Extended Properties=&quot;&quot;" command="SELECT * FROM [Data]"/>
  </connection>
  <connection id="2" xr16:uid="{81FD3C73-B4E2-46FA-AF3D-F374BC1995F8}" keepAlive="1" name="Query - DTM" description="Connection to the 'DTM' query in the workbook." type="5" refreshedVersion="8" background="1" saveData="1">
    <dbPr connection="Provider=Microsoft.Mashup.OleDb.1;Data Source=$Workbook$;Location=DTM;Extended Properties=&quot;&quot;" command="SELECT * FROM [DTM]"/>
  </connection>
</connections>
</file>

<file path=xl/sharedStrings.xml><?xml version="1.0" encoding="utf-8"?>
<sst xmlns="http://schemas.openxmlformats.org/spreadsheetml/2006/main" count="3199" uniqueCount="581">
  <si>
    <t>Reading</t>
  </si>
  <si>
    <t>Apparatus</t>
  </si>
  <si>
    <t>Order Item No.:</t>
  </si>
  <si>
    <t>Finished Date:</t>
  </si>
  <si>
    <t>%</t>
  </si>
  <si>
    <t>Page:</t>
  </si>
  <si>
    <t>of</t>
  </si>
  <si>
    <t>Certificate No.:</t>
  </si>
  <si>
    <t>Calibration Point:</t>
  </si>
  <si>
    <t xml:space="preserve">Number </t>
  </si>
  <si>
    <t>UUC</t>
  </si>
  <si>
    <t>( n )</t>
  </si>
  <si>
    <t>Calibrated By:</t>
  </si>
  <si>
    <t>Date:</t>
  </si>
  <si>
    <t>Certified By:</t>
  </si>
  <si>
    <t>Note:</t>
  </si>
  <si>
    <t>Customer:</t>
  </si>
  <si>
    <t>Environment Condition.:</t>
  </si>
  <si>
    <t>Temperature:</t>
  </si>
  <si>
    <t>Instrument Name:</t>
  </si>
  <si>
    <t>Model:</t>
  </si>
  <si>
    <t>Serial No.:</t>
  </si>
  <si>
    <t>ID No.:</t>
  </si>
  <si>
    <t>Manufacturer:</t>
  </si>
  <si>
    <t>Received Date:</t>
  </si>
  <si>
    <t>Calibrated Date:</t>
  </si>
  <si>
    <t>Reference Standard</t>
  </si>
  <si>
    <t>Model</t>
  </si>
  <si>
    <t>Serial No</t>
  </si>
  <si>
    <t>(Without Adjustment)</t>
  </si>
  <si>
    <t>Environmental</t>
  </si>
  <si>
    <t>Reporting of Temperature Distribution</t>
  </si>
  <si>
    <t>Uncertainty</t>
  </si>
  <si>
    <t>Maximum</t>
  </si>
  <si>
    <t>Minimum</t>
  </si>
  <si>
    <t>Temperature sensor measurement</t>
  </si>
  <si>
    <t>No.</t>
  </si>
  <si>
    <t>Normal</t>
  </si>
  <si>
    <t>Certificate Number :</t>
  </si>
  <si>
    <t>Page :</t>
  </si>
  <si>
    <t>Relative Humidity :</t>
  </si>
  <si>
    <t>Traceability of  Measurement</t>
  </si>
  <si>
    <t xml:space="preserve">      Page :</t>
  </si>
  <si>
    <t>Certificate No.</t>
  </si>
  <si>
    <t>Parameter</t>
  </si>
  <si>
    <t>°C</t>
  </si>
  <si>
    <t xml:space="preserve">   </t>
  </si>
  <si>
    <t>Rel. Humidity:</t>
  </si>
  <si>
    <t>q</t>
  </si>
  <si>
    <t>S(q )</t>
  </si>
  <si>
    <t>Temperature Coeff.</t>
  </si>
  <si>
    <t>Temp. Coeff.</t>
  </si>
  <si>
    <t xml:space="preserve"> CERTIFICATE OF CALIBRATION</t>
  </si>
  <si>
    <t xml:space="preserve">Equipment </t>
  </si>
  <si>
    <t>:</t>
  </si>
  <si>
    <t xml:space="preserve">Manufacturer </t>
  </si>
  <si>
    <t xml:space="preserve">Model </t>
  </si>
  <si>
    <t>ID Number</t>
  </si>
  <si>
    <t xml:space="preserve">Serial Number </t>
  </si>
  <si>
    <t>Customer</t>
  </si>
  <si>
    <t>Issued date</t>
  </si>
  <si>
    <t>Received number</t>
  </si>
  <si>
    <t xml:space="preserve">Received date </t>
  </si>
  <si>
    <t xml:space="preserve">Calibration date </t>
  </si>
  <si>
    <t>Ambient Temperature :</t>
  </si>
  <si>
    <t>Received number:</t>
  </si>
  <si>
    <t>Calibrated By</t>
  </si>
  <si>
    <t>Approved By</t>
  </si>
  <si>
    <t>This certificate is issued the units of measurement according to the International System of units (SI unit).</t>
  </si>
  <si>
    <t xml:space="preserve">standard laboratories. </t>
  </si>
  <si>
    <t xml:space="preserve">It provides traceability of measurement to international or national standard or other recognized national </t>
  </si>
  <si>
    <t xml:space="preserve">Bangkok, Thailand 10400 </t>
  </si>
  <si>
    <t>This certificate is valid only to the item calibrated on date and place of calibration. The report shall not be</t>
  </si>
  <si>
    <t xml:space="preserve">Reference Standard </t>
  </si>
  <si>
    <t>Instrument</t>
  </si>
  <si>
    <t>BL-1D</t>
  </si>
  <si>
    <t>Serial NO.</t>
  </si>
  <si>
    <t>Cal.Date</t>
  </si>
  <si>
    <t xml:space="preserve">Calibration Procedure </t>
  </si>
  <si>
    <t>Reading (ºC)</t>
  </si>
  <si>
    <t>2 of 2</t>
  </si>
  <si>
    <t>1 of 2</t>
  </si>
  <si>
    <t>cm.</t>
  </si>
  <si>
    <t>Santipap  Chankan</t>
  </si>
  <si>
    <t>Name</t>
  </si>
  <si>
    <t>Approved By:</t>
  </si>
  <si>
    <t>60 % ± 20 %</t>
  </si>
  <si>
    <t>( ± ºC )</t>
  </si>
  <si>
    <t>The measurement uncertainty stated is the expanded uncertainty which is obtained from the standard uncertainty</t>
  </si>
  <si>
    <t>Result of Calibration :</t>
  </si>
  <si>
    <r>
      <rPr>
        <b/>
        <vertAlign val="superscript"/>
        <sz val="11"/>
        <rFont val="Times New Roman"/>
        <family val="1"/>
      </rPr>
      <t>O</t>
    </r>
    <r>
      <rPr>
        <b/>
        <sz val="11"/>
        <rFont val="Times New Roman"/>
        <family val="1"/>
      </rPr>
      <t>C</t>
    </r>
  </si>
  <si>
    <r>
      <t>O</t>
    </r>
    <r>
      <rPr>
        <b/>
        <sz val="11"/>
        <rFont val="Times New Roman"/>
        <family val="1"/>
      </rPr>
      <t>C</t>
    </r>
  </si>
  <si>
    <r>
      <t>q</t>
    </r>
    <r>
      <rPr>
        <b/>
        <i/>
        <vertAlign val="subscript"/>
        <sz val="11"/>
        <rFont val="Times New Roman"/>
        <family val="1"/>
      </rPr>
      <t>1</t>
    </r>
  </si>
  <si>
    <r>
      <t>q</t>
    </r>
    <r>
      <rPr>
        <b/>
        <i/>
        <vertAlign val="subscript"/>
        <sz val="11"/>
        <rFont val="Times New Roman"/>
        <family val="1"/>
      </rPr>
      <t>2</t>
    </r>
  </si>
  <si>
    <r>
      <t>q</t>
    </r>
    <r>
      <rPr>
        <b/>
        <i/>
        <vertAlign val="subscript"/>
        <sz val="11"/>
        <rFont val="Times New Roman"/>
        <family val="1"/>
      </rPr>
      <t>3</t>
    </r>
  </si>
  <si>
    <r>
      <t>q</t>
    </r>
    <r>
      <rPr>
        <b/>
        <i/>
        <vertAlign val="subscript"/>
        <sz val="11"/>
        <rFont val="Times New Roman"/>
        <family val="1"/>
      </rPr>
      <t>4</t>
    </r>
  </si>
  <si>
    <r>
      <t>q</t>
    </r>
    <r>
      <rPr>
        <b/>
        <i/>
        <vertAlign val="subscript"/>
        <sz val="11"/>
        <rFont val="Times New Roman"/>
        <family val="1"/>
      </rPr>
      <t>5</t>
    </r>
  </si>
  <si>
    <t>A18061013</t>
  </si>
  <si>
    <r>
      <t>multiplied by the coverage factor (</t>
    </r>
    <r>
      <rPr>
        <i/>
        <sz val="11"/>
        <rFont val="Times New Roman"/>
        <family val="1"/>
      </rPr>
      <t>k</t>
    </r>
    <r>
      <rPr>
        <sz val="11"/>
        <rFont val="Times New Roman"/>
        <family val="1"/>
      </rPr>
      <t>=2) to provide a level of confidence of approximately 95%.</t>
    </r>
  </si>
  <si>
    <t>Revision Number:</t>
  </si>
  <si>
    <t>reproduced except in full without approval of Medical depot division of Royal Thai Army Medical Department.</t>
  </si>
  <si>
    <t>Digital Thermo Hygrometer</t>
  </si>
  <si>
    <t>FLUKE</t>
  </si>
  <si>
    <t xml:space="preserve">1586A </t>
  </si>
  <si>
    <t>ROTRONIC</t>
  </si>
  <si>
    <t>A18061026</t>
  </si>
  <si>
    <t>A18061029</t>
  </si>
  <si>
    <t>50125022</t>
  </si>
  <si>
    <t>Condition:</t>
  </si>
  <si>
    <t>Temperature indicator with Thermocouple Type K</t>
  </si>
  <si>
    <t>Thermo-hygrometer with probe</t>
  </si>
  <si>
    <t>Liquid Bath</t>
  </si>
  <si>
    <t>Autoclave</t>
  </si>
  <si>
    <t>Centrifuge</t>
  </si>
  <si>
    <t>Shaker</t>
  </si>
  <si>
    <t>Army Medical Department</t>
  </si>
  <si>
    <t>กรมแพทย์ทหารบก</t>
  </si>
  <si>
    <t>สถาบันพยาธิวิทยา</t>
  </si>
  <si>
    <t>รพ.ค่ายธนะรัชต์</t>
  </si>
  <si>
    <t>รพ.อานันทมหิดล</t>
  </si>
  <si>
    <t>รพ.ค่ายอดิศร</t>
  </si>
  <si>
    <t>รพ.ค่ายจักรพงษ์</t>
  </si>
  <si>
    <t>รพ.ค่ายสุรสิงหนาท</t>
  </si>
  <si>
    <t>รพ.ค่ายนวมินทราชินี</t>
  </si>
  <si>
    <t>รพ.ค่ายสุรสีห์</t>
  </si>
  <si>
    <t>รพ.ค่ายภาณุรังษี</t>
  </si>
  <si>
    <t>รพ.ค่ายรามราชนิเวศน์</t>
  </si>
  <si>
    <t>รพ.ค่ายสุรนารี</t>
  </si>
  <si>
    <t>รพ.ค่ายสมเด็จเจ้าพระยามหากษัตริย์ศึก</t>
  </si>
  <si>
    <t>รพ.ค่ายวีรวัฒน์โยธิน</t>
  </si>
  <si>
    <t>รพ.ค่ายสมเด็จพระพุทธยอดฟ้าฯ</t>
  </si>
  <si>
    <t>รพ.ค่ายศรีพัชรินทร</t>
  </si>
  <si>
    <t>รพ.ค่ายประจักษ์ศิลปาคม</t>
  </si>
  <si>
    <t>รพ.ค่ายศรีสองรัก</t>
  </si>
  <si>
    <t>รพ.ค่ายสรรพสิทธิประสงค์</t>
  </si>
  <si>
    <t>รพ.ค่ายกฤษณ์สีวะรา</t>
  </si>
  <si>
    <t>รพ.ค่ายจิรประวัติ</t>
  </si>
  <si>
    <t>รพ.ค่ายพ่อขุนผาเมือง</t>
  </si>
  <si>
    <t>รพ.ค่ายวชิรปราการ</t>
  </si>
  <si>
    <t>รพ.ค่ายพิชัยดาบหัก</t>
  </si>
  <si>
    <t>Fort Surasakmontri Hospital</t>
  </si>
  <si>
    <t>รพ.ค่ายสุริยพงษ์</t>
  </si>
  <si>
    <t>รพ.ค่ายกาวิละ</t>
  </si>
  <si>
    <t>รพ.ค่ายเม็งรายมหาราช</t>
  </si>
  <si>
    <t>รพ.ค่ายเขตอุดมศักดิ์</t>
  </si>
  <si>
    <t>รพ.ค่ายวิภาวดีรังสิต</t>
  </si>
  <si>
    <t>รพ.ค่ายวชิราวุธ</t>
  </si>
  <si>
    <t>รพ.ค่ายเทพสตรีศรีสุนทร</t>
  </si>
  <si>
    <t>รพ.ค่ายเสนาณรงค์</t>
  </si>
  <si>
    <t>รพ.ค่ายอิงคยุทธบริหาร</t>
  </si>
  <si>
    <t>พัน.สร.1</t>
  </si>
  <si>
    <t>พัน.สร.2</t>
  </si>
  <si>
    <t>พัน.สร.3</t>
  </si>
  <si>
    <t>พัน.สร.4</t>
  </si>
  <si>
    <t>พัน.สร.5</t>
  </si>
  <si>
    <t>พัน.สร.6</t>
  </si>
  <si>
    <t>พัน.สร.8</t>
  </si>
  <si>
    <t>พัน.สร.กรม สน.พล.ร.9</t>
  </si>
  <si>
    <t>พัน.สร.13</t>
  </si>
  <si>
    <t>พัน.สร.กรม สน.พล.ร.15</t>
  </si>
  <si>
    <t>พัน.สร.22 บชร.2</t>
  </si>
  <si>
    <t>พัน.สร.23 บชร.3</t>
  </si>
  <si>
    <t>ควภ.บชร.4</t>
  </si>
  <si>
    <t>Temperature indicator with Resistance thermometer</t>
  </si>
  <si>
    <t>Col.</t>
  </si>
  <si>
    <t>Lt.Col.</t>
  </si>
  <si>
    <t>SM1</t>
  </si>
  <si>
    <t>Sgt.</t>
  </si>
  <si>
    <t>Miss</t>
  </si>
  <si>
    <t>Phramongkutklao Hospital</t>
  </si>
  <si>
    <t>Bangkok</t>
  </si>
  <si>
    <t>Freezer</t>
  </si>
  <si>
    <t>Refrigerator</t>
  </si>
  <si>
    <t>Incubator</t>
  </si>
  <si>
    <t>Oven</t>
  </si>
  <si>
    <t>True RMS Logging Multimeters</t>
  </si>
  <si>
    <t>289</t>
  </si>
  <si>
    <t>50310144</t>
  </si>
  <si>
    <t>48620135</t>
  </si>
  <si>
    <t>Cer No.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</si>
  <si>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</si>
  <si>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</si>
  <si>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</si>
  <si>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</si>
  <si>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</si>
  <si>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</si>
  <si>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</si>
  <si>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</si>
  <si>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</si>
  <si>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</si>
  <si>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หน่วยรับบริการ</t>
  </si>
  <si>
    <t>ZIP code</t>
  </si>
  <si>
    <t>8 Phayathai, Thung phayathai, Ratchathewi</t>
  </si>
  <si>
    <t>รพ.พระมงกุฏเกล้า</t>
  </si>
  <si>
    <t>315 Ratchawithi, Thung phayathai, Ratchathewi</t>
  </si>
  <si>
    <t>Institute of Pathology</t>
  </si>
  <si>
    <t>2/2 Phayathai , Thung phayathai, Ratchathewi</t>
  </si>
  <si>
    <t>Fort Thanarat Hospital</t>
  </si>
  <si>
    <t>รพ.รร.นายร้อยพระจุลจอมเกล้า</t>
  </si>
  <si>
    <t>Chulachomklao Royal Military Academy Hospital</t>
  </si>
  <si>
    <t>99 Suwansorn , Brahmani, Muang Nakhon Nayok</t>
  </si>
  <si>
    <t>Nakhon Nayok</t>
  </si>
  <si>
    <t>Fort Chakkraphong Hospital</t>
  </si>
  <si>
    <t>779 Na Mueang, Muang Prachinburi</t>
  </si>
  <si>
    <t>Fort Surasi Hospital</t>
  </si>
  <si>
    <t>281 Lat Ya, Muang Kanchanaburi</t>
  </si>
  <si>
    <t>Kanchanaburi</t>
  </si>
  <si>
    <t>Fort Surasinghanart Hospital</t>
  </si>
  <si>
    <t>1/30 Phak Huai , Aranyaprathet</t>
  </si>
  <si>
    <t>Sa Kaeo</t>
  </si>
  <si>
    <t>Fort Panurangsi Hospital</t>
  </si>
  <si>
    <t>285/1 Khok Mo , Muang Ratchaburi</t>
  </si>
  <si>
    <t>Ratchaburi</t>
  </si>
  <si>
    <t>Saraburi</t>
  </si>
  <si>
    <t>301 Ban Suan, Mueang Chon Buri</t>
  </si>
  <si>
    <t>Fort Ramratchaniwet Hospital</t>
  </si>
  <si>
    <t>Fort Suranari Hospital</t>
  </si>
  <si>
    <t>211 pibul la-aied, Nong Phai lom, Muang Nakhon Ratchasima</t>
  </si>
  <si>
    <t>Fort Sunpasitthiprasong Hospital</t>
  </si>
  <si>
    <t>Fort Prackaksinlapakhom Hospital</t>
  </si>
  <si>
    <t>550 Thahan, Mak Khaeng, Muang Udon Thani</t>
  </si>
  <si>
    <t>Udon Thani</t>
  </si>
  <si>
    <t>Fort Somdej Phrabuddha Yodfachulaloke Maharaja Hospital</t>
  </si>
  <si>
    <t>Roi Et</t>
  </si>
  <si>
    <t>Fort Krit Siwara Hospital</t>
  </si>
  <si>
    <t>Fort Srisongrak Hospital</t>
  </si>
  <si>
    <t>Loei</t>
  </si>
  <si>
    <t>Fort Somdej Phranaresuan Maharaj Hospital</t>
  </si>
  <si>
    <t>9 Ban Khlong, Muang Phitsanulok</t>
  </si>
  <si>
    <t>Nakhon Sawan</t>
  </si>
  <si>
    <t>285 Chiangmai-lamphun, Wat Ket , Mueang Chiang Mai</t>
  </si>
  <si>
    <t>Chiang Mai</t>
  </si>
  <si>
    <t>Fort Mengraimaharaj Hospital</t>
  </si>
  <si>
    <t>Fort Pichai Dap Hak Hospital</t>
  </si>
  <si>
    <t>102 Samranruen, Tha Sao, Mueang Uttaradit</t>
  </si>
  <si>
    <t>Uttaradit</t>
  </si>
  <si>
    <t>รพ.ค่ายสุรศักดิ์มนตรี</t>
  </si>
  <si>
    <t>1 Phaholyothin, Phicha, Mueang Lampang</t>
  </si>
  <si>
    <t>Lampang</t>
  </si>
  <si>
    <t>Fort Phokhunphamueang Hospital</t>
  </si>
  <si>
    <t>99/2329 Saraburi-Lomsak, Satang , Mueang Phetchabun</t>
  </si>
  <si>
    <t>Fort Wachiraprakan Hospital</t>
  </si>
  <si>
    <t xml:space="preserve">รพ.ค่ายขุนเจืองธรรมิกราช </t>
  </si>
  <si>
    <t>200 Thawangthong, Muang Phayao</t>
  </si>
  <si>
    <t>Phayao</t>
  </si>
  <si>
    <t>Fort Suriyaphong Hospital</t>
  </si>
  <si>
    <t>330 Nan-Santisuk, fai-kaeo, Phu Phiang</t>
  </si>
  <si>
    <t>Nan</t>
  </si>
  <si>
    <t>Fort Wachirawut Hospital</t>
  </si>
  <si>
    <t>283 Ratchadamnoen, Pakpoon, Mueang Nakhon Si Thammarat</t>
  </si>
  <si>
    <t>191 Kanchanavanich, Kho Hong, Hat Yai</t>
  </si>
  <si>
    <t>Songkhla</t>
  </si>
  <si>
    <t>Fort Wiphavadirangsit Hospital</t>
  </si>
  <si>
    <t>233 Makham Tia, Muang Surat Thani</t>
  </si>
  <si>
    <t>Surat Thani</t>
  </si>
  <si>
    <t>Fort Thepsatsrisunthon Hospital</t>
  </si>
  <si>
    <t>181 Kapang, Thungsong</t>
  </si>
  <si>
    <t>Fort Ingkhayutthaborihan Hospital</t>
  </si>
  <si>
    <t>2 Bo Thong, Nong Chik</t>
  </si>
  <si>
    <t>Pattani</t>
  </si>
  <si>
    <t>Fort Khetudomsak Hospital</t>
  </si>
  <si>
    <t>1st Combat Medical Battalion</t>
  </si>
  <si>
    <t>2nd Combat Medical Battalion</t>
  </si>
  <si>
    <t>Mai ked, Muang Prachinburi</t>
  </si>
  <si>
    <t>3rd Combat Medical Battalion</t>
  </si>
  <si>
    <t>Pho glang, Muang Nakhon Ratchasima</t>
  </si>
  <si>
    <t>4th Combat Medical Battalion</t>
  </si>
  <si>
    <t>Ban Khlong, Muang Phitsanulok</t>
  </si>
  <si>
    <t>Phitsanulok</t>
  </si>
  <si>
    <t>5th Combat Medical Battalion</t>
  </si>
  <si>
    <t>6th Combat Medical Battalion</t>
  </si>
  <si>
    <t>8th Combat Medical Battalion</t>
  </si>
  <si>
    <t>Sadiang, Mueang Phetchabun</t>
  </si>
  <si>
    <t>Phetchabun</t>
  </si>
  <si>
    <t>Combat Medical Battalion, 9th Service Support Regiment</t>
  </si>
  <si>
    <t>13th Combat Medical Battalion</t>
  </si>
  <si>
    <t>Combat Medical Battalion, 15th Service Support Regiment</t>
  </si>
  <si>
    <t>108 Koh sa bha, Thepha</t>
  </si>
  <si>
    <t>22nd Combat Medical Battalion</t>
  </si>
  <si>
    <t>Nong Phai lom, Muang Nakhon Ratchasima</t>
  </si>
  <si>
    <t>23rd Combat Medical Battalion</t>
  </si>
  <si>
    <t>Aranyik, Mueang Phitsanulok</t>
  </si>
  <si>
    <t>4th Army Support Command</t>
  </si>
  <si>
    <t>Address</t>
  </si>
  <si>
    <t>City</t>
  </si>
  <si>
    <t>Service Unit</t>
  </si>
  <si>
    <t>Personnel</t>
  </si>
  <si>
    <t>Number :</t>
  </si>
  <si>
    <t>44990026</t>
  </si>
  <si>
    <t>47305009</t>
  </si>
  <si>
    <t>Rank</t>
  </si>
  <si>
    <t>Cal. Date</t>
  </si>
  <si>
    <t>Equipment</t>
  </si>
  <si>
    <t>Tool Code</t>
  </si>
  <si>
    <t>Brand</t>
  </si>
  <si>
    <t>Super-DAQ Precision Temperature Scanner</t>
  </si>
  <si>
    <t>1586-2586</t>
  </si>
  <si>
    <t>1586-2588</t>
  </si>
  <si>
    <t>High-Capacity Module with RTD ID.No. 101-110</t>
  </si>
  <si>
    <t>High-Capacity Module with RTD ID.No. 201-210</t>
  </si>
  <si>
    <t>Module</t>
  </si>
  <si>
    <t>Equiment Module</t>
  </si>
  <si>
    <t>51/8 Thahan, Nakhonchaisri, Dusit</t>
  </si>
  <si>
    <t>Defective</t>
  </si>
  <si>
    <t>Condition of unit under calibration</t>
  </si>
  <si>
    <t>Nakhon Si Thammarat</t>
  </si>
  <si>
    <t xml:space="preserve"> Lopburi</t>
  </si>
  <si>
    <t>Prachuap Khiri Khan</t>
  </si>
  <si>
    <t>Prachinburi</t>
  </si>
  <si>
    <t>Chon Buri</t>
  </si>
  <si>
    <t>Phetchaburi</t>
  </si>
  <si>
    <t>Nakhon Ratchasima</t>
  </si>
  <si>
    <t>Surin</t>
  </si>
  <si>
    <t>Sakon Nakhon</t>
  </si>
  <si>
    <t>Khon Kaen</t>
  </si>
  <si>
    <t>Buriram</t>
  </si>
  <si>
    <t>Chiang Rai</t>
  </si>
  <si>
    <t>Tak</t>
  </si>
  <si>
    <t>Chumphon</t>
  </si>
  <si>
    <t>286 Lat Ya, Mueang Kanchanaburi</t>
  </si>
  <si>
    <t>35 Phichaidadhak, Khao Sam Yot, Mueang Lopburi</t>
  </si>
  <si>
    <t>35 Khao Sam Yot , Mueang Lopburi</t>
  </si>
  <si>
    <t>125 Phetkasem, Khao Noi, Pranburi</t>
  </si>
  <si>
    <t>54 Pak Sleao, Mitraphap, Mueang Saraburi</t>
  </si>
  <si>
    <t>121 Khlong Krasang, Mueang Phetchaburi</t>
  </si>
  <si>
    <t>383 Warin-Pibul , Saensuk, Warin Chamrap</t>
  </si>
  <si>
    <t>777 Surin-Prasat , Nong Muang , Mueang Surin</t>
  </si>
  <si>
    <t>100/123 Thatnaweng, Muang Sakon Nakhon</t>
  </si>
  <si>
    <t>100 Kasikorn ThungSang , Sila , Mueang Khon Kaen</t>
  </si>
  <si>
    <t>147 Buriram Prakhonchai,  Samet , Mueang Buriram</t>
  </si>
  <si>
    <t>68 Loei-Chiang Khan , Srisamrak, Muang Loei</t>
  </si>
  <si>
    <t>161 Phaholyothin, Klangsaeng, Muang Nakhon Sawan</t>
  </si>
  <si>
    <t>256 Rob Wiang, Mueang Chiang Rai</t>
  </si>
  <si>
    <t>337 Mai Ngam, Mueang Tak</t>
  </si>
  <si>
    <t>Ananda Mahidol Hospital</t>
  </si>
  <si>
    <t>Fort Weerawatyothin Hospital</t>
  </si>
  <si>
    <t>Fort Kawila Hospital</t>
  </si>
  <si>
    <t>UUC Resolution:</t>
  </si>
  <si>
    <t>Data from</t>
  </si>
  <si>
    <t>DTM  RTD</t>
  </si>
  <si>
    <t>Data from Indicator data logging</t>
  </si>
  <si>
    <t>Data from Reading</t>
  </si>
  <si>
    <t>STD</t>
  </si>
  <si>
    <t>Repeat 0 ºC</t>
  </si>
  <si>
    <t>Shortterm ability</t>
  </si>
  <si>
    <t>Data logging</t>
  </si>
  <si>
    <t>Uncertainty Budget for Calibration</t>
  </si>
  <si>
    <t>Symbol</t>
  </si>
  <si>
    <t>Source of uncertainty</t>
  </si>
  <si>
    <t>Divisor</t>
  </si>
  <si>
    <t>Ci</t>
  </si>
  <si>
    <t>Calibration uncertainty of standard probe</t>
  </si>
  <si>
    <t>Drift of standard probe</t>
  </si>
  <si>
    <t>Ω</t>
  </si>
  <si>
    <t>Rectangular</t>
  </si>
  <si>
    <t>√3</t>
  </si>
  <si>
    <t>Calibration uncertainty of standard indicator</t>
  </si>
  <si>
    <t>Drift of standard standard indicator</t>
  </si>
  <si>
    <t>Resolution of standard indicator</t>
  </si>
  <si>
    <t>Uniformity of bath</t>
  </si>
  <si>
    <t>stability of bath</t>
  </si>
  <si>
    <t>Resolution of UUC</t>
  </si>
  <si>
    <t>short term ability of UUC</t>
  </si>
  <si>
    <t>Heat Conduction of UUC</t>
  </si>
  <si>
    <t>Repeatability of STD</t>
  </si>
  <si>
    <t>Repeatability of UUC</t>
  </si>
  <si>
    <t>Combined standard uncertainty</t>
  </si>
  <si>
    <t>∞</t>
  </si>
  <si>
    <t>U</t>
  </si>
  <si>
    <t>Expanded uncertainty</t>
  </si>
  <si>
    <t>kp =</t>
  </si>
  <si>
    <t>CMC</t>
  </si>
  <si>
    <t>Report</t>
  </si>
  <si>
    <t xml:space="preserve">This equipment was connected with </t>
  </si>
  <si>
    <t>Platinum Resistance Thermometer</t>
  </si>
  <si>
    <t>connect with</t>
  </si>
  <si>
    <t>Channel: 001</t>
  </si>
  <si>
    <t>Immersion Depth =</t>
  </si>
  <si>
    <t>This equipment was connected with</t>
  </si>
  <si>
    <t>Standard</t>
  </si>
  <si>
    <t>Unit Under Calibration</t>
  </si>
  <si>
    <t>Correction</t>
  </si>
  <si>
    <t>Temperature (ºC)</t>
  </si>
  <si>
    <t>Channel No.:</t>
  </si>
  <si>
    <t>Sensor Serial No.:</t>
  </si>
  <si>
    <t>(ºC )</t>
  </si>
  <si>
    <t>44000189</t>
  </si>
  <si>
    <t>1586-2586 High-Capacity Module</t>
  </si>
  <si>
    <t>1586-2588 DAQ-STAQ Multiplexer</t>
  </si>
  <si>
    <t>ช่องหน้า</t>
  </si>
  <si>
    <t>PRT-CVD</t>
  </si>
  <si>
    <t>Resistance Thermometer Detector</t>
  </si>
  <si>
    <t>RTD</t>
  </si>
  <si>
    <t>Thermocouple Type K</t>
  </si>
  <si>
    <t>TC Type K</t>
  </si>
  <si>
    <t>PRT</t>
  </si>
  <si>
    <t>-</t>
  </si>
  <si>
    <t>Additel</t>
  </si>
  <si>
    <t>286</t>
  </si>
  <si>
    <t>Reference Thermometer Readout</t>
  </si>
  <si>
    <t>685020010017</t>
  </si>
  <si>
    <t>Standard Platinum Resistance Thermometer</t>
  </si>
  <si>
    <t>5699</t>
  </si>
  <si>
    <t>1400</t>
  </si>
  <si>
    <t>S_TEM_001</t>
  </si>
  <si>
    <t>S_TEM_005</t>
  </si>
  <si>
    <r>
      <t xml:space="preserve">Calibration Method Used : </t>
    </r>
    <r>
      <rPr>
        <sz val="12"/>
        <rFont val="Times New Roman"/>
        <family val="1"/>
      </rPr>
      <t>WI-09-TEM-003 by comparison with standard thermometer</t>
    </r>
  </si>
  <si>
    <t>into liquid bath temperature controller. The sensor were placed on the geometric center of the bath.</t>
  </si>
  <si>
    <t>This Instrument was calibration by comparison with calibrated Standard Platinum Resistance Thermometer (SPRT)</t>
  </si>
  <si>
    <t>No. Point</t>
  </si>
  <si>
    <t>Cal. Point</t>
  </si>
  <si>
    <t>Complete</t>
  </si>
  <si>
    <t>เพิ่มจุดสอบเทียบ</t>
  </si>
  <si>
    <t>1.ใส่ No.Point ทุกลำดับ</t>
  </si>
  <si>
    <t>2.ใส่ Cal. Point ทุกลำดับ (ถ้ามีอันไหนขึ้น Complete ให้ลบก่อน)</t>
  </si>
  <si>
    <t>3.กดปุ่ม กดเพื่อเพิ่ม</t>
  </si>
  <si>
    <t>4.รอจนขึ้นคำว่า Complete ทุกอัน</t>
  </si>
  <si>
    <t xml:space="preserve">value ± </t>
  </si>
  <si>
    <t>Probability
distribution</t>
  </si>
  <si>
    <t xml:space="preserve">ui 
± °C 
</t>
  </si>
  <si>
    <t>Vi or
Veff</t>
  </si>
  <si>
    <r>
      <t>d</t>
    </r>
    <r>
      <rPr>
        <b/>
        <i/>
        <sz val="11"/>
        <rFont val="Times New Roman"/>
        <family val="1"/>
      </rPr>
      <t>T</t>
    </r>
    <r>
      <rPr>
        <b/>
        <i/>
        <vertAlign val="subscript"/>
        <sz val="11"/>
        <rFont val="Times New Roman"/>
        <family val="1"/>
      </rPr>
      <t>Sp</t>
    </r>
  </si>
  <si>
    <r>
      <t>d</t>
    </r>
    <r>
      <rPr>
        <b/>
        <i/>
        <sz val="11"/>
        <rFont val="Times New Roman"/>
        <family val="1"/>
      </rPr>
      <t xml:space="preserve">T </t>
    </r>
    <r>
      <rPr>
        <b/>
        <i/>
        <vertAlign val="subscript"/>
        <sz val="11"/>
        <rFont val="Times New Roman"/>
        <family val="1"/>
      </rPr>
      <t>Drift_Std</t>
    </r>
  </si>
  <si>
    <r>
      <t>d</t>
    </r>
    <r>
      <rPr>
        <b/>
        <i/>
        <sz val="11"/>
        <rFont val="Times New Roman"/>
        <family val="1"/>
      </rPr>
      <t>T</t>
    </r>
    <r>
      <rPr>
        <b/>
        <i/>
        <vertAlign val="subscript"/>
        <sz val="11"/>
        <rFont val="Times New Roman"/>
        <family val="1"/>
      </rPr>
      <t>In</t>
    </r>
  </si>
  <si>
    <r>
      <t>d</t>
    </r>
    <r>
      <rPr>
        <b/>
        <i/>
        <sz val="11"/>
        <rFont val="Times New Roman"/>
        <family val="1"/>
      </rPr>
      <t xml:space="preserve">T </t>
    </r>
    <r>
      <rPr>
        <b/>
        <i/>
        <vertAlign val="subscript"/>
        <sz val="11"/>
        <rFont val="Times New Roman"/>
        <family val="1"/>
      </rPr>
      <t>Sp,DS</t>
    </r>
  </si>
  <si>
    <r>
      <t>d</t>
    </r>
    <r>
      <rPr>
        <b/>
        <i/>
        <sz val="11"/>
        <rFont val="Times New Roman"/>
        <family val="1"/>
      </rPr>
      <t xml:space="preserve">T </t>
    </r>
    <r>
      <rPr>
        <b/>
        <i/>
        <vertAlign val="subscript"/>
        <sz val="11"/>
        <rFont val="Times New Roman"/>
        <family val="1"/>
      </rPr>
      <t>Res.std</t>
    </r>
  </si>
  <si>
    <r>
      <t>d</t>
    </r>
    <r>
      <rPr>
        <b/>
        <i/>
        <sz val="11"/>
        <rFont val="Times New Roman"/>
        <family val="1"/>
      </rPr>
      <t xml:space="preserve">T </t>
    </r>
    <r>
      <rPr>
        <b/>
        <i/>
        <vertAlign val="subscript"/>
        <sz val="11"/>
        <rFont val="Times New Roman"/>
        <family val="1"/>
      </rPr>
      <t>Uni</t>
    </r>
  </si>
  <si>
    <r>
      <t>d</t>
    </r>
    <r>
      <rPr>
        <b/>
        <i/>
        <sz val="11"/>
        <rFont val="Times New Roman"/>
        <family val="1"/>
      </rPr>
      <t xml:space="preserve">T </t>
    </r>
    <r>
      <rPr>
        <b/>
        <i/>
        <vertAlign val="subscript"/>
        <sz val="11"/>
        <rFont val="Times New Roman"/>
        <family val="1"/>
      </rPr>
      <t>Sta</t>
    </r>
  </si>
  <si>
    <r>
      <t>d</t>
    </r>
    <r>
      <rPr>
        <b/>
        <i/>
        <sz val="11"/>
        <rFont val="Times New Roman"/>
        <family val="1"/>
      </rPr>
      <t xml:space="preserve">T </t>
    </r>
    <r>
      <rPr>
        <b/>
        <i/>
        <vertAlign val="subscript"/>
        <sz val="11"/>
        <rFont val="Times New Roman"/>
        <family val="1"/>
      </rPr>
      <t>Res,UUC</t>
    </r>
  </si>
  <si>
    <r>
      <t>d</t>
    </r>
    <r>
      <rPr>
        <b/>
        <i/>
        <sz val="11"/>
        <rFont val="Times New Roman"/>
        <family val="1"/>
      </rPr>
      <t xml:space="preserve">T </t>
    </r>
    <r>
      <rPr>
        <b/>
        <i/>
        <vertAlign val="subscript"/>
        <sz val="11"/>
        <rFont val="Times New Roman"/>
        <family val="1"/>
      </rPr>
      <t>STS</t>
    </r>
  </si>
  <si>
    <r>
      <t>d</t>
    </r>
    <r>
      <rPr>
        <b/>
        <i/>
        <sz val="11"/>
        <rFont val="Times New Roman"/>
        <family val="1"/>
      </rPr>
      <t xml:space="preserve">T </t>
    </r>
    <r>
      <rPr>
        <b/>
        <i/>
        <vertAlign val="subscript"/>
        <sz val="11"/>
        <rFont val="Times New Roman"/>
        <family val="1"/>
      </rPr>
      <t>Stem</t>
    </r>
  </si>
  <si>
    <r>
      <t>d</t>
    </r>
    <r>
      <rPr>
        <b/>
        <i/>
        <sz val="11"/>
        <rFont val="Times New Roman"/>
        <family val="1"/>
      </rPr>
      <t xml:space="preserve">T </t>
    </r>
    <r>
      <rPr>
        <b/>
        <i/>
        <vertAlign val="subscript"/>
        <sz val="11"/>
        <rFont val="Times New Roman"/>
        <family val="1"/>
      </rPr>
      <t>Rep,Std</t>
    </r>
  </si>
  <si>
    <r>
      <t>d</t>
    </r>
    <r>
      <rPr>
        <b/>
        <i/>
        <sz val="11"/>
        <rFont val="Times New Roman"/>
        <family val="1"/>
      </rPr>
      <t xml:space="preserve">T </t>
    </r>
    <r>
      <rPr>
        <b/>
        <i/>
        <vertAlign val="subscript"/>
        <sz val="11"/>
        <rFont val="Times New Roman"/>
        <family val="1"/>
      </rPr>
      <t>Rep,UUC</t>
    </r>
  </si>
  <si>
    <t>Uc</t>
  </si>
  <si>
    <t xml:space="preserve">°C </t>
  </si>
  <si>
    <t>Result of calibration</t>
  </si>
  <si>
    <t>Average</t>
  </si>
  <si>
    <t>Stdev</t>
  </si>
  <si>
    <t>Sensor Serial Number:</t>
  </si>
  <si>
    <t>----- END -----</t>
  </si>
  <si>
    <t>1 of 4</t>
  </si>
  <si>
    <t>2 of 4</t>
  </si>
  <si>
    <t>3 of 4</t>
  </si>
  <si>
    <t>4 of 4</t>
  </si>
  <si>
    <t>RTD-01</t>
  </si>
  <si>
    <t>RTD-02</t>
  </si>
  <si>
    <t>RTD-03</t>
  </si>
  <si>
    <t>RTD-04</t>
  </si>
  <si>
    <t>RTD-05</t>
  </si>
  <si>
    <t>RTD-06</t>
  </si>
  <si>
    <t>RTD-07</t>
  </si>
  <si>
    <t>RTD-08</t>
  </si>
  <si>
    <t>RTD-09</t>
  </si>
  <si>
    <t>RTD-10</t>
  </si>
  <si>
    <t xml:space="preserve">Medical Equipment Calibration Laboratory, </t>
  </si>
  <si>
    <t xml:space="preserve">Medical Supplies Maintenance Section of Medical Depot Division of </t>
  </si>
  <si>
    <t>Royal Thai Army Medical Department</t>
  </si>
  <si>
    <t xml:space="preserve">8/1 Phaya Thai Road, Thung Phaya Thai, Ratchathewi, </t>
  </si>
  <si>
    <t>Fort Adison Hospital</t>
  </si>
  <si>
    <t>Fort Nawamintharachini Hospital</t>
  </si>
  <si>
    <t>Fort Sri-patcharinthorn Hospital</t>
  </si>
  <si>
    <t>Fort Somdet Chao Phraya Mahakasatsuek Hospital</t>
  </si>
  <si>
    <t>รพ.ค่ายพระยอดเมืองขวาง</t>
  </si>
  <si>
    <t>Fort Phrayotmueangkhwang Hospital</t>
  </si>
  <si>
    <t>Kurukhu, Mueang Nakhon Phanom</t>
  </si>
  <si>
    <t>Nakhon Phanom</t>
  </si>
  <si>
    <t>รพ.ค่ายสมเด็จพระนเรศวรมหาราช</t>
  </si>
  <si>
    <t>Fort Chiraprawat Hospital</t>
  </si>
  <si>
    <t>Fort Khunchueangthammikkarat Hospital</t>
  </si>
  <si>
    <t>Fort Senanarong Hospital</t>
  </si>
  <si>
    <t>W_TEM_007</t>
  </si>
  <si>
    <t>W_TEM_005</t>
  </si>
  <si>
    <t>W_TEM_006</t>
  </si>
  <si>
    <t>W-ETC-006</t>
  </si>
  <si>
    <t>W_TEM_007/1</t>
  </si>
  <si>
    <t>W_TEM_007/2</t>
  </si>
  <si>
    <t>W_TEM_005/1</t>
  </si>
  <si>
    <t>W_TEM_005/2</t>
  </si>
  <si>
    <t>W_TEM_006/1</t>
  </si>
  <si>
    <t>47305007</t>
  </si>
  <si>
    <t>47305008</t>
  </si>
  <si>
    <t>23 °C ± 5 °C</t>
  </si>
  <si>
    <t>1586-2586(022)-1</t>
  </si>
  <si>
    <t>1586-2586(022)-2</t>
  </si>
  <si>
    <t>59895012</t>
  </si>
  <si>
    <t>1586-2586(026)-1</t>
  </si>
  <si>
    <t>1586-2586(026)-2</t>
  </si>
  <si>
    <t>1586-2588(009)</t>
  </si>
  <si>
    <t>Daq Staq</t>
  </si>
  <si>
    <t>Satit  Tipmanee</t>
  </si>
  <si>
    <t>Totsaphon  Alunpipatthanachai</t>
  </si>
  <si>
    <t>Tawatchai  Inhom</t>
  </si>
  <si>
    <t>Kriangkrai  Taisawang</t>
  </si>
  <si>
    <t>Sarayut  Ek-onsang</t>
  </si>
  <si>
    <t>Songkiet  Yamaumpon</t>
  </si>
  <si>
    <t>Thawadchai  Pruksarattananon</t>
  </si>
  <si>
    <t>Nattapong  Yubram</t>
  </si>
  <si>
    <t>Ramesh  Autsadayuth</t>
  </si>
  <si>
    <t>Anotai  Kloekratok</t>
  </si>
  <si>
    <t>124 Chaeng Sanit Rd, Pho Sai, Mueang Roi Et</t>
  </si>
  <si>
    <t>Kritdanai  Rergwitee</t>
  </si>
  <si>
    <t>W-ETC-001</t>
  </si>
  <si>
    <t>W-ETC-002</t>
  </si>
  <si>
    <t>W-ETC-003</t>
  </si>
  <si>
    <t>W-ETC-011</t>
  </si>
  <si>
    <t>50195015</t>
  </si>
  <si>
    <t>W_TEM_006/2</t>
  </si>
  <si>
    <t>RTD Sensor</t>
  </si>
  <si>
    <t>Cal Date</t>
  </si>
  <si>
    <t>1449</t>
  </si>
  <si>
    <t>A18061028</t>
  </si>
  <si>
    <t>S_TEM_002</t>
  </si>
  <si>
    <t>W-ETC-007</t>
  </si>
  <si>
    <t>026-1</t>
  </si>
  <si>
    <t>026-2</t>
  </si>
  <si>
    <t>022-1</t>
  </si>
  <si>
    <t>022-2</t>
  </si>
  <si>
    <t>Maj.</t>
  </si>
  <si>
    <t>SubLt.</t>
  </si>
  <si>
    <t>Chaloem Thongim</t>
  </si>
  <si>
    <t>Lt.</t>
  </si>
  <si>
    <t>Sataporn Rakjaroen</t>
  </si>
  <si>
    <t>Chombhunut  Thanatphonphakdee</t>
  </si>
  <si>
    <t>(ºC)</t>
  </si>
  <si>
    <t>(± ºC)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</si>
  <si>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</si>
  <si>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</si>
  <si>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</si>
  <si>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</si>
  <si>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</si>
  <si>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</si>
  <si>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</si>
  <si>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</si>
  <si>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</si>
  <si>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</si>
  <si>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</si>
  <si>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</si>
  <si>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</si>
  <si>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</si>
  <si>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</si>
  <si>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</si>
  <si>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</si>
  <si>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</si>
  <si>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</si>
  <si>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ใส่ S/N ในหน้า Cal Ref</t>
  </si>
  <si>
    <t>ใส่ S/N ในหน้า Cal Ref ไม่มีก็ใส่ -</t>
  </si>
  <si>
    <t>Ratchathani</t>
  </si>
  <si>
    <t>119 , Phosai, Srisomdet</t>
  </si>
  <si>
    <t>193 Moo 1, Wang Mai, Mueang Chumphon</t>
  </si>
  <si>
    <t>Calibration place:</t>
  </si>
  <si>
    <t>Calibration place</t>
  </si>
  <si>
    <t>Column20</t>
  </si>
  <si>
    <t>8-13 Aug 2025</t>
  </si>
  <si>
    <t>25H1571</t>
  </si>
  <si>
    <t>23-31 Jul 2025</t>
  </si>
  <si>
    <t>25H1490</t>
  </si>
  <si>
    <t>25H1572</t>
  </si>
  <si>
    <t>25E2622</t>
  </si>
  <si>
    <t>ER-0109-25</t>
  </si>
  <si>
    <t>25E3134</t>
  </si>
  <si>
    <t>TC-0039-25</t>
  </si>
  <si>
    <t>/69</t>
  </si>
  <si>
    <t>30 Sep - 2 Oct 2025</t>
  </si>
  <si>
    <t>25H1893</t>
  </si>
  <si>
    <t>TC-0044-25</t>
  </si>
  <si>
    <t>SM2</t>
  </si>
  <si>
    <t>วิทยาลัยแพทยศาสตร์พระมงกุฎเกล้า</t>
  </si>
  <si>
    <t>Phramongkutklao College of Medicine</t>
  </si>
  <si>
    <t>317 Ratchawithi, Thung phayathai, Ratchathewi</t>
  </si>
  <si>
    <t>วิทยาลัยพยาบาลกองทัพบก</t>
  </si>
  <si>
    <t>The Royal Thai Army Nursing College</t>
  </si>
  <si>
    <t>317/6 Ratchawithi, Thung phayathai, Ratchathewi</t>
  </si>
  <si>
    <t>สถาบันวิจัยวิทยาศาสตร์การแพทย์ทหาร</t>
  </si>
  <si>
    <t>Armed Forces Research Institute of Medical Sciences</t>
  </si>
  <si>
    <t>315/6 Ratchawithi, Thung phayathai, Ratchathewi</t>
  </si>
  <si>
    <t>21-25 April 2026</t>
  </si>
  <si>
    <t>5397/69</t>
  </si>
  <si>
    <t>24-26 March 2026</t>
  </si>
  <si>
    <t>4920/69</t>
  </si>
  <si>
    <t>26-28 April 2026</t>
  </si>
  <si>
    <t>5065/69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</si>
</sst>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87" formatCode="0.000"/>
    <numFmt numFmtId="188" formatCode="0.0000"/>
    <numFmt numFmtId="189" formatCode="0.0"/>
    <numFmt numFmtId="190" formatCode="dd/m/yyyy"/>
    <numFmt numFmtId="191" formatCode="0.000000"/>
    <numFmt numFmtId="192" formatCode="[$-1000000]h:mm:ss;@"/>
    <numFmt numFmtId="193" formatCode="d/mmmm/yyyy"/>
    <numFmt numFmtId="194" formatCode="[$-1010409]d\ mmmm\ yyyy;@"/>
    <numFmt numFmtId="195" formatCode="0.00000"/>
    <numFmt numFmtId="196" formatCode="[$-1010409]d\ mmm\ yy;@"/>
    <numFmt numFmtId="197" formatCode="0.0000000"/>
    <numFmt numFmtId="198" formatCode="0.00000000"/>
    <numFmt numFmtId="199" formatCode="[$-1010409]d\ mmm\ yyyy;@"/>
  </numFmts>
  <fonts count="65">
    <font>
      <sz val="10"/>
      <name val="Arial"/>
      <charset val="222"/>
    </font>
    <font>
      <sz val="16"/>
      <color theme="1"/>
      <name val="TH Sarabun New"/>
      <family val="2"/>
      <charset val="222"/>
    </font>
    <font>
      <sz val="16"/>
      <color theme="1"/>
      <name val="TH Sarabun New"/>
      <family val="2"/>
      <charset val="222"/>
    </font>
    <font>
      <sz val="16"/>
      <color theme="1"/>
      <name val="TH Sarabun New"/>
      <family val="2"/>
      <charset val="222"/>
    </font>
    <font>
      <sz val="16"/>
      <color theme="1"/>
      <name val="TH Sarabun New"/>
      <family val="2"/>
      <charset val="222"/>
    </font>
    <font>
      <sz val="11"/>
      <name val="Times New Roman"/>
      <family val="1"/>
    </font>
    <font>
      <b/>
      <sz val="11"/>
      <name val="Times New Roman"/>
      <family val="1"/>
    </font>
    <font>
      <b/>
      <i/>
      <vertAlign val="subscript"/>
      <sz val="11"/>
      <name val="Times New Roman"/>
      <family val="1"/>
    </font>
    <font>
      <sz val="10"/>
      <name val="Arial"/>
      <family val="2"/>
    </font>
    <font>
      <sz val="8"/>
      <name val="Arial"/>
      <family val="2"/>
    </font>
    <font>
      <sz val="12"/>
      <name val="TH Sarabun New"/>
      <family val="2"/>
    </font>
    <font>
      <sz val="14"/>
      <name val="TH Sarabun New"/>
      <family val="2"/>
      <charset val="222"/>
    </font>
    <font>
      <sz val="14"/>
      <name val="TH Sarabun New"/>
      <family val="2"/>
    </font>
    <font>
      <b/>
      <sz val="14"/>
      <color indexed="8"/>
      <name val="TH Sarabun New"/>
      <family val="2"/>
    </font>
    <font>
      <b/>
      <vertAlign val="superscript"/>
      <sz val="11"/>
      <name val="Times New Roman"/>
      <family val="1"/>
    </font>
    <font>
      <i/>
      <sz val="11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sz val="14"/>
      <name val="Times New Roman"/>
      <family val="1"/>
    </font>
    <font>
      <b/>
      <sz val="14"/>
      <color indexed="30"/>
      <name val="Times New Roman"/>
      <family val="1"/>
    </font>
    <font>
      <b/>
      <sz val="12"/>
      <color indexed="30"/>
      <name val="Times New Roman"/>
      <family val="1"/>
    </font>
    <font>
      <b/>
      <sz val="14"/>
      <name val="Times New Roman"/>
      <family val="1"/>
    </font>
    <font>
      <b/>
      <sz val="20"/>
      <name val="Times New Roman"/>
      <family val="1"/>
    </font>
    <font>
      <sz val="12"/>
      <color indexed="8"/>
      <name val="Times New Roman"/>
      <family val="1"/>
    </font>
    <font>
      <u/>
      <sz val="11"/>
      <name val="Times New Roman"/>
      <family val="1"/>
    </font>
    <font>
      <sz val="12"/>
      <name val="Times New Roman"/>
      <family val="1"/>
      <charset val="222"/>
    </font>
    <font>
      <b/>
      <sz val="14"/>
      <name val="Times New Roman"/>
      <family val="1"/>
      <charset val="222"/>
    </font>
    <font>
      <b/>
      <u/>
      <sz val="12"/>
      <name val="Times New Roman"/>
      <family val="1"/>
    </font>
    <font>
      <u/>
      <sz val="12"/>
      <name val="Times New Roman"/>
      <family val="1"/>
    </font>
    <font>
      <sz val="12"/>
      <color indexed="48"/>
      <name val="Times New Roman"/>
      <family val="1"/>
    </font>
    <font>
      <sz val="12"/>
      <color theme="0"/>
      <name val="Times New Roman"/>
      <family val="1"/>
    </font>
    <font>
      <b/>
      <sz val="12"/>
      <color theme="1"/>
      <name val="Times New Roman"/>
      <family val="1"/>
    </font>
    <font>
      <sz val="14"/>
      <name val="TH SarabunPSK"/>
      <family val="2"/>
      <charset val="222"/>
    </font>
    <font>
      <b/>
      <sz val="12"/>
      <color theme="0"/>
      <name val="Times New Roman"/>
      <family val="1"/>
    </font>
    <font>
      <sz val="11"/>
      <color indexed="8"/>
      <name val="Times New Roman"/>
      <family val="1"/>
    </font>
    <font>
      <sz val="10"/>
      <name val="Times New Roman"/>
      <family val="1"/>
    </font>
    <font>
      <sz val="11"/>
      <color theme="1"/>
      <name val="Tahoma"/>
      <family val="2"/>
      <scheme val="minor"/>
    </font>
    <font>
      <b/>
      <i/>
      <sz val="12"/>
      <name val="Symbol"/>
      <family val="1"/>
      <charset val="222"/>
    </font>
    <font>
      <sz val="11"/>
      <name val="Times New Roman"/>
      <family val="1"/>
      <charset val="222"/>
    </font>
    <font>
      <b/>
      <sz val="11"/>
      <name val="Times New Roman"/>
      <family val="1"/>
      <charset val="222"/>
    </font>
    <font>
      <sz val="10"/>
      <name val="Times New Roman"/>
      <family val="1"/>
      <charset val="222"/>
    </font>
    <font>
      <sz val="14"/>
      <name val="Times New Roman"/>
      <family val="1"/>
      <charset val="222"/>
    </font>
    <font>
      <sz val="11"/>
      <name val="Wingdings 2"/>
      <family val="1"/>
      <charset val="222"/>
    </font>
    <font>
      <b/>
      <sz val="20"/>
      <name val="Times New Roman"/>
      <family val="1"/>
      <charset val="222"/>
    </font>
    <font>
      <b/>
      <vertAlign val="superscript"/>
      <sz val="11"/>
      <name val="Times New Roman"/>
      <family val="1"/>
      <charset val="222"/>
    </font>
    <font>
      <b/>
      <vertAlign val="superscript"/>
      <sz val="14"/>
      <name val="Times New Roman"/>
      <family val="1"/>
      <charset val="222"/>
    </font>
    <font>
      <i/>
      <sz val="11"/>
      <name val="Times New Roman"/>
      <family val="1"/>
      <charset val="222"/>
    </font>
    <font>
      <b/>
      <i/>
      <sz val="11"/>
      <name val="Times New Roman"/>
      <family val="1"/>
      <charset val="222"/>
    </font>
    <font>
      <sz val="9"/>
      <name val="Times New Roman"/>
      <family val="1"/>
      <charset val="222"/>
    </font>
    <font>
      <sz val="10"/>
      <name val="Arial"/>
      <family val="2"/>
      <charset val="222"/>
    </font>
    <font>
      <sz val="11"/>
      <name val="Arial"/>
      <family val="2"/>
      <charset val="222"/>
    </font>
    <font>
      <b/>
      <sz val="12"/>
      <name val="Times New Roman"/>
      <family val="1"/>
      <charset val="222"/>
    </font>
    <font>
      <b/>
      <i/>
      <sz val="11"/>
      <name val="Times New Roman"/>
      <family val="1"/>
    </font>
    <font>
      <b/>
      <i/>
      <sz val="10"/>
      <name val="Times New Roman"/>
      <family val="1"/>
    </font>
    <font>
      <b/>
      <sz val="10"/>
      <name val="Times New Roman"/>
      <family val="1"/>
    </font>
    <font>
      <b/>
      <i/>
      <sz val="11"/>
      <name val="Symbol"/>
      <family val="1"/>
      <charset val="222"/>
    </font>
    <font>
      <b/>
      <i/>
      <sz val="14"/>
      <name val="TH Sarabun New"/>
      <family val="2"/>
    </font>
    <font>
      <sz val="8"/>
      <name val="Times New Roman"/>
      <family val="1"/>
    </font>
    <font>
      <b/>
      <sz val="48"/>
      <name val="Times New Roman"/>
      <family val="1"/>
    </font>
    <font>
      <sz val="18"/>
      <name val="TH Sarabun New"/>
      <family val="2"/>
    </font>
    <font>
      <sz val="9"/>
      <name val="Times New Roman"/>
      <family val="1"/>
    </font>
    <font>
      <b/>
      <sz val="18"/>
      <color rgb="FF000000"/>
      <name val="TH Sarabun New"/>
      <family val="2"/>
    </font>
    <font>
      <sz val="8"/>
      <color theme="0"/>
      <name val="Times New Roman"/>
      <family val="1"/>
      <charset val="222"/>
    </font>
    <font>
      <sz val="10"/>
      <color rgb="FF000000"/>
      <name val="Arial"/>
      <family val="2"/>
    </font>
    <font>
      <sz val="10"/>
      <color rgb="FF333333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 tint="0.59999389629810485"/>
        <bgColor indexed="64"/>
      </patternFill>
    </fill>
  </fills>
  <borders count="91">
    <border>
      <left/>
      <right/>
      <top/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/>
      <right style="double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auto="1"/>
      </bottom>
      <diagonal/>
    </border>
    <border>
      <left style="thin">
        <color auto="1"/>
      </left>
      <right/>
      <top style="double">
        <color auto="1"/>
      </top>
      <bottom style="double">
        <color auto="1"/>
      </bottom>
      <diagonal/>
    </border>
    <border>
      <left/>
      <right style="thin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</borders>
  <cellStyleXfs count="8">
    <xf numFmtId="0" fontId="0" fillId="0" borderId="0"/>
    <xf numFmtId="0" fontId="4" fillId="0" borderId="0"/>
    <xf numFmtId="0" fontId="8" fillId="0" borderId="0"/>
    <xf numFmtId="0" fontId="36" fillId="0" borderId="0"/>
    <xf numFmtId="0" fontId="3" fillId="0" borderId="0"/>
    <xf numFmtId="0" fontId="8" fillId="0" borderId="0"/>
    <xf numFmtId="0" fontId="2" fillId="0" borderId="0"/>
    <xf numFmtId="0" fontId="1" fillId="0" borderId="0"/>
  </cellStyleXfs>
  <cellXfs count="520">
    <xf numFmtId="0" fontId="0" fillId="0" borderId="0" xfId="0"/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0" fillId="0" borderId="0" xfId="0" applyFont="1" applyAlignment="1">
      <alignment horizontal="left" vertical="center"/>
    </xf>
    <xf numFmtId="190" fontId="10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16" fillId="0" borderId="15" xfId="0" applyFont="1" applyBorder="1" applyAlignment="1">
      <alignment vertical="center"/>
    </xf>
    <xf numFmtId="0" fontId="21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15" xfId="0" applyFont="1" applyBorder="1" applyAlignment="1">
      <alignment vertical="center"/>
    </xf>
    <xf numFmtId="0" fontId="18" fillId="0" borderId="15" xfId="0" applyFont="1" applyBorder="1" applyAlignment="1">
      <alignment horizontal="left" vertical="center"/>
    </xf>
    <xf numFmtId="9" fontId="18" fillId="0" borderId="15" xfId="0" applyNumberFormat="1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9" fontId="16" fillId="0" borderId="0" xfId="0" applyNumberFormat="1" applyFont="1" applyAlignment="1">
      <alignment horizontal="left" vertical="center"/>
    </xf>
    <xf numFmtId="0" fontId="16" fillId="0" borderId="15" xfId="0" applyFont="1" applyBorder="1" applyAlignment="1">
      <alignment horizontal="left" vertical="center"/>
    </xf>
    <xf numFmtId="0" fontId="16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0" xfId="0" quotePrefix="1" applyFont="1" applyAlignment="1">
      <alignment vertical="center"/>
    </xf>
    <xf numFmtId="0" fontId="18" fillId="0" borderId="15" xfId="0" quotePrefix="1" applyFont="1" applyBorder="1" applyAlignment="1">
      <alignment vertical="center"/>
    </xf>
    <xf numFmtId="0" fontId="18" fillId="0" borderId="15" xfId="0" applyFont="1" applyBorder="1" applyAlignment="1">
      <alignment horizontal="center" vertical="center"/>
    </xf>
    <xf numFmtId="187" fontId="16" fillId="0" borderId="0" xfId="0" applyNumberFormat="1" applyFont="1" applyAlignment="1">
      <alignment vertical="center"/>
    </xf>
    <xf numFmtId="0" fontId="5" fillId="0" borderId="0" xfId="0" quotePrefix="1" applyFont="1" applyAlignment="1">
      <alignment vertical="center"/>
    </xf>
    <xf numFmtId="0" fontId="17" fillId="0" borderId="0" xfId="0" applyFont="1" applyAlignment="1">
      <alignment horizontal="left" vertical="center"/>
    </xf>
    <xf numFmtId="9" fontId="5" fillId="0" borderId="0" xfId="0" applyNumberFormat="1" applyFont="1" applyAlignment="1">
      <alignment vertical="center"/>
    </xf>
    <xf numFmtId="9" fontId="16" fillId="0" borderId="0" xfId="0" applyNumberFormat="1" applyFont="1" applyAlignment="1">
      <alignment vertical="center"/>
    </xf>
    <xf numFmtId="0" fontId="11" fillId="0" borderId="0" xfId="0" applyFont="1" applyAlignment="1">
      <alignment horizontal="center" vertical="center"/>
    </xf>
    <xf numFmtId="0" fontId="16" fillId="0" borderId="0" xfId="0" applyFont="1"/>
    <xf numFmtId="0" fontId="16" fillId="0" borderId="28" xfId="0" applyFont="1" applyBorder="1" applyAlignment="1">
      <alignment vertical="center"/>
    </xf>
    <xf numFmtId="0" fontId="16" fillId="0" borderId="45" xfId="0" applyFont="1" applyBorder="1" applyAlignment="1">
      <alignment vertical="center"/>
    </xf>
    <xf numFmtId="0" fontId="18" fillId="0" borderId="28" xfId="0" applyFont="1" applyBorder="1" applyAlignment="1">
      <alignment vertical="center"/>
    </xf>
    <xf numFmtId="0" fontId="18" fillId="0" borderId="28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25" fillId="0" borderId="5" xfId="0" applyFont="1" applyBorder="1" applyAlignment="1">
      <alignment vertical="center"/>
    </xf>
    <xf numFmtId="0" fontId="16" fillId="0" borderId="5" xfId="0" applyFont="1" applyBorder="1" applyAlignment="1">
      <alignment vertical="center"/>
    </xf>
    <xf numFmtId="14" fontId="16" fillId="0" borderId="0" xfId="0" applyNumberFormat="1" applyFont="1" applyAlignment="1">
      <alignment vertical="center"/>
    </xf>
    <xf numFmtId="0" fontId="16" fillId="0" borderId="0" xfId="0" applyFont="1" applyAlignment="1">
      <alignment horizontal="right" vertical="center"/>
    </xf>
    <xf numFmtId="0" fontId="17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14" fontId="16" fillId="0" borderId="0" xfId="0" applyNumberFormat="1" applyFont="1" applyAlignment="1">
      <alignment horizontal="left" vertical="center"/>
    </xf>
    <xf numFmtId="0" fontId="23" fillId="0" borderId="44" xfId="0" applyFont="1" applyBorder="1" applyAlignment="1">
      <alignment vertical="center"/>
    </xf>
    <xf numFmtId="14" fontId="17" fillId="0" borderId="0" xfId="0" applyNumberFormat="1" applyFont="1" applyAlignment="1">
      <alignment vertical="center"/>
    </xf>
    <xf numFmtId="190" fontId="23" fillId="0" borderId="0" xfId="0" applyNumberFormat="1" applyFont="1" applyAlignment="1">
      <alignment vertical="center"/>
    </xf>
    <xf numFmtId="190" fontId="29" fillId="0" borderId="0" xfId="0" applyNumberFormat="1" applyFont="1" applyAlignment="1">
      <alignment vertical="center"/>
    </xf>
    <xf numFmtId="22" fontId="17" fillId="0" borderId="0" xfId="0" applyNumberFormat="1" applyFont="1" applyAlignment="1">
      <alignment horizontal="center" vertical="center"/>
    </xf>
    <xf numFmtId="0" fontId="30" fillId="0" borderId="0" xfId="0" applyFont="1" applyAlignment="1">
      <alignment vertical="center"/>
    </xf>
    <xf numFmtId="193" fontId="29" fillId="0" borderId="0" xfId="0" quotePrefix="1" applyNumberFormat="1" applyFont="1" applyAlignment="1">
      <alignment vertical="center"/>
    </xf>
    <xf numFmtId="20" fontId="29" fillId="0" borderId="0" xfId="0" applyNumberFormat="1" applyFont="1" applyAlignment="1">
      <alignment vertical="center"/>
    </xf>
    <xf numFmtId="0" fontId="27" fillId="0" borderId="0" xfId="0" applyFont="1" applyAlignment="1">
      <alignment vertical="center"/>
    </xf>
    <xf numFmtId="0" fontId="27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2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6" borderId="5" xfId="0" applyFont="1" applyFill="1" applyBorder="1" applyAlignment="1">
      <alignment horizontal="center" vertical="center"/>
    </xf>
    <xf numFmtId="0" fontId="31" fillId="5" borderId="16" xfId="0" applyFont="1" applyFill="1" applyBorder="1" applyAlignment="1">
      <alignment horizontal="center" vertical="center"/>
    </xf>
    <xf numFmtId="0" fontId="31" fillId="5" borderId="46" xfId="0" applyFont="1" applyFill="1" applyBorder="1" applyAlignment="1">
      <alignment horizontal="center" vertical="center"/>
    </xf>
    <xf numFmtId="0" fontId="31" fillId="5" borderId="14" xfId="0" applyFont="1" applyFill="1" applyBorder="1" applyAlignment="1">
      <alignment horizontal="center" vertical="center"/>
    </xf>
    <xf numFmtId="0" fontId="0" fillId="0" borderId="15" xfId="0" applyBorder="1" applyAlignment="1">
      <alignment vertical="center"/>
    </xf>
    <xf numFmtId="14" fontId="16" fillId="0" borderId="0" xfId="0" applyNumberFormat="1" applyFont="1" applyAlignment="1">
      <alignment horizontal="right" vertical="center"/>
    </xf>
    <xf numFmtId="14" fontId="17" fillId="0" borderId="0" xfId="0" applyNumberFormat="1" applyFont="1" applyAlignment="1">
      <alignment horizontal="right" vertical="center"/>
    </xf>
    <xf numFmtId="0" fontId="16" fillId="0" borderId="47" xfId="0" applyFont="1" applyBorder="1" applyAlignment="1">
      <alignment horizontal="center" vertical="top" wrapText="1"/>
    </xf>
    <xf numFmtId="0" fontId="16" fillId="4" borderId="16" xfId="0" applyFont="1" applyFill="1" applyBorder="1" applyAlignment="1">
      <alignment horizontal="center" vertical="center"/>
    </xf>
    <xf numFmtId="0" fontId="16" fillId="4" borderId="46" xfId="0" applyFont="1" applyFill="1" applyBorder="1" applyAlignment="1">
      <alignment horizontal="center" vertical="center"/>
    </xf>
    <xf numFmtId="0" fontId="16" fillId="4" borderId="14" xfId="0" applyFont="1" applyFill="1" applyBorder="1" applyAlignment="1">
      <alignment horizontal="center" vertical="center"/>
    </xf>
    <xf numFmtId="0" fontId="16" fillId="7" borderId="16" xfId="0" applyFont="1" applyFill="1" applyBorder="1" applyAlignment="1">
      <alignment horizontal="center" vertical="center"/>
    </xf>
    <xf numFmtId="0" fontId="16" fillId="7" borderId="46" xfId="0" applyFont="1" applyFill="1" applyBorder="1" applyAlignment="1">
      <alignment horizontal="center" vertical="center"/>
    </xf>
    <xf numFmtId="0" fontId="16" fillId="7" borderId="14" xfId="0" applyFont="1" applyFill="1" applyBorder="1" applyAlignment="1">
      <alignment horizontal="center" vertical="center"/>
    </xf>
    <xf numFmtId="0" fontId="18" fillId="0" borderId="0" xfId="0" applyFont="1"/>
    <xf numFmtId="0" fontId="30" fillId="2" borderId="5" xfId="0" applyFont="1" applyFill="1" applyBorder="1" applyAlignment="1">
      <alignment horizontal="center" vertical="center"/>
    </xf>
    <xf numFmtId="0" fontId="33" fillId="0" borderId="16" xfId="0" applyFont="1" applyBorder="1" applyAlignment="1">
      <alignment horizontal="center" vertical="center"/>
    </xf>
    <xf numFmtId="0" fontId="33" fillId="0" borderId="46" xfId="0" applyFont="1" applyBorder="1" applyAlignment="1">
      <alignment horizontal="center" vertical="center"/>
    </xf>
    <xf numFmtId="0" fontId="33" fillId="0" borderId="14" xfId="0" applyFont="1" applyBorder="1" applyAlignment="1">
      <alignment horizontal="center" vertical="center"/>
    </xf>
    <xf numFmtId="0" fontId="17" fillId="0" borderId="30" xfId="0" applyFont="1" applyBorder="1" applyAlignment="1">
      <alignment vertical="center"/>
    </xf>
    <xf numFmtId="0" fontId="5" fillId="0" borderId="12" xfId="0" applyFont="1" applyBorder="1" applyAlignment="1">
      <alignment vertical="center"/>
    </xf>
    <xf numFmtId="0" fontId="5" fillId="0" borderId="48" xfId="0" applyFont="1" applyBorder="1" applyAlignment="1">
      <alignment vertical="center"/>
    </xf>
    <xf numFmtId="49" fontId="16" fillId="0" borderId="0" xfId="0" applyNumberFormat="1" applyFont="1" applyAlignment="1">
      <alignment vertical="center"/>
    </xf>
    <xf numFmtId="0" fontId="0" fillId="0" borderId="15" xfId="0" applyBorder="1"/>
    <xf numFmtId="0" fontId="28" fillId="0" borderId="5" xfId="0" applyFont="1" applyBorder="1" applyAlignment="1">
      <alignment vertical="center"/>
    </xf>
    <xf numFmtId="0" fontId="16" fillId="0" borderId="0" xfId="2" applyFont="1" applyAlignment="1">
      <alignment vertical="center"/>
    </xf>
    <xf numFmtId="0" fontId="27" fillId="0" borderId="0" xfId="2" applyFont="1" applyAlignment="1">
      <alignment vertical="center"/>
    </xf>
    <xf numFmtId="0" fontId="17" fillId="0" borderId="0" xfId="2" applyFont="1" applyAlignment="1">
      <alignment vertical="center"/>
    </xf>
    <xf numFmtId="0" fontId="10" fillId="0" borderId="0" xfId="2" applyFont="1" applyAlignment="1">
      <alignment vertical="center"/>
    </xf>
    <xf numFmtId="190" fontId="29" fillId="0" borderId="0" xfId="0" applyNumberFormat="1" applyFont="1" applyAlignment="1">
      <alignment vertical="center" wrapText="1"/>
    </xf>
    <xf numFmtId="0" fontId="8" fillId="0" borderId="0" xfId="0" applyFont="1"/>
    <xf numFmtId="0" fontId="38" fillId="0" borderId="0" xfId="2" applyFont="1" applyAlignment="1">
      <alignment vertical="center"/>
    </xf>
    <xf numFmtId="0" fontId="39" fillId="0" borderId="0" xfId="2" applyFont="1" applyAlignment="1">
      <alignment horizontal="left" vertical="center"/>
    </xf>
    <xf numFmtId="0" fontId="38" fillId="0" borderId="0" xfId="2" applyFont="1" applyAlignment="1">
      <alignment horizontal="right" vertical="center"/>
    </xf>
    <xf numFmtId="0" fontId="39" fillId="0" borderId="0" xfId="2" applyFont="1" applyAlignment="1">
      <alignment horizontal="center" vertical="center"/>
    </xf>
    <xf numFmtId="0" fontId="40" fillId="0" borderId="0" xfId="2" applyFont="1" applyAlignment="1">
      <alignment horizontal="center" vertical="center"/>
    </xf>
    <xf numFmtId="0" fontId="40" fillId="0" borderId="0" xfId="2" applyFont="1" applyAlignment="1">
      <alignment vertical="center"/>
    </xf>
    <xf numFmtId="0" fontId="41" fillId="0" borderId="0" xfId="2" applyFont="1" applyAlignment="1">
      <alignment vertical="center"/>
    </xf>
    <xf numFmtId="1" fontId="38" fillId="0" borderId="0" xfId="2" applyNumberFormat="1" applyFont="1" applyAlignment="1">
      <alignment vertical="center"/>
    </xf>
    <xf numFmtId="11" fontId="40" fillId="0" borderId="0" xfId="2" applyNumberFormat="1" applyFont="1" applyAlignment="1">
      <alignment vertical="center"/>
    </xf>
    <xf numFmtId="0" fontId="38" fillId="0" borderId="0" xfId="2" applyFont="1" applyAlignment="1">
      <alignment horizontal="center" vertical="center"/>
    </xf>
    <xf numFmtId="0" fontId="39" fillId="0" borderId="0" xfId="2" applyFont="1" applyAlignment="1">
      <alignment vertical="center"/>
    </xf>
    <xf numFmtId="0" fontId="38" fillId="0" borderId="0" xfId="2" applyFont="1" applyAlignment="1">
      <alignment horizontal="left" vertical="center"/>
    </xf>
    <xf numFmtId="14" fontId="38" fillId="0" borderId="0" xfId="2" applyNumberFormat="1" applyFont="1" applyAlignment="1">
      <alignment horizontal="left" vertical="center"/>
    </xf>
    <xf numFmtId="14" fontId="39" fillId="0" borderId="0" xfId="2" applyNumberFormat="1" applyFont="1" applyAlignment="1">
      <alignment horizontal="right" vertical="center"/>
    </xf>
    <xf numFmtId="190" fontId="38" fillId="0" borderId="0" xfId="2" applyNumberFormat="1" applyFont="1" applyAlignment="1">
      <alignment horizontal="left" vertical="center"/>
    </xf>
    <xf numFmtId="14" fontId="39" fillId="0" borderId="1" xfId="2" applyNumberFormat="1" applyFont="1" applyBorder="1" applyAlignment="1">
      <alignment horizontal="center" vertical="center"/>
    </xf>
    <xf numFmtId="0" fontId="39" fillId="0" borderId="1" xfId="2" applyFont="1" applyBorder="1" applyAlignment="1">
      <alignment horizontal="center" vertical="center"/>
    </xf>
    <xf numFmtId="0" fontId="46" fillId="0" borderId="1" xfId="2" applyFont="1" applyBorder="1" applyAlignment="1">
      <alignment horizontal="center" vertical="center"/>
    </xf>
    <xf numFmtId="0" fontId="46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38" fillId="0" borderId="0" xfId="2" applyFont="1" applyAlignment="1" applyProtection="1">
      <alignment vertical="center"/>
      <protection locked="0"/>
    </xf>
    <xf numFmtId="187" fontId="41" fillId="0" borderId="0" xfId="2" applyNumberFormat="1" applyFont="1" applyAlignment="1">
      <alignment vertical="center"/>
    </xf>
    <xf numFmtId="2" fontId="38" fillId="0" borderId="0" xfId="2" applyNumberFormat="1" applyFont="1" applyAlignment="1">
      <alignment horizontal="center" vertical="center"/>
    </xf>
    <xf numFmtId="0" fontId="39" fillId="0" borderId="0" xfId="2" applyFont="1" applyAlignment="1" applyProtection="1">
      <alignment horizontal="left" vertical="center"/>
      <protection locked="0"/>
    </xf>
    <xf numFmtId="0" fontId="38" fillId="0" borderId="0" xfId="2" applyFont="1" applyAlignment="1" applyProtection="1">
      <alignment horizontal="center" vertical="center"/>
      <protection locked="0"/>
    </xf>
    <xf numFmtId="0" fontId="41" fillId="0" borderId="0" xfId="2" applyFont="1" applyAlignment="1" applyProtection="1">
      <alignment vertical="center"/>
      <protection locked="0"/>
    </xf>
    <xf numFmtId="0" fontId="39" fillId="0" borderId="0" xfId="2" applyFont="1" applyAlignment="1" applyProtection="1">
      <alignment vertical="center"/>
      <protection locked="0"/>
    </xf>
    <xf numFmtId="187" fontId="16" fillId="0" borderId="0" xfId="0" applyNumberFormat="1" applyFont="1" applyAlignment="1">
      <alignment horizontal="center" vertical="center"/>
    </xf>
    <xf numFmtId="198" fontId="48" fillId="0" borderId="0" xfId="2" applyNumberFormat="1" applyFont="1" applyAlignment="1">
      <alignment horizontal="center" vertical="center"/>
    </xf>
    <xf numFmtId="195" fontId="48" fillId="0" borderId="0" xfId="2" applyNumberFormat="1" applyFont="1" applyAlignment="1">
      <alignment horizontal="center" vertical="center"/>
    </xf>
    <xf numFmtId="2" fontId="40" fillId="0" borderId="0" xfId="2" applyNumberFormat="1" applyFont="1" applyAlignment="1">
      <alignment horizontal="left" vertical="center"/>
    </xf>
    <xf numFmtId="0" fontId="53" fillId="0" borderId="0" xfId="2" applyFont="1" applyAlignment="1">
      <alignment vertical="center"/>
    </xf>
    <xf numFmtId="189" fontId="11" fillId="0" borderId="0" xfId="2" applyNumberFormat="1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1" fontId="11" fillId="0" borderId="0" xfId="2" applyNumberFormat="1" applyFont="1" applyAlignment="1">
      <alignment horizontal="center" vertical="center"/>
    </xf>
    <xf numFmtId="2" fontId="35" fillId="0" borderId="0" xfId="2" applyNumberFormat="1" applyFont="1" applyAlignment="1">
      <alignment horizontal="left" vertical="center"/>
    </xf>
    <xf numFmtId="189" fontId="35" fillId="3" borderId="60" xfId="2" applyNumberFormat="1" applyFont="1" applyFill="1" applyBorder="1" applyAlignment="1">
      <alignment horizontal="center" vertical="center"/>
    </xf>
    <xf numFmtId="189" fontId="35" fillId="3" borderId="7" xfId="2" applyNumberFormat="1" applyFont="1" applyFill="1" applyBorder="1" applyAlignment="1">
      <alignment horizontal="center" vertical="center"/>
    </xf>
    <xf numFmtId="189" fontId="35" fillId="3" borderId="72" xfId="2" applyNumberFormat="1" applyFont="1" applyFill="1" applyBorder="1" applyAlignment="1">
      <alignment horizontal="center" vertical="center"/>
    </xf>
    <xf numFmtId="189" fontId="35" fillId="8" borderId="57" xfId="2" applyNumberFormat="1" applyFont="1" applyFill="1" applyBorder="1" applyAlignment="1">
      <alignment horizontal="center" vertical="center"/>
    </xf>
    <xf numFmtId="189" fontId="35" fillId="8" borderId="62" xfId="2" applyNumberFormat="1" applyFont="1" applyFill="1" applyBorder="1" applyAlignment="1">
      <alignment horizontal="center" vertical="center"/>
    </xf>
    <xf numFmtId="2" fontId="35" fillId="0" borderId="0" xfId="2" applyNumberFormat="1" applyFont="1" applyAlignment="1">
      <alignment horizontal="center" vertical="center"/>
    </xf>
    <xf numFmtId="189" fontId="35" fillId="0" borderId="0" xfId="2" applyNumberFormat="1" applyFont="1" applyAlignment="1">
      <alignment horizontal="center" vertical="center"/>
    </xf>
    <xf numFmtId="0" fontId="35" fillId="0" borderId="0" xfId="2" applyFont="1" applyAlignment="1">
      <alignment horizontal="center" vertical="center"/>
    </xf>
    <xf numFmtId="188" fontId="47" fillId="0" borderId="0" xfId="2" applyNumberFormat="1" applyFont="1" applyAlignment="1">
      <alignment horizontal="center" vertical="center"/>
    </xf>
    <xf numFmtId="188" fontId="40" fillId="0" borderId="0" xfId="2" applyNumberFormat="1" applyFont="1" applyAlignment="1">
      <alignment horizontal="center" vertical="center"/>
    </xf>
    <xf numFmtId="191" fontId="38" fillId="0" borderId="39" xfId="2" applyNumberFormat="1" applyFont="1" applyBorder="1" applyAlignment="1">
      <alignment vertical="center"/>
    </xf>
    <xf numFmtId="0" fontId="38" fillId="0" borderId="39" xfId="2" applyFont="1" applyBorder="1" applyAlignment="1">
      <alignment vertical="center"/>
    </xf>
    <xf numFmtId="0" fontId="37" fillId="0" borderId="0" xfId="2" applyFont="1" applyAlignment="1">
      <alignment horizontal="left" vertical="center"/>
    </xf>
    <xf numFmtId="49" fontId="16" fillId="9" borderId="0" xfId="0" applyNumberFormat="1" applyFont="1" applyFill="1" applyAlignment="1">
      <alignment vertical="center"/>
    </xf>
    <xf numFmtId="14" fontId="16" fillId="9" borderId="0" xfId="0" applyNumberFormat="1" applyFont="1" applyFill="1" applyAlignment="1">
      <alignment vertical="center"/>
    </xf>
    <xf numFmtId="0" fontId="42" fillId="0" borderId="0" xfId="2" applyFont="1" applyAlignment="1">
      <alignment horizontal="center" vertical="center"/>
    </xf>
    <xf numFmtId="188" fontId="6" fillId="0" borderId="0" xfId="2" applyNumberFormat="1" applyFont="1" applyAlignment="1">
      <alignment horizontal="left" vertical="center"/>
    </xf>
    <xf numFmtId="0" fontId="59" fillId="0" borderId="0" xfId="0" applyFont="1" applyAlignment="1">
      <alignment horizontal="center" vertical="center"/>
    </xf>
    <xf numFmtId="188" fontId="16" fillId="0" borderId="0" xfId="0" applyNumberFormat="1" applyFont="1" applyAlignment="1">
      <alignment vertical="center"/>
    </xf>
    <xf numFmtId="189" fontId="23" fillId="0" borderId="28" xfId="0" applyNumberFormat="1" applyFont="1" applyBorder="1" applyAlignment="1">
      <alignment vertical="center"/>
    </xf>
    <xf numFmtId="0" fontId="23" fillId="0" borderId="28" xfId="0" applyFont="1" applyBorder="1" applyAlignment="1">
      <alignment vertical="center"/>
    </xf>
    <xf numFmtId="0" fontId="16" fillId="0" borderId="21" xfId="0" applyFont="1" applyBorder="1" applyAlignment="1">
      <alignment horizontal="center" vertical="center"/>
    </xf>
    <xf numFmtId="188" fontId="16" fillId="0" borderId="21" xfId="0" applyNumberFormat="1" applyFont="1" applyBorder="1" applyAlignment="1">
      <alignment horizontal="center" vertical="center"/>
    </xf>
    <xf numFmtId="187" fontId="16" fillId="0" borderId="21" xfId="0" applyNumberFormat="1" applyFont="1" applyBorder="1" applyAlignment="1">
      <alignment horizontal="center" vertical="center"/>
    </xf>
    <xf numFmtId="0" fontId="41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60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187" fontId="16" fillId="0" borderId="21" xfId="0" applyNumberFormat="1" applyFont="1" applyBorder="1" applyAlignment="1">
      <alignment vertical="center"/>
    </xf>
    <xf numFmtId="0" fontId="18" fillId="0" borderId="21" xfId="0" applyFont="1" applyBorder="1" applyAlignment="1">
      <alignment vertical="center"/>
    </xf>
    <xf numFmtId="14" fontId="18" fillId="0" borderId="0" xfId="0" applyNumberFormat="1" applyFont="1" applyAlignment="1">
      <alignment vertical="center"/>
    </xf>
    <xf numFmtId="0" fontId="45" fillId="0" borderId="5" xfId="2" applyFont="1" applyBorder="1" applyAlignment="1">
      <alignment horizontal="center" vertical="top"/>
    </xf>
    <xf numFmtId="0" fontId="45" fillId="0" borderId="0" xfId="2" applyFont="1" applyAlignment="1">
      <alignment horizontal="center" vertical="top"/>
    </xf>
    <xf numFmtId="0" fontId="60" fillId="0" borderId="0" xfId="0" applyFont="1" applyAlignment="1">
      <alignment horizontal="left" vertical="top"/>
    </xf>
    <xf numFmtId="0" fontId="42" fillId="9" borderId="0" xfId="2" applyFont="1" applyFill="1" applyAlignment="1">
      <alignment horizontal="center" vertical="center"/>
    </xf>
    <xf numFmtId="0" fontId="38" fillId="9" borderId="0" xfId="2" applyFont="1" applyFill="1" applyAlignment="1">
      <alignment vertical="center"/>
    </xf>
    <xf numFmtId="0" fontId="51" fillId="0" borderId="0" xfId="2" applyFont="1" applyAlignment="1">
      <alignment vertical="center"/>
    </xf>
    <xf numFmtId="0" fontId="50" fillId="0" borderId="0" xfId="2" applyFont="1"/>
    <xf numFmtId="0" fontId="49" fillId="0" borderId="0" xfId="2" applyFont="1"/>
    <xf numFmtId="187" fontId="49" fillId="0" borderId="0" xfId="2" applyNumberFormat="1" applyFont="1"/>
    <xf numFmtId="188" fontId="47" fillId="0" borderId="0" xfId="2" applyNumberFormat="1" applyFont="1" applyAlignment="1">
      <alignment horizontal="left" vertical="center"/>
    </xf>
    <xf numFmtId="0" fontId="38" fillId="0" borderId="0" xfId="2" applyFont="1" applyAlignment="1">
      <alignment horizontal="center" vertical="top"/>
    </xf>
    <xf numFmtId="0" fontId="5" fillId="0" borderId="5" xfId="0" applyFont="1" applyBorder="1" applyAlignment="1">
      <alignment horizontal="center" vertical="center"/>
    </xf>
    <xf numFmtId="189" fontId="5" fillId="0" borderId="5" xfId="0" applyNumberFormat="1" applyFont="1" applyBorder="1" applyAlignment="1">
      <alignment horizontal="center" vertical="center"/>
    </xf>
    <xf numFmtId="0" fontId="35" fillId="0" borderId="0" xfId="0" applyFont="1" applyAlignment="1">
      <alignment vertical="center"/>
    </xf>
    <xf numFmtId="194" fontId="16" fillId="0" borderId="47" xfId="0" applyNumberFormat="1" applyFont="1" applyBorder="1" applyAlignment="1">
      <alignment horizontal="center" vertical="top" wrapText="1"/>
    </xf>
    <xf numFmtId="0" fontId="16" fillId="0" borderId="47" xfId="0" applyFont="1" applyBorder="1" applyAlignment="1">
      <alignment horizontal="left" vertical="top" wrapText="1"/>
    </xf>
    <xf numFmtId="188" fontId="35" fillId="9" borderId="5" xfId="2" applyNumberFormat="1" applyFont="1" applyFill="1" applyBorder="1" applyAlignment="1" applyProtection="1">
      <alignment horizontal="center" vertical="top"/>
      <protection locked="0"/>
    </xf>
    <xf numFmtId="187" fontId="64" fillId="9" borderId="5" xfId="2" applyNumberFormat="1" applyFont="1" applyFill="1" applyBorder="1" applyAlignment="1" applyProtection="1">
      <alignment horizontal="center" vertical="top"/>
      <protection locked="0"/>
    </xf>
    <xf numFmtId="194" fontId="16" fillId="0" borderId="44" xfId="0" applyNumberFormat="1" applyFont="1" applyBorder="1" applyAlignment="1">
      <alignment vertical="center"/>
    </xf>
    <xf numFmtId="194" fontId="16" fillId="0" borderId="0" xfId="0" applyNumberFormat="1" applyFont="1" applyAlignment="1">
      <alignment vertical="center"/>
    </xf>
    <xf numFmtId="0" fontId="38" fillId="0" borderId="31" xfId="2" applyFont="1" applyBorder="1" applyAlignment="1" applyProtection="1">
      <alignment horizontal="left" vertical="center"/>
      <protection locked="0"/>
    </xf>
    <xf numFmtId="0" fontId="38" fillId="0" borderId="0" xfId="2" applyFont="1" applyAlignment="1">
      <alignment horizontal="center" vertical="center"/>
    </xf>
    <xf numFmtId="196" fontId="38" fillId="0" borderId="31" xfId="2" applyNumberFormat="1" applyFont="1" applyBorder="1" applyAlignment="1" applyProtection="1">
      <alignment horizontal="left" vertical="center"/>
      <protection locked="0"/>
    </xf>
    <xf numFmtId="0" fontId="38" fillId="0" borderId="12" xfId="2" applyFont="1" applyBorder="1" applyAlignment="1" applyProtection="1">
      <alignment horizontal="center" vertical="center"/>
      <protection locked="0"/>
    </xf>
    <xf numFmtId="0" fontId="38" fillId="0" borderId="0" xfId="2" applyFont="1" applyAlignment="1">
      <alignment horizontal="right" vertical="center"/>
    </xf>
    <xf numFmtId="0" fontId="39" fillId="0" borderId="0" xfId="2" applyFont="1" applyAlignment="1">
      <alignment horizontal="left" vertical="center"/>
    </xf>
    <xf numFmtId="0" fontId="38" fillId="0" borderId="12" xfId="2" applyFont="1" applyBorder="1" applyAlignment="1" applyProtection="1">
      <alignment horizontal="left" vertical="center"/>
      <protection locked="0"/>
    </xf>
    <xf numFmtId="196" fontId="38" fillId="0" borderId="12" xfId="2" applyNumberFormat="1" applyFont="1" applyBorder="1" applyAlignment="1" applyProtection="1">
      <alignment horizontal="left" vertical="center"/>
      <protection locked="0"/>
    </xf>
    <xf numFmtId="2" fontId="53" fillId="0" borderId="67" xfId="2" applyNumberFormat="1" applyFont="1" applyBorder="1" applyAlignment="1">
      <alignment horizontal="center" vertical="center" wrapText="1"/>
    </xf>
    <xf numFmtId="2" fontId="53" fillId="0" borderId="67" xfId="2" applyNumberFormat="1" applyFont="1" applyBorder="1" applyAlignment="1">
      <alignment horizontal="center" vertical="center"/>
    </xf>
    <xf numFmtId="0" fontId="55" fillId="3" borderId="54" xfId="2" applyFont="1" applyFill="1" applyBorder="1" applyAlignment="1">
      <alignment horizontal="left"/>
    </xf>
    <xf numFmtId="0" fontId="55" fillId="3" borderId="55" xfId="2" applyFont="1" applyFill="1" applyBorder="1" applyAlignment="1">
      <alignment horizontal="left"/>
    </xf>
    <xf numFmtId="0" fontId="55" fillId="3" borderId="58" xfId="2" applyFont="1" applyFill="1" applyBorder="1" applyAlignment="1">
      <alignment horizontal="left"/>
    </xf>
    <xf numFmtId="0" fontId="55" fillId="3" borderId="5" xfId="2" applyFont="1" applyFill="1" applyBorder="1" applyAlignment="1">
      <alignment horizontal="left"/>
    </xf>
    <xf numFmtId="0" fontId="35" fillId="3" borderId="55" xfId="2" applyFont="1" applyFill="1" applyBorder="1" applyAlignment="1">
      <alignment horizontal="center" vertical="center"/>
    </xf>
    <xf numFmtId="0" fontId="35" fillId="3" borderId="5" xfId="2" applyFont="1" applyFill="1" applyBorder="1" applyAlignment="1">
      <alignment horizontal="center" vertical="center"/>
    </xf>
    <xf numFmtId="2" fontId="35" fillId="0" borderId="5" xfId="2" applyNumberFormat="1" applyFont="1" applyBorder="1" applyAlignment="1">
      <alignment horizontal="left" vertical="center"/>
    </xf>
    <xf numFmtId="1" fontId="35" fillId="3" borderId="5" xfId="2" applyNumberFormat="1" applyFont="1" applyFill="1" applyBorder="1" applyAlignment="1">
      <alignment horizontal="center" vertical="center"/>
    </xf>
    <xf numFmtId="191" fontId="35" fillId="0" borderId="5" xfId="2" applyNumberFormat="1" applyFont="1" applyBorder="1" applyAlignment="1">
      <alignment horizontal="center" vertical="center"/>
    </xf>
    <xf numFmtId="191" fontId="35" fillId="0" borderId="6" xfId="2" applyNumberFormat="1" applyFont="1" applyBorder="1" applyAlignment="1">
      <alignment horizontal="center" vertical="center"/>
    </xf>
    <xf numFmtId="195" fontId="48" fillId="0" borderId="52" xfId="2" applyNumberFormat="1" applyFont="1" applyBorder="1" applyAlignment="1">
      <alignment horizontal="center" vertical="center"/>
    </xf>
    <xf numFmtId="188" fontId="48" fillId="0" borderId="50" xfId="2" applyNumberFormat="1" applyFont="1" applyBorder="1" applyAlignment="1">
      <alignment horizontal="center" vertical="center"/>
    </xf>
    <xf numFmtId="188" fontId="47" fillId="0" borderId="53" xfId="2" applyNumberFormat="1" applyFont="1" applyBorder="1" applyAlignment="1">
      <alignment horizontal="center" vertical="center"/>
    </xf>
    <xf numFmtId="198" fontId="48" fillId="0" borderId="52" xfId="2" applyNumberFormat="1" applyFont="1" applyBorder="1" applyAlignment="1">
      <alignment horizontal="center" vertical="center"/>
    </xf>
    <xf numFmtId="188" fontId="47" fillId="0" borderId="17" xfId="2" applyNumberFormat="1" applyFont="1" applyBorder="1" applyAlignment="1">
      <alignment horizontal="center" vertical="center"/>
    </xf>
    <xf numFmtId="188" fontId="47" fillId="0" borderId="34" xfId="2" applyNumberFormat="1" applyFont="1" applyBorder="1" applyAlignment="1">
      <alignment horizontal="center" vertical="center"/>
    </xf>
    <xf numFmtId="188" fontId="47" fillId="0" borderId="35" xfId="2" applyNumberFormat="1" applyFont="1" applyBorder="1" applyAlignment="1">
      <alignment horizontal="center" vertical="center"/>
    </xf>
    <xf numFmtId="188" fontId="40" fillId="0" borderId="52" xfId="2" applyNumberFormat="1" applyFont="1" applyBorder="1" applyAlignment="1">
      <alignment horizontal="center" vertical="center"/>
    </xf>
    <xf numFmtId="0" fontId="47" fillId="0" borderId="41" xfId="2" applyFont="1" applyBorder="1" applyAlignment="1">
      <alignment horizontal="center" vertical="center"/>
    </xf>
    <xf numFmtId="0" fontId="47" fillId="0" borderId="42" xfId="2" applyFont="1" applyBorder="1" applyAlignment="1">
      <alignment horizontal="center" vertical="center"/>
    </xf>
    <xf numFmtId="0" fontId="47" fillId="0" borderId="43" xfId="2" applyFont="1" applyBorder="1" applyAlignment="1">
      <alignment horizontal="center" vertical="center"/>
    </xf>
    <xf numFmtId="191" fontId="40" fillId="0" borderId="52" xfId="2" applyNumberFormat="1" applyFont="1" applyBorder="1" applyAlignment="1">
      <alignment horizontal="center" vertical="center"/>
    </xf>
    <xf numFmtId="187" fontId="40" fillId="0" borderId="52" xfId="2" applyNumberFormat="1" applyFont="1" applyBorder="1" applyAlignment="1">
      <alignment horizontal="center" vertical="center"/>
    </xf>
    <xf numFmtId="191" fontId="40" fillId="0" borderId="41" xfId="2" applyNumberFormat="1" applyFont="1" applyBorder="1" applyAlignment="1">
      <alignment horizontal="center" vertical="center"/>
    </xf>
    <xf numFmtId="191" fontId="40" fillId="0" borderId="42" xfId="2" applyNumberFormat="1" applyFont="1" applyBorder="1" applyAlignment="1">
      <alignment horizontal="center" vertical="center"/>
    </xf>
    <xf numFmtId="191" fontId="40" fillId="0" borderId="43" xfId="2" applyNumberFormat="1" applyFont="1" applyBorder="1" applyAlignment="1">
      <alignment horizontal="center" vertical="center"/>
    </xf>
    <xf numFmtId="188" fontId="47" fillId="0" borderId="50" xfId="2" applyNumberFormat="1" applyFont="1" applyBorder="1" applyAlignment="1">
      <alignment horizontal="center" vertical="center"/>
    </xf>
    <xf numFmtId="197" fontId="48" fillId="0" borderId="50" xfId="2" applyNumberFormat="1" applyFont="1" applyBorder="1" applyAlignment="1">
      <alignment horizontal="center" vertical="center"/>
    </xf>
    <xf numFmtId="0" fontId="47" fillId="0" borderId="32" xfId="2" applyFont="1" applyBorder="1" applyAlignment="1">
      <alignment horizontal="center" vertical="center"/>
    </xf>
    <xf numFmtId="0" fontId="47" fillId="0" borderId="31" xfId="2" applyFont="1" applyBorder="1" applyAlignment="1">
      <alignment horizontal="center" vertical="center"/>
    </xf>
    <xf numFmtId="0" fontId="47" fillId="0" borderId="33" xfId="2" applyFont="1" applyBorder="1" applyAlignment="1">
      <alignment horizontal="center" vertical="center"/>
    </xf>
    <xf numFmtId="191" fontId="40" fillId="0" borderId="51" xfId="2" applyNumberFormat="1" applyFont="1" applyBorder="1" applyAlignment="1">
      <alignment horizontal="center" vertical="center"/>
    </xf>
    <xf numFmtId="187" fontId="40" fillId="0" borderId="51" xfId="2" applyNumberFormat="1" applyFont="1" applyBorder="1" applyAlignment="1">
      <alignment horizontal="center" vertical="center"/>
    </xf>
    <xf numFmtId="191" fontId="40" fillId="0" borderId="32" xfId="2" applyNumberFormat="1" applyFont="1" applyBorder="1" applyAlignment="1">
      <alignment horizontal="center" vertical="center"/>
    </xf>
    <xf numFmtId="191" fontId="40" fillId="0" borderId="31" xfId="2" applyNumberFormat="1" applyFont="1" applyBorder="1" applyAlignment="1">
      <alignment horizontal="center" vertical="center"/>
    </xf>
    <xf numFmtId="191" fontId="40" fillId="0" borderId="33" xfId="2" applyNumberFormat="1" applyFont="1" applyBorder="1" applyAlignment="1">
      <alignment horizontal="center" vertical="center"/>
    </xf>
    <xf numFmtId="187" fontId="40" fillId="0" borderId="50" xfId="2" applyNumberFormat="1" applyFont="1" applyBorder="1" applyAlignment="1">
      <alignment horizontal="center" vertical="center"/>
    </xf>
    <xf numFmtId="191" fontId="40" fillId="0" borderId="50" xfId="2" applyNumberFormat="1" applyFont="1" applyBorder="1" applyAlignment="1">
      <alignment horizontal="center" vertical="center"/>
    </xf>
    <xf numFmtId="0" fontId="43" fillId="0" borderId="29" xfId="2" applyFont="1" applyBorder="1" applyAlignment="1">
      <alignment horizontal="center" vertical="center" textRotation="90" wrapText="1"/>
    </xf>
    <xf numFmtId="0" fontId="43" fillId="0" borderId="18" xfId="2" applyFont="1" applyBorder="1" applyAlignment="1">
      <alignment horizontal="center" vertical="center" textRotation="90" wrapText="1"/>
    </xf>
    <xf numFmtId="0" fontId="43" fillId="0" borderId="16" xfId="2" applyFont="1" applyBorder="1" applyAlignment="1">
      <alignment horizontal="center" vertical="center" textRotation="90" wrapText="1"/>
    </xf>
    <xf numFmtId="0" fontId="39" fillId="0" borderId="36" xfId="2" quotePrefix="1" applyFont="1" applyBorder="1" applyAlignment="1">
      <alignment horizontal="center" vertical="center"/>
    </xf>
    <xf numFmtId="0" fontId="39" fillId="0" borderId="37" xfId="2" quotePrefix="1" applyFont="1" applyBorder="1" applyAlignment="1">
      <alignment horizontal="center" vertical="center"/>
    </xf>
    <xf numFmtId="0" fontId="39" fillId="0" borderId="11" xfId="2" quotePrefix="1" applyFont="1" applyBorder="1" applyAlignment="1">
      <alignment horizontal="center" vertical="center"/>
    </xf>
    <xf numFmtId="0" fontId="39" fillId="0" borderId="39" xfId="2" quotePrefix="1" applyFont="1" applyBorder="1" applyAlignment="1">
      <alignment horizontal="center" vertical="center"/>
    </xf>
    <xf numFmtId="0" fontId="41" fillId="0" borderId="28" xfId="2" applyFont="1" applyBorder="1" applyAlignment="1">
      <alignment horizontal="center" vertical="center"/>
    </xf>
    <xf numFmtId="0" fontId="41" fillId="0" borderId="29" xfId="2" applyFont="1" applyBorder="1" applyAlignment="1">
      <alignment horizontal="center" vertical="center"/>
    </xf>
    <xf numFmtId="0" fontId="41" fillId="0" borderId="0" xfId="2" applyFont="1" applyAlignment="1">
      <alignment horizontal="center" vertical="center"/>
    </xf>
    <xf numFmtId="0" fontId="41" fillId="0" borderId="18" xfId="2" applyFont="1" applyBorder="1" applyAlignment="1">
      <alignment horizontal="center" vertical="center"/>
    </xf>
    <xf numFmtId="0" fontId="41" fillId="0" borderId="45" xfId="2" applyFont="1" applyBorder="1" applyAlignment="1">
      <alignment horizontal="center" vertical="center"/>
    </xf>
    <xf numFmtId="0" fontId="41" fillId="0" borderId="16" xfId="2" applyFont="1" applyBorder="1" applyAlignment="1">
      <alignment horizontal="center" vertical="center"/>
    </xf>
    <xf numFmtId="0" fontId="41" fillId="0" borderId="9" xfId="2" applyFont="1" applyBorder="1" applyAlignment="1">
      <alignment horizontal="center" vertical="center"/>
    </xf>
    <xf numFmtId="0" fontId="41" fillId="0" borderId="13" xfId="2" applyFont="1" applyBorder="1" applyAlignment="1">
      <alignment horizontal="center" vertical="center"/>
    </xf>
    <xf numFmtId="0" fontId="41" fillId="0" borderId="14" xfId="2" applyFont="1" applyBorder="1" applyAlignment="1">
      <alignment horizontal="center" vertical="center"/>
    </xf>
    <xf numFmtId="14" fontId="39" fillId="0" borderId="40" xfId="2" applyNumberFormat="1" applyFont="1" applyBorder="1" applyAlignment="1">
      <alignment horizontal="center" vertical="center"/>
    </xf>
    <xf numFmtId="14" fontId="39" fillId="0" borderId="0" xfId="2" applyNumberFormat="1" applyFont="1" applyAlignment="1">
      <alignment horizontal="center" vertical="center"/>
    </xf>
    <xf numFmtId="14" fontId="39" fillId="0" borderId="1" xfId="2" applyNumberFormat="1" applyFont="1" applyBorder="1" applyAlignment="1">
      <alignment horizontal="center" vertical="center"/>
    </xf>
    <xf numFmtId="14" fontId="39" fillId="0" borderId="36" xfId="2" quotePrefix="1" applyNumberFormat="1" applyFont="1" applyBorder="1" applyAlignment="1">
      <alignment horizontal="center" vertical="center"/>
    </xf>
    <xf numFmtId="14" fontId="39" fillId="0" borderId="37" xfId="2" quotePrefix="1" applyNumberFormat="1" applyFont="1" applyBorder="1" applyAlignment="1">
      <alignment horizontal="center" vertical="center"/>
    </xf>
    <xf numFmtId="14" fontId="39" fillId="0" borderId="11" xfId="2" quotePrefix="1" applyNumberFormat="1" applyFont="1" applyBorder="1" applyAlignment="1">
      <alignment horizontal="center" vertical="center"/>
    </xf>
    <xf numFmtId="14" fontId="39" fillId="0" borderId="39" xfId="2" quotePrefix="1" applyNumberFormat="1" applyFont="1" applyBorder="1" applyAlignment="1">
      <alignment horizontal="center" vertical="center"/>
    </xf>
    <xf numFmtId="14" fontId="39" fillId="0" borderId="2" xfId="2" quotePrefix="1" applyNumberFormat="1" applyFont="1" applyBorder="1" applyAlignment="1">
      <alignment horizontal="center" vertical="center"/>
    </xf>
    <xf numFmtId="14" fontId="39" fillId="0" borderId="4" xfId="2" quotePrefix="1" applyNumberFormat="1" applyFont="1" applyBorder="1" applyAlignment="1">
      <alignment horizontal="center" vertical="center"/>
    </xf>
    <xf numFmtId="0" fontId="39" fillId="0" borderId="11" xfId="2" applyFont="1" applyBorder="1" applyAlignment="1">
      <alignment horizontal="center" vertical="center"/>
    </xf>
    <xf numFmtId="0" fontId="39" fillId="0" borderId="39" xfId="2" applyFont="1" applyBorder="1" applyAlignment="1">
      <alignment horizontal="center" vertical="center"/>
    </xf>
    <xf numFmtId="0" fontId="39" fillId="0" borderId="4" xfId="2" applyFont="1" applyBorder="1" applyAlignment="1">
      <alignment horizontal="center" vertical="center"/>
    </xf>
    <xf numFmtId="0" fontId="39" fillId="0" borderId="17" xfId="2" applyFont="1" applyBorder="1" applyAlignment="1">
      <alignment horizontal="center" vertical="center"/>
    </xf>
    <xf numFmtId="0" fontId="39" fillId="0" borderId="34" xfId="2" applyFont="1" applyBorder="1" applyAlignment="1">
      <alignment horizontal="center" vertical="center"/>
    </xf>
    <xf numFmtId="0" fontId="39" fillId="0" borderId="35" xfId="2" applyFont="1" applyBorder="1" applyAlignment="1">
      <alignment horizontal="center" vertical="center"/>
    </xf>
    <xf numFmtId="0" fontId="44" fillId="0" borderId="17" xfId="2" applyFont="1" applyBorder="1" applyAlignment="1">
      <alignment horizontal="center" vertical="center"/>
    </xf>
    <xf numFmtId="0" fontId="44" fillId="0" borderId="34" xfId="2" applyFont="1" applyBorder="1" applyAlignment="1">
      <alignment horizontal="center" vertical="center"/>
    </xf>
    <xf numFmtId="0" fontId="44" fillId="0" borderId="35" xfId="2" applyFont="1" applyBorder="1" applyAlignment="1">
      <alignment horizontal="center" vertical="center"/>
    </xf>
    <xf numFmtId="0" fontId="47" fillId="0" borderId="36" xfId="2" applyFont="1" applyBorder="1" applyAlignment="1">
      <alignment horizontal="center" vertical="center"/>
    </xf>
    <xf numFmtId="0" fontId="47" fillId="0" borderId="37" xfId="2" applyFont="1" applyBorder="1" applyAlignment="1">
      <alignment horizontal="center" vertical="center"/>
    </xf>
    <xf numFmtId="0" fontId="47" fillId="0" borderId="2" xfId="2" applyFont="1" applyBorder="1" applyAlignment="1">
      <alignment horizontal="center" vertical="center"/>
    </xf>
    <xf numFmtId="0" fontId="47" fillId="0" borderId="52" xfId="2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39" fillId="0" borderId="0" xfId="2" applyFont="1" applyAlignment="1">
      <alignment horizontal="center" vertical="center"/>
    </xf>
    <xf numFmtId="14" fontId="39" fillId="0" borderId="36" xfId="2" applyNumberFormat="1" applyFont="1" applyBorder="1" applyAlignment="1">
      <alignment horizontal="center" vertical="center"/>
    </xf>
    <xf numFmtId="14" fontId="39" fillId="0" borderId="37" xfId="2" applyNumberFormat="1" applyFont="1" applyBorder="1" applyAlignment="1">
      <alignment horizontal="center" vertical="center"/>
    </xf>
    <xf numFmtId="14" fontId="39" fillId="0" borderId="2" xfId="2" applyNumberFormat="1" applyFont="1" applyBorder="1" applyAlignment="1">
      <alignment horizontal="center" vertical="center"/>
    </xf>
    <xf numFmtId="192" fontId="39" fillId="0" borderId="17" xfId="2" applyNumberFormat="1" applyFont="1" applyBorder="1" applyAlignment="1">
      <alignment horizontal="center" vertical="center"/>
    </xf>
    <xf numFmtId="192" fontId="39" fillId="0" borderId="34" xfId="2" applyNumberFormat="1" applyFont="1" applyBorder="1" applyAlignment="1">
      <alignment horizontal="center" vertical="center"/>
    </xf>
    <xf numFmtId="192" fontId="39" fillId="0" borderId="35" xfId="2" applyNumberFormat="1" applyFont="1" applyBorder="1" applyAlignment="1">
      <alignment horizontal="center" vertical="center"/>
    </xf>
    <xf numFmtId="0" fontId="39" fillId="0" borderId="0" xfId="2" applyFont="1" applyAlignment="1">
      <alignment horizontal="right" vertical="center"/>
    </xf>
    <xf numFmtId="189" fontId="39" fillId="0" borderId="0" xfId="2" applyNumberFormat="1" applyFont="1" applyAlignment="1">
      <alignment horizontal="center" vertical="center"/>
    </xf>
    <xf numFmtId="0" fontId="47" fillId="0" borderId="50" xfId="2" applyFont="1" applyBorder="1" applyAlignment="1">
      <alignment horizontal="center" vertical="center"/>
    </xf>
    <xf numFmtId="0" fontId="38" fillId="0" borderId="12" xfId="2" applyFont="1" applyBorder="1" applyAlignment="1">
      <alignment horizontal="center" vertical="center"/>
    </xf>
    <xf numFmtId="189" fontId="39" fillId="9" borderId="0" xfId="2" applyNumberFormat="1" applyFont="1" applyFill="1" applyAlignment="1" applyProtection="1">
      <alignment horizontal="center" vertical="center"/>
      <protection locked="0"/>
    </xf>
    <xf numFmtId="191" fontId="40" fillId="0" borderId="38" xfId="2" applyNumberFormat="1" applyFont="1" applyBorder="1" applyAlignment="1">
      <alignment horizontal="center" vertical="center"/>
    </xf>
    <xf numFmtId="0" fontId="39" fillId="9" borderId="12" xfId="2" applyFont="1" applyFill="1" applyBorder="1" applyAlignment="1" applyProtection="1">
      <alignment horizontal="center" vertical="center"/>
      <protection locked="0"/>
    </xf>
    <xf numFmtId="0" fontId="38" fillId="0" borderId="31" xfId="2" applyFont="1" applyBorder="1" applyAlignment="1">
      <alignment horizontal="center" vertical="center"/>
    </xf>
    <xf numFmtId="0" fontId="43" fillId="0" borderId="8" xfId="2" applyFont="1" applyBorder="1" applyAlignment="1">
      <alignment horizontal="center" vertical="center" textRotation="90" wrapText="1"/>
    </xf>
    <xf numFmtId="0" fontId="43" fillId="0" borderId="3" xfId="2" applyFont="1" applyBorder="1" applyAlignment="1">
      <alignment horizontal="center" vertical="center" textRotation="90" wrapText="1"/>
    </xf>
    <xf numFmtId="0" fontId="43" fillId="0" borderId="46" xfId="2" applyFont="1" applyBorder="1" applyAlignment="1">
      <alignment horizontal="center" vertical="center" textRotation="90" wrapText="1"/>
    </xf>
    <xf numFmtId="0" fontId="62" fillId="0" borderId="28" xfId="2" applyFont="1" applyBorder="1" applyAlignment="1" applyProtection="1">
      <alignment horizontal="center" vertical="center"/>
      <protection locked="0"/>
    </xf>
    <xf numFmtId="0" fontId="62" fillId="0" borderId="0" xfId="2" applyFont="1" applyAlignment="1" applyProtection="1">
      <alignment horizontal="center" vertical="center"/>
      <protection locked="0"/>
    </xf>
    <xf numFmtId="0" fontId="62" fillId="0" borderId="45" xfId="2" applyFont="1" applyBorder="1" applyAlignment="1" applyProtection="1">
      <alignment horizontal="center" vertical="center"/>
      <protection locked="0"/>
    </xf>
    <xf numFmtId="0" fontId="62" fillId="0" borderId="9" xfId="2" applyFont="1" applyBorder="1" applyAlignment="1" applyProtection="1">
      <alignment horizontal="center" vertical="center"/>
      <protection locked="0"/>
    </xf>
    <xf numFmtId="0" fontId="62" fillId="0" borderId="13" xfId="2" applyFont="1" applyBorder="1" applyAlignment="1" applyProtection="1">
      <alignment horizontal="center" vertical="center"/>
      <protection locked="0"/>
    </xf>
    <xf numFmtId="0" fontId="62" fillId="0" borderId="14" xfId="2" applyFont="1" applyBorder="1" applyAlignment="1" applyProtection="1">
      <alignment horizontal="center" vertical="center"/>
      <protection locked="0"/>
    </xf>
    <xf numFmtId="1" fontId="35" fillId="3" borderId="55" xfId="2" applyNumberFormat="1" applyFont="1" applyFill="1" applyBorder="1" applyAlignment="1">
      <alignment horizontal="center" vertical="center"/>
    </xf>
    <xf numFmtId="191" fontId="35" fillId="0" borderId="55" xfId="2" applyNumberFormat="1" applyFont="1" applyBorder="1" applyAlignment="1">
      <alignment horizontal="center" vertical="center"/>
    </xf>
    <xf numFmtId="191" fontId="35" fillId="0" borderId="56" xfId="2" applyNumberFormat="1" applyFont="1" applyBorder="1" applyAlignment="1">
      <alignment horizontal="center" vertical="center"/>
    </xf>
    <xf numFmtId="188" fontId="35" fillId="0" borderId="78" xfId="2" applyNumberFormat="1" applyFont="1" applyBorder="1" applyAlignment="1">
      <alignment horizontal="center" vertical="center"/>
    </xf>
    <xf numFmtId="188" fontId="53" fillId="0" borderId="79" xfId="2" applyNumberFormat="1" applyFont="1" applyBorder="1" applyAlignment="1">
      <alignment horizontal="center" vertical="center"/>
    </xf>
    <xf numFmtId="189" fontId="47" fillId="0" borderId="36" xfId="2" applyNumberFormat="1" applyFont="1" applyBorder="1" applyAlignment="1">
      <alignment horizontal="center" vertical="center"/>
    </xf>
    <xf numFmtId="189" fontId="47" fillId="0" borderId="37" xfId="2" applyNumberFormat="1" applyFont="1" applyBorder="1" applyAlignment="1">
      <alignment horizontal="center" vertical="center"/>
    </xf>
    <xf numFmtId="189" fontId="47" fillId="0" borderId="2" xfId="2" applyNumberFormat="1" applyFont="1" applyBorder="1" applyAlignment="1">
      <alignment horizontal="center" vertical="center"/>
    </xf>
    <xf numFmtId="189" fontId="47" fillId="0" borderId="11" xfId="2" applyNumberFormat="1" applyFont="1" applyBorder="1" applyAlignment="1">
      <alignment horizontal="center" vertical="center"/>
    </xf>
    <xf numFmtId="189" fontId="47" fillId="0" borderId="39" xfId="2" applyNumberFormat="1" applyFont="1" applyBorder="1" applyAlignment="1">
      <alignment horizontal="center" vertical="center"/>
    </xf>
    <xf numFmtId="189" fontId="47" fillId="0" borderId="4" xfId="2" applyNumberFormat="1" applyFont="1" applyBorder="1" applyAlignment="1">
      <alignment horizontal="center" vertical="center"/>
    </xf>
    <xf numFmtId="188" fontId="53" fillId="0" borderId="77" xfId="2" applyNumberFormat="1" applyFont="1" applyBorder="1" applyAlignment="1">
      <alignment horizontal="center" vertical="center"/>
    </xf>
    <xf numFmtId="188" fontId="53" fillId="0" borderId="78" xfId="2" applyNumberFormat="1" applyFont="1" applyBorder="1" applyAlignment="1">
      <alignment horizontal="center" vertical="center"/>
    </xf>
    <xf numFmtId="197" fontId="57" fillId="0" borderId="77" xfId="2" applyNumberFormat="1" applyFont="1" applyBorder="1" applyAlignment="1">
      <alignment horizontal="center" vertical="center"/>
    </xf>
    <xf numFmtId="188" fontId="35" fillId="0" borderId="77" xfId="2" applyNumberFormat="1" applyFont="1" applyBorder="1" applyAlignment="1">
      <alignment horizontal="center" vertical="center"/>
    </xf>
    <xf numFmtId="0" fontId="35" fillId="3" borderId="75" xfId="2" applyFont="1" applyFill="1" applyBorder="1" applyAlignment="1">
      <alignment horizontal="center" vertical="center"/>
    </xf>
    <xf numFmtId="0" fontId="35" fillId="3" borderId="30" xfId="2" applyFont="1" applyFill="1" applyBorder="1" applyAlignment="1">
      <alignment horizontal="center" vertical="center"/>
    </xf>
    <xf numFmtId="0" fontId="55" fillId="3" borderId="69" xfId="2" applyFont="1" applyFill="1" applyBorder="1" applyAlignment="1">
      <alignment horizontal="left"/>
    </xf>
    <xf numFmtId="0" fontId="55" fillId="3" borderId="70" xfId="2" applyFont="1" applyFill="1" applyBorder="1" applyAlignment="1">
      <alignment horizontal="left"/>
    </xf>
    <xf numFmtId="0" fontId="35" fillId="3" borderId="70" xfId="2" applyFont="1" applyFill="1" applyBorder="1" applyAlignment="1">
      <alignment horizontal="center" vertical="center"/>
    </xf>
    <xf numFmtId="1" fontId="35" fillId="3" borderId="70" xfId="2" applyNumberFormat="1" applyFont="1" applyFill="1" applyBorder="1" applyAlignment="1">
      <alignment horizontal="center" vertical="center"/>
    </xf>
    <xf numFmtId="191" fontId="35" fillId="0" borderId="70" xfId="2" applyNumberFormat="1" applyFont="1" applyBorder="1" applyAlignment="1">
      <alignment horizontal="center" vertical="center"/>
    </xf>
    <xf numFmtId="191" fontId="35" fillId="0" borderId="59" xfId="2" applyNumberFormat="1" applyFont="1" applyBorder="1" applyAlignment="1">
      <alignment horizontal="center" vertical="center"/>
    </xf>
    <xf numFmtId="2" fontId="54" fillId="0" borderId="67" xfId="2" applyNumberFormat="1" applyFont="1" applyBorder="1" applyAlignment="1">
      <alignment horizontal="center" vertical="center"/>
    </xf>
    <xf numFmtId="195" fontId="35" fillId="10" borderId="56" xfId="2" applyNumberFormat="1" applyFont="1" applyFill="1" applyBorder="1" applyAlignment="1">
      <alignment horizontal="center" vertical="center"/>
    </xf>
    <xf numFmtId="195" fontId="35" fillId="10" borderId="71" xfId="2" applyNumberFormat="1" applyFont="1" applyFill="1" applyBorder="1" applyAlignment="1">
      <alignment horizontal="center" vertical="center"/>
    </xf>
    <xf numFmtId="195" fontId="35" fillId="10" borderId="6" xfId="2" applyNumberFormat="1" applyFont="1" applyFill="1" applyBorder="1" applyAlignment="1">
      <alignment horizontal="center" vertical="center"/>
    </xf>
    <xf numFmtId="195" fontId="35" fillId="10" borderId="30" xfId="2" applyNumberFormat="1" applyFont="1" applyFill="1" applyBorder="1" applyAlignment="1">
      <alignment horizontal="center" vertical="center"/>
    </xf>
    <xf numFmtId="195" fontId="35" fillId="0" borderId="6" xfId="2" applyNumberFormat="1" applyFont="1" applyBorder="1" applyAlignment="1">
      <alignment horizontal="center" vertical="center"/>
    </xf>
    <xf numFmtId="195" fontId="35" fillId="0" borderId="30" xfId="2" applyNumberFormat="1" applyFont="1" applyBorder="1" applyAlignment="1">
      <alignment horizontal="center" vertical="center"/>
    </xf>
    <xf numFmtId="195" fontId="35" fillId="0" borderId="59" xfId="2" applyNumberFormat="1" applyFont="1" applyBorder="1" applyAlignment="1">
      <alignment horizontal="center" vertical="center"/>
    </xf>
    <xf numFmtId="195" fontId="35" fillId="0" borderId="63" xfId="2" applyNumberFormat="1" applyFont="1" applyBorder="1" applyAlignment="1">
      <alignment horizontal="center" vertical="center"/>
    </xf>
    <xf numFmtId="2" fontId="35" fillId="0" borderId="55" xfId="2" applyNumberFormat="1" applyFont="1" applyBorder="1" applyAlignment="1">
      <alignment horizontal="left" vertical="center"/>
    </xf>
    <xf numFmtId="187" fontId="57" fillId="3" borderId="75" xfId="2" applyNumberFormat="1" applyFont="1" applyFill="1" applyBorder="1" applyAlignment="1">
      <alignment horizontal="center" vertical="center"/>
    </xf>
    <xf numFmtId="187" fontId="57" fillId="3" borderId="30" xfId="2" applyNumberFormat="1" applyFont="1" applyFill="1" applyBorder="1" applyAlignment="1">
      <alignment horizontal="center" vertical="center"/>
    </xf>
    <xf numFmtId="0" fontId="35" fillId="3" borderId="76" xfId="2" applyFont="1" applyFill="1" applyBorder="1" applyAlignment="1">
      <alignment horizontal="center" vertical="center"/>
    </xf>
    <xf numFmtId="0" fontId="35" fillId="3" borderId="63" xfId="2" applyFont="1" applyFill="1" applyBorder="1" applyAlignment="1">
      <alignment horizontal="center" vertical="center"/>
    </xf>
    <xf numFmtId="1" fontId="58" fillId="0" borderId="36" xfId="2" applyNumberFormat="1" applyFont="1" applyBorder="1" applyAlignment="1">
      <alignment horizontal="center" vertical="center"/>
    </xf>
    <xf numFmtId="1" fontId="58" fillId="0" borderId="37" xfId="2" applyNumberFormat="1" applyFont="1" applyBorder="1" applyAlignment="1">
      <alignment horizontal="center" vertical="center"/>
    </xf>
    <xf numFmtId="1" fontId="58" fillId="0" borderId="2" xfId="2" applyNumberFormat="1" applyFont="1" applyBorder="1" applyAlignment="1">
      <alignment horizontal="center" vertical="center"/>
    </xf>
    <xf numFmtId="1" fontId="58" fillId="0" borderId="40" xfId="2" applyNumberFormat="1" applyFont="1" applyBorder="1" applyAlignment="1">
      <alignment horizontal="center" vertical="center"/>
    </xf>
    <xf numFmtId="1" fontId="58" fillId="0" borderId="0" xfId="2" applyNumberFormat="1" applyFont="1" applyAlignment="1">
      <alignment horizontal="center" vertical="center"/>
    </xf>
    <xf numFmtId="1" fontId="58" fillId="0" borderId="1" xfId="2" applyNumberFormat="1" applyFont="1" applyBorder="1" applyAlignment="1">
      <alignment horizontal="center" vertical="center"/>
    </xf>
    <xf numFmtId="1" fontId="58" fillId="0" borderId="11" xfId="2" applyNumberFormat="1" applyFont="1" applyBorder="1" applyAlignment="1">
      <alignment horizontal="center" vertical="center"/>
    </xf>
    <xf numFmtId="1" fontId="58" fillId="0" borderId="39" xfId="2" applyNumberFormat="1" applyFont="1" applyBorder="1" applyAlignment="1">
      <alignment horizontal="center" vertical="center"/>
    </xf>
    <xf numFmtId="1" fontId="58" fillId="0" borderId="4" xfId="2" applyNumberFormat="1" applyFont="1" applyBorder="1" applyAlignment="1">
      <alignment horizontal="center" vertical="center"/>
    </xf>
    <xf numFmtId="0" fontId="39" fillId="0" borderId="2" xfId="2" quotePrefix="1" applyFont="1" applyBorder="1" applyAlignment="1">
      <alignment horizontal="center" vertical="center"/>
    </xf>
    <xf numFmtId="0" fontId="39" fillId="0" borderId="4" xfId="2" quotePrefix="1" applyFont="1" applyBorder="1" applyAlignment="1">
      <alignment horizontal="center" vertical="center"/>
    </xf>
    <xf numFmtId="187" fontId="35" fillId="0" borderId="79" xfId="2" applyNumberFormat="1" applyFont="1" applyBorder="1" applyAlignment="1">
      <alignment horizontal="center" vertical="center"/>
    </xf>
    <xf numFmtId="0" fontId="56" fillId="3" borderId="69" xfId="2" applyFont="1" applyFill="1" applyBorder="1" applyAlignment="1">
      <alignment horizontal="center" vertical="center"/>
    </xf>
    <xf numFmtId="0" fontId="56" fillId="3" borderId="70" xfId="2" applyFont="1" applyFill="1" applyBorder="1" applyAlignment="1">
      <alignment horizontal="center" vertical="center"/>
    </xf>
    <xf numFmtId="2" fontId="35" fillId="0" borderId="70" xfId="2" applyNumberFormat="1" applyFont="1" applyBorder="1" applyAlignment="1">
      <alignment horizontal="left" vertical="center"/>
    </xf>
    <xf numFmtId="2" fontId="35" fillId="8" borderId="61" xfId="2" applyNumberFormat="1" applyFont="1" applyFill="1" applyBorder="1" applyAlignment="1">
      <alignment horizontal="center" vertical="center"/>
    </xf>
    <xf numFmtId="2" fontId="35" fillId="8" borderId="39" xfId="2" applyNumberFormat="1" applyFont="1" applyFill="1" applyBorder="1" applyAlignment="1">
      <alignment horizontal="center" vertical="center"/>
    </xf>
    <xf numFmtId="191" fontId="35" fillId="0" borderId="17" xfId="2" applyNumberFormat="1" applyFont="1" applyBorder="1" applyAlignment="1">
      <alignment horizontal="center" vertical="center"/>
    </xf>
    <xf numFmtId="191" fontId="35" fillId="0" borderId="34" xfId="2" applyNumberFormat="1" applyFont="1" applyBorder="1" applyAlignment="1">
      <alignment horizontal="center" vertical="center"/>
    </xf>
    <xf numFmtId="0" fontId="53" fillId="3" borderId="73" xfId="2" applyFont="1" applyFill="1" applyBorder="1" applyAlignment="1">
      <alignment horizontal="center" vertical="center"/>
    </xf>
    <xf numFmtId="0" fontId="53" fillId="3" borderId="74" xfId="2" applyFont="1" applyFill="1" applyBorder="1" applyAlignment="1">
      <alignment horizontal="center" vertical="center"/>
    </xf>
    <xf numFmtId="2" fontId="54" fillId="3" borderId="73" xfId="2" applyNumberFormat="1" applyFont="1" applyFill="1" applyBorder="1" applyAlignment="1">
      <alignment horizontal="center" vertical="center"/>
    </xf>
    <xf numFmtId="2" fontId="54" fillId="3" borderId="34" xfId="2" applyNumberFormat="1" applyFont="1" applyFill="1" applyBorder="1" applyAlignment="1">
      <alignment horizontal="center" vertical="center"/>
    </xf>
    <xf numFmtId="1" fontId="35" fillId="8" borderId="36" xfId="2" applyNumberFormat="1" applyFont="1" applyFill="1" applyBorder="1" applyAlignment="1">
      <alignment horizontal="center" vertical="center"/>
    </xf>
    <xf numFmtId="1" fontId="35" fillId="8" borderId="37" xfId="2" applyNumberFormat="1" applyFont="1" applyFill="1" applyBorder="1" applyAlignment="1">
      <alignment horizontal="center" vertical="center"/>
    </xf>
    <xf numFmtId="1" fontId="35" fillId="8" borderId="2" xfId="2" applyNumberFormat="1" applyFont="1" applyFill="1" applyBorder="1" applyAlignment="1">
      <alignment horizontal="center" vertical="center"/>
    </xf>
    <xf numFmtId="1" fontId="35" fillId="8" borderId="11" xfId="2" applyNumberFormat="1" applyFont="1" applyFill="1" applyBorder="1" applyAlignment="1">
      <alignment horizontal="center" vertical="center"/>
    </xf>
    <xf numFmtId="1" fontId="35" fillId="8" borderId="39" xfId="2" applyNumberFormat="1" applyFont="1" applyFill="1" applyBorder="1" applyAlignment="1">
      <alignment horizontal="center" vertical="center"/>
    </xf>
    <xf numFmtId="1" fontId="35" fillId="8" borderId="4" xfId="2" applyNumberFormat="1" applyFont="1" applyFill="1" applyBorder="1" applyAlignment="1">
      <alignment horizontal="center" vertical="center"/>
    </xf>
    <xf numFmtId="0" fontId="53" fillId="0" borderId="66" xfId="2" applyFont="1" applyBorder="1" applyAlignment="1">
      <alignment horizontal="center" vertical="center"/>
    </xf>
    <xf numFmtId="0" fontId="53" fillId="0" borderId="67" xfId="2" applyFont="1" applyBorder="1" applyAlignment="1">
      <alignment horizontal="center" vertical="center"/>
    </xf>
    <xf numFmtId="2" fontId="35" fillId="8" borderId="65" xfId="2" applyNumberFormat="1" applyFont="1" applyFill="1" applyBorder="1" applyAlignment="1">
      <alignment horizontal="center" vertical="center"/>
    </xf>
    <xf numFmtId="2" fontId="35" fillId="8" borderId="37" xfId="2" applyNumberFormat="1" applyFont="1" applyFill="1" applyBorder="1" applyAlignment="1">
      <alignment horizontal="center" vertical="center"/>
    </xf>
    <xf numFmtId="0" fontId="54" fillId="3" borderId="70" xfId="2" applyFont="1" applyFill="1" applyBorder="1" applyAlignment="1">
      <alignment horizontal="center" vertical="center"/>
    </xf>
    <xf numFmtId="0" fontId="54" fillId="3" borderId="59" xfId="2" applyFont="1" applyFill="1" applyBorder="1" applyAlignment="1">
      <alignment horizontal="center" vertical="center"/>
    </xf>
    <xf numFmtId="2" fontId="53" fillId="0" borderId="65" xfId="2" applyNumberFormat="1" applyFont="1" applyBorder="1" applyAlignment="1">
      <alignment horizontal="center" vertical="center" wrapText="1"/>
    </xf>
    <xf numFmtId="2" fontId="53" fillId="0" borderId="37" xfId="2" applyNumberFormat="1" applyFont="1" applyBorder="1" applyAlignment="1">
      <alignment horizontal="center" vertical="center" wrapText="1"/>
    </xf>
    <xf numFmtId="2" fontId="53" fillId="0" borderId="61" xfId="2" applyNumberFormat="1" applyFont="1" applyBorder="1" applyAlignment="1">
      <alignment horizontal="center" vertical="center" wrapText="1"/>
    </xf>
    <xf numFmtId="2" fontId="53" fillId="0" borderId="39" xfId="2" applyNumberFormat="1" applyFont="1" applyBorder="1" applyAlignment="1">
      <alignment horizontal="center" vertical="center" wrapText="1"/>
    </xf>
    <xf numFmtId="0" fontId="35" fillId="3" borderId="10" xfId="2" applyFont="1" applyFill="1" applyBorder="1" applyAlignment="1">
      <alignment horizontal="center" vertical="center"/>
    </xf>
    <xf numFmtId="0" fontId="35" fillId="3" borderId="71" xfId="2" applyFont="1" applyFill="1" applyBorder="1" applyAlignment="1">
      <alignment horizontal="center" vertical="center"/>
    </xf>
    <xf numFmtId="195" fontId="35" fillId="0" borderId="56" xfId="2" applyNumberFormat="1" applyFont="1" applyBorder="1" applyAlignment="1">
      <alignment horizontal="center" vertical="center"/>
    </xf>
    <xf numFmtId="195" fontId="35" fillId="0" borderId="71" xfId="2" applyNumberFormat="1" applyFont="1" applyBorder="1" applyAlignment="1">
      <alignment horizontal="center" vertical="center"/>
    </xf>
    <xf numFmtId="187" fontId="35" fillId="3" borderId="67" xfId="2" applyNumberFormat="1" applyFont="1" applyFill="1" applyBorder="1" applyAlignment="1">
      <alignment horizontal="center" vertical="center"/>
    </xf>
    <xf numFmtId="187" fontId="35" fillId="3" borderId="68" xfId="2" applyNumberFormat="1" applyFont="1" applyFill="1" applyBorder="1" applyAlignment="1">
      <alignment horizontal="center" vertical="center"/>
    </xf>
    <xf numFmtId="187" fontId="35" fillId="3" borderId="66" xfId="2" applyNumberFormat="1" applyFont="1" applyFill="1" applyBorder="1" applyAlignment="1">
      <alignment horizontal="center" vertical="center"/>
    </xf>
    <xf numFmtId="191" fontId="54" fillId="3" borderId="67" xfId="2" applyNumberFormat="1" applyFont="1" applyFill="1" applyBorder="1" applyAlignment="1">
      <alignment horizontal="center" vertical="center"/>
    </xf>
    <xf numFmtId="191" fontId="54" fillId="3" borderId="68" xfId="2" applyNumberFormat="1" applyFont="1" applyFill="1" applyBorder="1" applyAlignment="1">
      <alignment horizontal="center" vertical="center"/>
    </xf>
    <xf numFmtId="0" fontId="35" fillId="3" borderId="66" xfId="2" applyFont="1" applyFill="1" applyBorder="1" applyAlignment="1">
      <alignment horizontal="center" vertical="center"/>
    </xf>
    <xf numFmtId="0" fontId="35" fillId="3" borderId="67" xfId="2" applyFont="1" applyFill="1" applyBorder="1" applyAlignment="1">
      <alignment horizontal="center" vertical="center"/>
    </xf>
    <xf numFmtId="187" fontId="54" fillId="3" borderId="67" xfId="2" applyNumberFormat="1" applyFont="1" applyFill="1" applyBorder="1" applyAlignment="1">
      <alignment horizontal="center" vertical="center"/>
    </xf>
    <xf numFmtId="187" fontId="54" fillId="3" borderId="68" xfId="2" applyNumberFormat="1" applyFont="1" applyFill="1" applyBorder="1" applyAlignment="1">
      <alignment horizontal="center" vertical="center"/>
    </xf>
    <xf numFmtId="198" fontId="57" fillId="0" borderId="78" xfId="2" applyNumberFormat="1" applyFont="1" applyBorder="1" applyAlignment="1">
      <alignment horizontal="center" vertical="center"/>
    </xf>
    <xf numFmtId="195" fontId="35" fillId="0" borderId="78" xfId="2" applyNumberFormat="1" applyFont="1" applyBorder="1" applyAlignment="1">
      <alignment horizontal="center" vertical="center"/>
    </xf>
    <xf numFmtId="0" fontId="35" fillId="0" borderId="78" xfId="2" applyFont="1" applyBorder="1" applyAlignment="1">
      <alignment horizontal="center" vertical="center"/>
    </xf>
    <xf numFmtId="0" fontId="39" fillId="9" borderId="12" xfId="2" applyFont="1" applyFill="1" applyBorder="1" applyAlignment="1" applyProtection="1">
      <alignment horizontal="left" vertical="center"/>
      <protection locked="0"/>
    </xf>
    <xf numFmtId="0" fontId="51" fillId="0" borderId="0" xfId="0" applyFont="1" applyAlignment="1">
      <alignment horizontal="left" vertical="center" wrapText="1"/>
    </xf>
    <xf numFmtId="187" fontId="16" fillId="0" borderId="85" xfId="0" applyNumberFormat="1" applyFont="1" applyBorder="1" applyAlignment="1">
      <alignment horizontal="center" vertical="center"/>
    </xf>
    <xf numFmtId="187" fontId="16" fillId="0" borderId="31" xfId="0" applyNumberFormat="1" applyFont="1" applyBorder="1" applyAlignment="1">
      <alignment horizontal="center" vertical="center"/>
    </xf>
    <xf numFmtId="187" fontId="16" fillId="0" borderId="86" xfId="0" applyNumberFormat="1" applyFont="1" applyBorder="1" applyAlignment="1">
      <alignment horizontal="center" vertical="center"/>
    </xf>
    <xf numFmtId="0" fontId="16" fillId="0" borderId="85" xfId="0" applyFont="1" applyBorder="1" applyAlignment="1">
      <alignment horizontal="center" vertical="center"/>
    </xf>
    <xf numFmtId="0" fontId="16" fillId="0" borderId="31" xfId="0" applyFont="1" applyBorder="1" applyAlignment="1">
      <alignment horizontal="center" vertical="center"/>
    </xf>
    <xf numFmtId="0" fontId="16" fillId="0" borderId="86" xfId="0" applyFont="1" applyBorder="1" applyAlignment="1">
      <alignment horizontal="center" vertical="center"/>
    </xf>
    <xf numFmtId="0" fontId="16" fillId="0" borderId="83" xfId="0" applyFont="1" applyBorder="1" applyAlignment="1">
      <alignment horizontal="center" vertical="center"/>
    </xf>
    <xf numFmtId="2" fontId="16" fillId="0" borderId="85" xfId="0" applyNumberFormat="1" applyFont="1" applyBorder="1" applyAlignment="1">
      <alignment horizontal="center" vertical="center"/>
    </xf>
    <xf numFmtId="2" fontId="16" fillId="0" borderId="31" xfId="0" applyNumberFormat="1" applyFont="1" applyBorder="1" applyAlignment="1">
      <alignment horizontal="center" vertical="center"/>
    </xf>
    <xf numFmtId="2" fontId="16" fillId="0" borderId="86" xfId="0" applyNumberFormat="1" applyFont="1" applyBorder="1" applyAlignment="1">
      <alignment horizontal="center" vertical="center"/>
    </xf>
    <xf numFmtId="187" fontId="16" fillId="0" borderId="83" xfId="0" applyNumberFormat="1" applyFont="1" applyBorder="1" applyAlignment="1">
      <alignment horizontal="center" vertical="center"/>
    </xf>
    <xf numFmtId="2" fontId="16" fillId="0" borderId="83" xfId="0" applyNumberFormat="1" applyFont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17" fillId="0" borderId="21" xfId="0" applyFont="1" applyBorder="1" applyAlignment="1">
      <alignment horizontal="center" vertical="center"/>
    </xf>
    <xf numFmtId="0" fontId="17" fillId="0" borderId="19" xfId="0" applyFont="1" applyBorder="1" applyAlignment="1">
      <alignment horizontal="center" vertical="center"/>
    </xf>
    <xf numFmtId="0" fontId="17" fillId="0" borderId="22" xfId="0" applyFont="1" applyBorder="1" applyAlignment="1">
      <alignment horizontal="center" vertical="center"/>
    </xf>
    <xf numFmtId="0" fontId="17" fillId="0" borderId="23" xfId="0" applyFont="1" applyBorder="1" applyAlignment="1">
      <alignment horizontal="center" vertical="center"/>
    </xf>
    <xf numFmtId="0" fontId="17" fillId="0" borderId="24" xfId="0" applyFont="1" applyBorder="1" applyAlignment="1">
      <alignment horizontal="center" vertical="center"/>
    </xf>
    <xf numFmtId="0" fontId="17" fillId="0" borderId="64" xfId="0" applyFont="1" applyBorder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16" fillId="0" borderId="28" xfId="0" applyFont="1" applyBorder="1" applyAlignment="1">
      <alignment horizontal="center" vertical="center"/>
    </xf>
    <xf numFmtId="0" fontId="5" fillId="0" borderId="49" xfId="0" applyFont="1" applyBorder="1" applyAlignment="1">
      <alignment horizontal="center" vertical="center"/>
    </xf>
    <xf numFmtId="0" fontId="17" fillId="0" borderId="0" xfId="0" applyFont="1" applyAlignment="1">
      <alignment horizontal="right" vertical="center"/>
    </xf>
    <xf numFmtId="0" fontId="17" fillId="0" borderId="30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0" borderId="25" xfId="0" applyFont="1" applyBorder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17" fillId="0" borderId="27" xfId="0" applyFont="1" applyBorder="1" applyAlignment="1">
      <alignment horizontal="center" vertical="center"/>
    </xf>
    <xf numFmtId="0" fontId="5" fillId="0" borderId="48" xfId="0" applyFont="1" applyBorder="1" applyAlignment="1">
      <alignment horizontal="center" vertical="center"/>
    </xf>
    <xf numFmtId="0" fontId="16" fillId="0" borderId="0" xfId="0" quotePrefix="1" applyFont="1" applyAlignment="1">
      <alignment horizontal="center" vertical="center"/>
    </xf>
    <xf numFmtId="0" fontId="16" fillId="0" borderId="81" xfId="0" applyFont="1" applyBorder="1" applyAlignment="1">
      <alignment horizontal="center" vertical="center"/>
    </xf>
    <xf numFmtId="188" fontId="16" fillId="0" borderId="81" xfId="0" applyNumberFormat="1" applyFont="1" applyBorder="1" applyAlignment="1">
      <alignment horizontal="center" vertical="center"/>
    </xf>
    <xf numFmtId="187" fontId="16" fillId="0" borderId="81" xfId="0" applyNumberFormat="1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5" fillId="0" borderId="0" xfId="0" applyFont="1" applyAlignment="1">
      <alignment vertical="center"/>
    </xf>
    <xf numFmtId="0" fontId="20" fillId="0" borderId="0" xfId="0" applyFont="1" applyAlignment="1">
      <alignment horizontal="center" vertical="center"/>
    </xf>
    <xf numFmtId="194" fontId="16" fillId="0" borderId="0" xfId="0" applyNumberFormat="1" applyFont="1" applyAlignment="1">
      <alignment horizontal="left" vertical="center"/>
    </xf>
    <xf numFmtId="0" fontId="23" fillId="0" borderId="0" xfId="0" applyFont="1" applyAlignment="1">
      <alignment horizontal="center" vertical="center"/>
    </xf>
    <xf numFmtId="199" fontId="5" fillId="0" borderId="49" xfId="0" applyNumberFormat="1" applyFont="1" applyBorder="1" applyAlignment="1">
      <alignment horizontal="center" vertical="center"/>
    </xf>
    <xf numFmtId="188" fontId="17" fillId="0" borderId="25" xfId="0" applyNumberFormat="1" applyFont="1" applyBorder="1" applyAlignment="1">
      <alignment horizontal="center" vertical="center"/>
    </xf>
    <xf numFmtId="188" fontId="17" fillId="0" borderId="26" xfId="0" applyNumberFormat="1" applyFont="1" applyBorder="1" applyAlignment="1">
      <alignment horizontal="center" vertical="center"/>
    </xf>
    <xf numFmtId="188" fontId="17" fillId="0" borderId="27" xfId="0" applyNumberFormat="1" applyFont="1" applyBorder="1" applyAlignment="1">
      <alignment horizontal="center" vertical="center"/>
    </xf>
    <xf numFmtId="188" fontId="17" fillId="0" borderId="64" xfId="0" applyNumberFormat="1" applyFont="1" applyBorder="1" applyAlignment="1">
      <alignment horizontal="center" vertical="center"/>
    </xf>
    <xf numFmtId="199" fontId="5" fillId="0" borderId="48" xfId="0" applyNumberFormat="1" applyFont="1" applyBorder="1" applyAlignment="1">
      <alignment horizontal="center" vertical="center"/>
    </xf>
    <xf numFmtId="0" fontId="16" fillId="0" borderId="84" xfId="0" applyFont="1" applyBorder="1" applyAlignment="1">
      <alignment horizontal="center" vertical="center"/>
    </xf>
    <xf numFmtId="2" fontId="16" fillId="0" borderId="87" xfId="0" applyNumberFormat="1" applyFont="1" applyBorder="1" applyAlignment="1">
      <alignment horizontal="center" vertical="center"/>
    </xf>
    <xf numFmtId="2" fontId="16" fillId="0" borderId="88" xfId="0" applyNumberFormat="1" applyFont="1" applyBorder="1" applyAlignment="1">
      <alignment horizontal="center" vertical="center"/>
    </xf>
    <xf numFmtId="2" fontId="16" fillId="0" borderId="89" xfId="0" applyNumberFormat="1" applyFont="1" applyBorder="1" applyAlignment="1">
      <alignment horizontal="center" vertical="center"/>
    </xf>
    <xf numFmtId="187" fontId="16" fillId="0" borderId="82" xfId="0" applyNumberFormat="1" applyFont="1" applyBorder="1" applyAlignment="1">
      <alignment horizontal="center" vertical="center"/>
    </xf>
    <xf numFmtId="0" fontId="16" fillId="0" borderId="82" xfId="0" applyFont="1" applyBorder="1" applyAlignment="1">
      <alignment horizontal="center" vertical="center"/>
    </xf>
    <xf numFmtId="0" fontId="16" fillId="0" borderId="80" xfId="0" applyFont="1" applyBorder="1" applyAlignment="1">
      <alignment horizontal="center" vertical="center"/>
    </xf>
    <xf numFmtId="188" fontId="17" fillId="0" borderId="20" xfId="0" applyNumberFormat="1" applyFont="1" applyBorder="1" applyAlignment="1">
      <alignment horizontal="center" vertical="center"/>
    </xf>
    <xf numFmtId="188" fontId="17" fillId="0" borderId="21" xfId="0" applyNumberFormat="1" applyFont="1" applyBorder="1" applyAlignment="1">
      <alignment horizontal="center" vertical="center"/>
    </xf>
    <xf numFmtId="188" fontId="17" fillId="0" borderId="19" xfId="0" applyNumberFormat="1" applyFont="1" applyBorder="1" applyAlignment="1">
      <alignment horizontal="center" vertical="center"/>
    </xf>
    <xf numFmtId="2" fontId="16" fillId="0" borderId="81" xfId="0" applyNumberFormat="1" applyFont="1" applyBorder="1" applyAlignment="1">
      <alignment horizontal="center" vertical="center"/>
    </xf>
    <xf numFmtId="2" fontId="16" fillId="0" borderId="82" xfId="0" applyNumberFormat="1" applyFont="1" applyBorder="1" applyAlignment="1">
      <alignment horizontal="center" vertical="center"/>
    </xf>
    <xf numFmtId="0" fontId="27" fillId="0" borderId="0" xfId="0" applyFont="1" applyAlignment="1">
      <alignment horizontal="left" vertical="center"/>
    </xf>
    <xf numFmtId="194" fontId="35" fillId="0" borderId="5" xfId="0" applyNumberFormat="1" applyFont="1" applyBorder="1" applyAlignment="1">
      <alignment horizontal="center" vertical="center"/>
    </xf>
    <xf numFmtId="194" fontId="24" fillId="0" borderId="5" xfId="0" applyNumberFormat="1" applyFont="1" applyBorder="1" applyAlignment="1">
      <alignment horizontal="center" vertical="center"/>
    </xf>
    <xf numFmtId="194" fontId="0" fillId="0" borderId="5" xfId="0" applyNumberFormat="1" applyBorder="1" applyAlignment="1">
      <alignment horizontal="center" vertical="center"/>
    </xf>
    <xf numFmtId="194" fontId="5" fillId="0" borderId="5" xfId="0" applyNumberFormat="1" applyFon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5" fillId="0" borderId="5" xfId="0" applyNumberFormat="1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28" fillId="0" borderId="6" xfId="0" applyFont="1" applyBorder="1" applyAlignment="1">
      <alignment horizontal="center" vertical="center"/>
    </xf>
    <xf numFmtId="0" fontId="28" fillId="0" borderId="30" xfId="0" applyFont="1" applyBorder="1" applyAlignment="1">
      <alignment horizontal="center" vertical="center"/>
    </xf>
    <xf numFmtId="0" fontId="28" fillId="0" borderId="7" xfId="0" applyFont="1" applyBorder="1" applyAlignment="1">
      <alignment horizontal="center" vertical="center"/>
    </xf>
    <xf numFmtId="189" fontId="23" fillId="9" borderId="13" xfId="0" applyNumberFormat="1" applyFont="1" applyFill="1" applyBorder="1" applyAlignment="1">
      <alignment horizontal="center" vertical="center"/>
    </xf>
    <xf numFmtId="189" fontId="23" fillId="9" borderId="0" xfId="0" applyNumberFormat="1" applyFont="1" applyFill="1" applyAlignment="1">
      <alignment horizontal="center" vertical="center"/>
    </xf>
    <xf numFmtId="189" fontId="23" fillId="9" borderId="9" xfId="0" applyNumberFormat="1" applyFont="1" applyFill="1" applyBorder="1" applyAlignment="1">
      <alignment horizontal="center" vertical="center"/>
    </xf>
    <xf numFmtId="189" fontId="23" fillId="9" borderId="28" xfId="0" applyNumberFormat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14" fontId="16" fillId="9" borderId="0" xfId="0" applyNumberFormat="1" applyFont="1" applyFill="1" applyAlignment="1">
      <alignment horizontal="left" vertical="center"/>
    </xf>
    <xf numFmtId="14" fontId="16" fillId="9" borderId="0" xfId="0" applyNumberFormat="1" applyFont="1" applyFill="1" applyAlignment="1">
      <alignment horizontal="center" vertical="center"/>
    </xf>
    <xf numFmtId="0" fontId="35" fillId="0" borderId="5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35" fillId="0" borderId="0" xfId="0" applyFont="1" applyAlignment="1">
      <alignment horizontal="left" vertical="center"/>
    </xf>
    <xf numFmtId="0" fontId="16" fillId="0" borderId="12" xfId="0" applyFont="1" applyBorder="1" applyAlignment="1">
      <alignment horizontal="center" vertical="center"/>
    </xf>
    <xf numFmtId="14" fontId="16" fillId="0" borderId="12" xfId="0" applyNumberFormat="1" applyFont="1" applyBorder="1" applyAlignment="1">
      <alignment horizontal="center" vertical="center"/>
    </xf>
    <xf numFmtId="0" fontId="16" fillId="9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14" fontId="16" fillId="0" borderId="0" xfId="0" applyNumberFormat="1" applyFont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5" fillId="0" borderId="5" xfId="0" applyFont="1" applyBorder="1" applyAlignment="1">
      <alignment horizontal="left" vertical="center"/>
    </xf>
    <xf numFmtId="0" fontId="5" fillId="9" borderId="5" xfId="0" applyFont="1" applyFill="1" applyBorder="1" applyAlignment="1">
      <alignment horizontal="center" vertical="center"/>
    </xf>
    <xf numFmtId="0" fontId="16" fillId="9" borderId="12" xfId="0" applyFont="1" applyFill="1" applyBorder="1" applyAlignment="1">
      <alignment horizontal="center" vertical="center"/>
    </xf>
    <xf numFmtId="0" fontId="23" fillId="10" borderId="12" xfId="0" applyFont="1" applyFill="1" applyBorder="1" applyAlignment="1">
      <alignment horizontal="center" vertical="center"/>
    </xf>
    <xf numFmtId="0" fontId="23" fillId="9" borderId="12" xfId="0" applyFont="1" applyFill="1" applyBorder="1" applyAlignment="1">
      <alignment horizontal="center" vertical="center"/>
    </xf>
    <xf numFmtId="0" fontId="34" fillId="0" borderId="31" xfId="0" applyFont="1" applyBorder="1" applyAlignment="1">
      <alignment horizontal="left" vertical="center"/>
    </xf>
    <xf numFmtId="189" fontId="23" fillId="0" borderId="0" xfId="0" applyNumberFormat="1" applyFont="1" applyAlignment="1">
      <alignment horizontal="center" vertical="center"/>
    </xf>
    <xf numFmtId="189" fontId="23" fillId="0" borderId="18" xfId="0" applyNumberFormat="1" applyFont="1" applyBorder="1" applyAlignment="1">
      <alignment horizontal="center" vertical="center"/>
    </xf>
    <xf numFmtId="0" fontId="16" fillId="0" borderId="30" xfId="0" applyFont="1" applyBorder="1" applyAlignment="1">
      <alignment horizontal="center" vertical="center"/>
    </xf>
    <xf numFmtId="190" fontId="34" fillId="0" borderId="31" xfId="0" applyNumberFormat="1" applyFont="1" applyBorder="1" applyAlignment="1">
      <alignment horizontal="left" vertical="center"/>
    </xf>
    <xf numFmtId="0" fontId="16" fillId="0" borderId="9" xfId="0" applyFont="1" applyBorder="1" applyAlignment="1">
      <alignment horizontal="center" vertical="center"/>
    </xf>
    <xf numFmtId="0" fontId="16" fillId="0" borderId="29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23" fillId="9" borderId="31" xfId="0" applyFont="1" applyFill="1" applyBorder="1" applyAlignment="1">
      <alignment horizontal="center" vertical="center"/>
    </xf>
    <xf numFmtId="190" fontId="23" fillId="0" borderId="0" xfId="0" applyNumberFormat="1" applyFont="1" applyAlignment="1">
      <alignment horizontal="left" vertical="center"/>
    </xf>
    <xf numFmtId="0" fontId="35" fillId="0" borderId="30" xfId="0" applyFont="1" applyBorder="1" applyAlignment="1">
      <alignment horizontal="left" vertical="center"/>
    </xf>
    <xf numFmtId="0" fontId="24" fillId="0" borderId="30" xfId="0" applyFont="1" applyBorder="1" applyAlignment="1">
      <alignment horizontal="left" vertical="center"/>
    </xf>
    <xf numFmtId="0" fontId="24" fillId="0" borderId="7" xfId="0" applyFon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3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3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18" fillId="9" borderId="12" xfId="0" applyFont="1" applyFill="1" applyBorder="1" applyAlignment="1">
      <alignment horizontal="center" vertical="center"/>
    </xf>
    <xf numFmtId="0" fontId="21" fillId="0" borderId="0" xfId="0" applyFont="1" applyAlignment="1">
      <alignment horizontal="left" vertical="center"/>
    </xf>
    <xf numFmtId="194" fontId="16" fillId="9" borderId="31" xfId="0" applyNumberFormat="1" applyFont="1" applyFill="1" applyBorder="1" applyAlignment="1">
      <alignment horizontal="left" vertical="center"/>
    </xf>
    <xf numFmtId="194" fontId="16" fillId="5" borderId="44" xfId="0" applyNumberFormat="1" applyFont="1" applyFill="1" applyBorder="1" applyAlignment="1">
      <alignment horizontal="left" vertical="center"/>
    </xf>
    <xf numFmtId="1" fontId="23" fillId="9" borderId="31" xfId="0" applyNumberFormat="1" applyFont="1" applyFill="1" applyBorder="1" applyAlignment="1">
      <alignment horizontal="left" vertical="center"/>
    </xf>
    <xf numFmtId="190" fontId="23" fillId="9" borderId="31" xfId="0" applyNumberFormat="1" applyFont="1" applyFill="1" applyBorder="1" applyAlignment="1">
      <alignment horizontal="left" vertical="center"/>
    </xf>
    <xf numFmtId="49" fontId="23" fillId="9" borderId="31" xfId="0" quotePrefix="1" applyNumberFormat="1" applyFont="1" applyFill="1" applyBorder="1" applyAlignment="1">
      <alignment horizontal="left" vertical="center"/>
    </xf>
    <xf numFmtId="49" fontId="23" fillId="9" borderId="31" xfId="0" applyNumberFormat="1" applyFont="1" applyFill="1" applyBorder="1" applyAlignment="1">
      <alignment horizontal="left" vertical="center"/>
    </xf>
    <xf numFmtId="49" fontId="16" fillId="9" borderId="31" xfId="0" applyNumberFormat="1" applyFont="1" applyFill="1" applyBorder="1" applyAlignment="1">
      <alignment horizontal="left" vertical="center"/>
    </xf>
    <xf numFmtId="0" fontId="17" fillId="0" borderId="15" xfId="0" applyFont="1" applyBorder="1" applyAlignment="1">
      <alignment horizontal="left" vertical="center"/>
    </xf>
    <xf numFmtId="0" fontId="18" fillId="9" borderId="12" xfId="0" applyFont="1" applyFill="1" applyBorder="1" applyAlignment="1">
      <alignment horizontal="left" vertical="center"/>
    </xf>
    <xf numFmtId="0" fontId="18" fillId="9" borderId="31" xfId="0" applyFont="1" applyFill="1" applyBorder="1" applyAlignment="1">
      <alignment horizontal="center" vertical="center"/>
    </xf>
    <xf numFmtId="0" fontId="18" fillId="0" borderId="44" xfId="0" applyFont="1" applyBorder="1" applyAlignment="1">
      <alignment horizontal="center" vertical="center"/>
    </xf>
    <xf numFmtId="0" fontId="26" fillId="0" borderId="5" xfId="0" applyFont="1" applyBorder="1" applyAlignment="1">
      <alignment horizontal="center" vertical="center"/>
    </xf>
    <xf numFmtId="0" fontId="26" fillId="0" borderId="30" xfId="0" applyFont="1" applyBorder="1" applyAlignment="1">
      <alignment horizontal="left" vertical="center"/>
    </xf>
    <xf numFmtId="0" fontId="26" fillId="0" borderId="7" xfId="0" applyFont="1" applyBorder="1" applyAlignment="1">
      <alignment horizontal="left" vertical="center"/>
    </xf>
    <xf numFmtId="0" fontId="39" fillId="0" borderId="12" xfId="2" applyFont="1" applyBorder="1" applyAlignment="1" applyProtection="1">
      <alignment horizontal="center" vertical="center"/>
      <protection locked="0"/>
    </xf>
    <xf numFmtId="188" fontId="35" fillId="0" borderId="10" xfId="2" applyNumberFormat="1" applyFont="1" applyBorder="1" applyAlignment="1">
      <alignment horizontal="center" vertical="center"/>
    </xf>
    <xf numFmtId="188" fontId="35" fillId="0" borderId="71" xfId="2" applyNumberFormat="1" applyFont="1" applyBorder="1" applyAlignment="1">
      <alignment horizontal="center" vertical="center"/>
    </xf>
    <xf numFmtId="188" fontId="35" fillId="0" borderId="90" xfId="2" applyNumberFormat="1" applyFont="1" applyBorder="1" applyAlignment="1">
      <alignment horizontal="center" vertical="center"/>
    </xf>
    <xf numFmtId="0" fontId="38" fillId="0" borderId="0" xfId="2" applyFont="1" applyAlignment="1" applyProtection="1">
      <alignment horizontal="center" vertical="center"/>
      <protection locked="0"/>
    </xf>
    <xf numFmtId="0" fontId="39" fillId="0" borderId="0" xfId="2" applyFont="1" applyAlignment="1" applyProtection="1">
      <alignment horizontal="left" vertical="center"/>
      <protection locked="0"/>
    </xf>
  </cellXfs>
  <cellStyles count="8">
    <cellStyle name="Normal" xfId="0" builtinId="0"/>
    <cellStyle name="Normal 2" xfId="5" xr:uid="{00000000-0005-0000-0000-000001000000}"/>
    <cellStyle name="ปกติ 2" xfId="1" xr:uid="{00000000-0005-0000-0000-000002000000}"/>
    <cellStyle name="ปกติ 2 2" xfId="6" xr:uid="{00000000-0005-0000-0000-000003000000}"/>
    <cellStyle name="ปกติ 2 2 2" xfId="7" xr:uid="{00000000-0005-0000-0000-000004000000}"/>
    <cellStyle name="ปกติ 3" xfId="2" xr:uid="{00000000-0005-0000-0000-000005000000}"/>
    <cellStyle name="ปกติ 3 2" xfId="3" xr:uid="{00000000-0005-0000-0000-000006000000}"/>
    <cellStyle name="ปกติ 4" xfId="4" xr:uid="{00000000-0005-0000-0000-000007000000}"/>
  </cellStyles>
  <dxfs count="114">
    <dxf>
      <numFmt numFmtId="189" formatCode="0.0"/>
    </dxf>
    <dxf>
      <numFmt numFmtId="2" formatCode="0.00"/>
    </dxf>
    <dxf>
      <numFmt numFmtId="187" formatCode="0.000"/>
    </dxf>
    <dxf>
      <numFmt numFmtId="1" formatCode="0"/>
    </dxf>
    <dxf>
      <numFmt numFmtId="189" formatCode="0.0"/>
    </dxf>
    <dxf>
      <numFmt numFmtId="2" formatCode="0.00"/>
    </dxf>
    <dxf>
      <numFmt numFmtId="187" formatCode="0.000"/>
    </dxf>
    <dxf>
      <numFmt numFmtId="1" formatCode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none">
          <fgColor theme="5" tint="0.79998168889431442"/>
          <bgColor auto="1"/>
        </patternFill>
      </fill>
      <alignment horizontal="center" vertical="top" textRotation="0" wrapText="1" indent="0" justifyLastLine="0" shrinkToFit="0" readingOrder="0"/>
      <border diagonalUp="0" diagonalDown="0">
        <left/>
        <right style="thin">
          <color indexed="64"/>
        </right>
        <top/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94" formatCode="[$-1010409]d\ mmmm\ yyyy;@"/>
      <fill>
        <patternFill patternType="none">
          <fgColor theme="5" tint="0.79998168889431442"/>
          <bgColor auto="1"/>
        </patternFill>
      </fill>
      <alignment horizontal="center" vertical="top" textRotation="0" wrapText="1" indent="0" justifyLastLine="0" shrinkToFit="0" readingOrder="0"/>
      <border diagonalUp="0" diagonalDown="0">
        <left/>
        <right style="thin">
          <color indexed="64"/>
        </right>
        <top/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top" textRotation="0" wrapText="1" indent="0" justifyLastLine="0" shrinkToFit="0" readingOrder="0"/>
      <border diagonalUp="0" diagonalDown="0">
        <left/>
        <right style="thin">
          <color indexed="64"/>
        </right>
        <top/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top" textRotation="0" wrapText="1" indent="0" justifyLastLine="0" shrinkToFit="0" readingOrder="0"/>
      <border diagonalUp="0" diagonalDown="0">
        <left/>
        <right style="thin">
          <color indexed="64"/>
        </right>
        <top/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none">
          <fgColor theme="5" tint="0.79998168889431442"/>
          <bgColor auto="1"/>
        </patternFill>
      </fill>
      <alignment horizontal="center" vertical="top" textRotation="0" wrapText="1" indent="0" justifyLastLine="0" shrinkToFit="0" readingOrder="0"/>
      <border diagonalUp="0" diagonalDown="0">
        <left/>
        <right style="thin">
          <color indexed="64"/>
        </right>
        <top/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none">
          <fgColor theme="5" tint="0.79998168889431442"/>
          <bgColor auto="1"/>
        </patternFill>
      </fill>
      <alignment horizontal="left" vertical="top" textRotation="0" wrapText="1" indent="0" justifyLastLine="0" shrinkToFit="0" readingOrder="0"/>
      <border diagonalUp="0" diagonalDown="0">
        <left/>
        <right style="thin">
          <color indexed="64"/>
        </right>
        <top/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none">
          <fgColor theme="5" tint="0.59999389629810485"/>
          <bgColor auto="1"/>
        </patternFill>
      </fill>
      <alignment horizontal="center" vertical="top" textRotation="0" wrapText="1" indent="0" justifyLastLine="0" shrinkToFit="0" readingOrder="0"/>
      <border diagonalUp="0" diagonalDown="0">
        <left/>
        <right style="thin">
          <color indexed="64"/>
        </right>
        <top/>
        <bottom style="hair">
          <color indexed="64"/>
        </bottom>
        <vertical/>
        <horizontal/>
      </border>
    </dxf>
    <dxf>
      <border>
        <top style="hair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none">
          <fgColor theme="5" tint="0.79998168889431442"/>
          <bgColor auto="1"/>
        </patternFill>
      </fill>
      <alignment horizontal="center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0" formatCode="@"/>
      <alignment horizontal="center" vertical="top" textRotation="0" wrapText="1" indent="0" justifyLastLine="0" shrinkToFit="0" readingOrder="0"/>
      <border diagonalUp="0" diagonalDown="0">
        <left/>
        <right style="thin">
          <color indexed="64"/>
        </right>
        <top/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194" formatCode="[$-1010409]d\ mmmm\ yyyy;@"/>
      <alignment horizontal="center" vertical="top" textRotation="0" wrapText="1" indent="0" justifyLastLine="0" shrinkToFit="0" readingOrder="0"/>
      <border diagonalUp="0" diagonalDown="0">
        <left/>
        <right style="thin">
          <color indexed="64"/>
        </right>
        <top/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0" formatCode="@"/>
      <alignment horizontal="center" vertical="top" textRotation="0" wrapText="1" indent="0" justifyLastLine="0" shrinkToFit="0" readingOrder="0"/>
      <border diagonalUp="0" diagonalDown="0">
        <left/>
        <right style="thin">
          <color indexed="64"/>
        </right>
        <top/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0" formatCode="@"/>
      <alignment horizontal="center" vertical="top" textRotation="0" wrapText="1" indent="0" justifyLastLine="0" shrinkToFit="0" readingOrder="0"/>
      <border diagonalUp="0" diagonalDown="0">
        <left/>
        <right style="thin">
          <color indexed="64"/>
        </right>
        <top/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alignment horizontal="center" vertical="top" textRotation="0" wrapText="1" indent="0" justifyLastLine="0" shrinkToFit="0" readingOrder="0"/>
      <border diagonalUp="0" diagonalDown="0">
        <left/>
        <right style="thin">
          <color indexed="64"/>
        </right>
        <top/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alignment horizontal="left" vertical="top" textRotation="0" wrapText="1" indent="0" justifyLastLine="0" shrinkToFit="0" readingOrder="0"/>
      <border diagonalUp="0" diagonalDown="0">
        <left/>
        <right style="thin">
          <color indexed="64"/>
        </right>
        <top/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alignment horizontal="center" vertical="top" textRotation="0" wrapText="1" indent="0" justifyLastLine="0" shrinkToFit="0" readingOrder="0"/>
      <border diagonalUp="0" diagonalDown="0">
        <left/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fill>
        <patternFill patternType="solid">
          <fgColor indexed="64"/>
          <bgColor rgb="FF7030A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 style="hair">
          <color indexed="64"/>
        </bottom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numFmt numFmtId="194" formatCode="[$-1010409]d\ mmmm\ yyyy;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hair">
          <color indexed="64"/>
        </bottom>
        <vertical style="thin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numFmt numFmtId="30" formatCode="@"/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numFmt numFmtId="30" formatCode="@"/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alignment horizontal="center" vertical="top" textRotation="0" wrapText="1" indent="0" justifyLastLine="0" shrinkToFit="0" readingOrder="0"/>
      <border diagonalUp="0" diagonalDown="0">
        <left/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charset val="22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charset val="22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00CC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TH SarabunPSK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alignment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vertAlign val="baseline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Times New Roman"/>
        <family val="1"/>
        <scheme val="none"/>
      </font>
    </dxf>
    <dxf>
      <font>
        <strike val="0"/>
        <outline val="0"/>
        <shadow val="0"/>
        <vertAlign val="baseline"/>
        <name val="Times New Roman"/>
        <family val="1"/>
        <scheme val="none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89" formatCode="0.0"/>
    </dxf>
    <dxf>
      <numFmt numFmtId="2" formatCode="0.00"/>
    </dxf>
    <dxf>
      <numFmt numFmtId="187" formatCode="0.000"/>
    </dxf>
    <dxf>
      <numFmt numFmtId="1" formatCode="0"/>
    </dxf>
    <dxf>
      <numFmt numFmtId="189" formatCode="0.0"/>
    </dxf>
    <dxf>
      <numFmt numFmtId="2" formatCode="0.00"/>
    </dxf>
    <dxf>
      <numFmt numFmtId="187" formatCode="0.000"/>
    </dxf>
    <dxf>
      <numFmt numFmtId="1" formatCode="0"/>
    </dxf>
    <dxf>
      <numFmt numFmtId="189" formatCode="0.0"/>
    </dxf>
    <dxf>
      <numFmt numFmtId="2" formatCode="0.00"/>
    </dxf>
    <dxf>
      <numFmt numFmtId="187" formatCode="0.000"/>
    </dxf>
    <dxf>
      <numFmt numFmtId="1" formatCode="0"/>
    </dxf>
    <dxf>
      <numFmt numFmtId="189" formatCode="0.0"/>
    </dxf>
    <dxf>
      <numFmt numFmtId="2" formatCode="0.00"/>
    </dxf>
    <dxf>
      <numFmt numFmtId="187" formatCode="0.000"/>
    </dxf>
    <dxf>
      <numFmt numFmtId="1" formatCode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colors>
    <mruColors>
      <color rgb="FF00FFFF"/>
      <color rgb="FF00CC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checked="Checked" fmlaLink="$AU$17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CheckBox" fmlaLink="$BB$6" lockText="1" noThreeD="1"/>
</file>

<file path=xl/ctrlProps/ctrlProp12.xml><?xml version="1.0" encoding="utf-8"?>
<formControlPr xmlns="http://schemas.microsoft.com/office/spreadsheetml/2009/9/main" objectType="CheckBox" fmlaLink="$BO$6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48986</xdr:colOff>
      <xdr:row>1</xdr:row>
      <xdr:rowOff>1360</xdr:rowOff>
    </xdr:from>
    <xdr:ext cx="945146" cy="911225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11" y="106135"/>
          <a:ext cx="945146" cy="911225"/>
        </a:xfrm>
        <a:prstGeom prst="rect">
          <a:avLst/>
        </a:prstGeom>
      </xdr:spPr>
    </xdr:pic>
    <xdr:clientData/>
  </xdr:oneCellAnchor>
  <xdr:oneCellAnchor>
    <xdr:from>
      <xdr:col>33</xdr:col>
      <xdr:colOff>53579</xdr:colOff>
      <xdr:row>0</xdr:row>
      <xdr:rowOff>0</xdr:rowOff>
    </xdr:from>
    <xdr:ext cx="1012030" cy="1080476"/>
    <xdr:pic>
      <xdr:nvPicPr>
        <xdr:cNvPr id="3" name="รูปภาพ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25704" y="0"/>
          <a:ext cx="1012030" cy="108047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266700</xdr:colOff>
          <xdr:row>71</xdr:row>
          <xdr:rowOff>161925</xdr:rowOff>
        </xdr:from>
        <xdr:to>
          <xdr:col>42</xdr:col>
          <xdr:colOff>476250</xdr:colOff>
          <xdr:row>72</xdr:row>
          <xdr:rowOff>171450</xdr:rowOff>
        </xdr:to>
        <xdr:sp macro="" textlink="">
          <xdr:nvSpPr>
            <xdr:cNvPr id="1025" name="Button 1" descr="Click to  Chang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000" b="0" i="0" u="none" strike="noStrike" baseline="0">
                  <a:solidFill>
                    <a:srgbClr val="000000"/>
                  </a:solidFill>
                  <a:latin typeface="Arial"/>
                </a:rPr>
                <a:t>Click if use cal1-2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247650</xdr:colOff>
          <xdr:row>73</xdr:row>
          <xdr:rowOff>19050</xdr:rowOff>
        </xdr:from>
        <xdr:to>
          <xdr:col>42</xdr:col>
          <xdr:colOff>457200</xdr:colOff>
          <xdr:row>74</xdr:row>
          <xdr:rowOff>28575</xdr:rowOff>
        </xdr:to>
        <xdr:sp macro="" textlink="">
          <xdr:nvSpPr>
            <xdr:cNvPr id="1026" name="Button 2" descr="Click to  Chang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000" b="0" i="0" u="none" strike="noStrike" baseline="0">
                  <a:solidFill>
                    <a:srgbClr val="000000"/>
                  </a:solidFill>
                  <a:latin typeface="Arial"/>
                </a:rPr>
                <a:t>Click if use cal1-3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238125</xdr:colOff>
          <xdr:row>74</xdr:row>
          <xdr:rowOff>104775</xdr:rowOff>
        </xdr:from>
        <xdr:to>
          <xdr:col>42</xdr:col>
          <xdr:colOff>447675</xdr:colOff>
          <xdr:row>75</xdr:row>
          <xdr:rowOff>114300</xdr:rowOff>
        </xdr:to>
        <xdr:sp macro="" textlink="">
          <xdr:nvSpPr>
            <xdr:cNvPr id="1027" name="Button 3" descr="Click to  Chang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000" b="0" i="0" u="none" strike="noStrike" baseline="0">
                  <a:solidFill>
                    <a:srgbClr val="000000"/>
                  </a:solidFill>
                  <a:latin typeface="Arial"/>
                </a:rPr>
                <a:t>Click if use cal1-4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257175</xdr:colOff>
          <xdr:row>75</xdr:row>
          <xdr:rowOff>152400</xdr:rowOff>
        </xdr:from>
        <xdr:to>
          <xdr:col>42</xdr:col>
          <xdr:colOff>466725</xdr:colOff>
          <xdr:row>76</xdr:row>
          <xdr:rowOff>161925</xdr:rowOff>
        </xdr:to>
        <xdr:sp macro="" textlink="">
          <xdr:nvSpPr>
            <xdr:cNvPr id="1028" name="Button 4" descr="Click to  Chang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000" b="0" i="0" u="none" strike="noStrike" baseline="0">
                  <a:solidFill>
                    <a:srgbClr val="000000"/>
                  </a:solidFill>
                  <a:latin typeface="Arial"/>
                </a:rPr>
                <a:t>Click if use cal1-5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247650</xdr:colOff>
          <xdr:row>77</xdr:row>
          <xdr:rowOff>19050</xdr:rowOff>
        </xdr:from>
        <xdr:to>
          <xdr:col>42</xdr:col>
          <xdr:colOff>457200</xdr:colOff>
          <xdr:row>78</xdr:row>
          <xdr:rowOff>28575</xdr:rowOff>
        </xdr:to>
        <xdr:sp macro="" textlink="">
          <xdr:nvSpPr>
            <xdr:cNvPr id="1029" name="Button 5" descr="Click to  Chang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000" b="0" i="0" u="none" strike="noStrike" baseline="0">
                  <a:solidFill>
                    <a:srgbClr val="000000"/>
                  </a:solidFill>
                  <a:latin typeface="Arial"/>
                </a:rPr>
                <a:t>Click if use cal1-6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266700</xdr:colOff>
          <xdr:row>78</xdr:row>
          <xdr:rowOff>95250</xdr:rowOff>
        </xdr:from>
        <xdr:to>
          <xdr:col>42</xdr:col>
          <xdr:colOff>476250</xdr:colOff>
          <xdr:row>79</xdr:row>
          <xdr:rowOff>104775</xdr:rowOff>
        </xdr:to>
        <xdr:sp macro="" textlink="">
          <xdr:nvSpPr>
            <xdr:cNvPr id="1030" name="Button 6" descr="Click to  Change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000" b="0" i="0" u="none" strike="noStrike" baseline="0">
                  <a:solidFill>
                    <a:srgbClr val="000000"/>
                  </a:solidFill>
                  <a:latin typeface="Arial"/>
                </a:rPr>
                <a:t>Click if use cal1-7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37171</xdr:colOff>
      <xdr:row>15</xdr:row>
      <xdr:rowOff>199793</xdr:rowOff>
    </xdr:from>
    <xdr:to>
      <xdr:col>7</xdr:col>
      <xdr:colOff>125451</xdr:colOff>
      <xdr:row>15</xdr:row>
      <xdr:rowOff>199793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B8ED10CA-6B97-442C-BBA9-E948CCA536BF}"/>
            </a:ext>
          </a:extLst>
        </xdr:cNvPr>
        <xdr:cNvCxnSpPr/>
      </xdr:nvCxnSpPr>
      <xdr:spPr>
        <a:xfrm>
          <a:off x="122896" y="3581168"/>
          <a:ext cx="1116980" cy="0"/>
        </a:xfrm>
        <a:prstGeom prst="line">
          <a:avLst/>
        </a:prstGeom>
        <a:ln>
          <a:solidFill>
            <a:sysClr val="windowText" lastClr="000000"/>
          </a:solidFill>
          <a:prstDash val="lg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48986</xdr:colOff>
      <xdr:row>1</xdr:row>
      <xdr:rowOff>1360</xdr:rowOff>
    </xdr:from>
    <xdr:ext cx="945146" cy="911225"/>
    <xdr:pic macro="[0]!Cal1toCal2">
      <xdr:nvPicPr>
        <xdr:cNvPr id="3" name="Picture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11" y="106135"/>
          <a:ext cx="945146" cy="911225"/>
        </a:xfrm>
        <a:prstGeom prst="rect">
          <a:avLst/>
        </a:prstGeom>
      </xdr:spPr>
    </xdr:pic>
    <xdr:clientData/>
  </xdr:oneCellAnchor>
  <xdr:oneCellAnchor>
    <xdr:from>
      <xdr:col>33</xdr:col>
      <xdr:colOff>53579</xdr:colOff>
      <xdr:row>0</xdr:row>
      <xdr:rowOff>0</xdr:rowOff>
    </xdr:from>
    <xdr:ext cx="1012030" cy="1080476"/>
    <xdr:pic macro="[0]!Cal1toCal2">
      <xdr:nvPicPr>
        <xdr:cNvPr id="4" name="รูปภาพ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25704" y="0"/>
          <a:ext cx="1012030" cy="1080476"/>
        </a:xfrm>
        <a:prstGeom prst="rect">
          <a:avLst/>
        </a:prstGeom>
      </xdr:spPr>
    </xdr:pic>
    <xdr:clientData/>
  </xdr:oneCellAnchor>
  <xdr:oneCellAnchor>
    <xdr:from>
      <xdr:col>1</xdr:col>
      <xdr:colOff>48986</xdr:colOff>
      <xdr:row>1</xdr:row>
      <xdr:rowOff>1360</xdr:rowOff>
    </xdr:from>
    <xdr:ext cx="945146" cy="911225"/>
    <xdr:pic macro="[0]!Cal1toCal2">
      <xdr:nvPicPr>
        <xdr:cNvPr id="5" name="Picture 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11" y="106135"/>
          <a:ext cx="945146" cy="911225"/>
        </a:xfrm>
        <a:prstGeom prst="rect">
          <a:avLst/>
        </a:prstGeom>
      </xdr:spPr>
    </xdr:pic>
    <xdr:clientData/>
  </xdr:oneCellAnchor>
  <xdr:oneCellAnchor>
    <xdr:from>
      <xdr:col>33</xdr:col>
      <xdr:colOff>53579</xdr:colOff>
      <xdr:row>0</xdr:row>
      <xdr:rowOff>0</xdr:rowOff>
    </xdr:from>
    <xdr:ext cx="1012030" cy="1080476"/>
    <xdr:pic macro="[0]!Cal1toCal2">
      <xdr:nvPicPr>
        <xdr:cNvPr id="6" name="รูปภาพ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25704" y="0"/>
          <a:ext cx="1012030" cy="108047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85725</xdr:colOff>
          <xdr:row>114</xdr:row>
          <xdr:rowOff>19050</xdr:rowOff>
        </xdr:from>
        <xdr:to>
          <xdr:col>54</xdr:col>
          <xdr:colOff>104775</xdr:colOff>
          <xdr:row>116</xdr:row>
          <xdr:rowOff>114300</xdr:rowOff>
        </xdr:to>
        <xdr:sp macro="" textlink="">
          <xdr:nvSpPr>
            <xdr:cNvPr id="4097" name="Button 1" descr="Click to  Change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000" b="0" i="0" u="none" strike="noStrike" baseline="0">
                  <a:solidFill>
                    <a:srgbClr val="000000"/>
                  </a:solidFill>
                  <a:latin typeface="Arial"/>
                </a:rPr>
                <a:t>Click if use cal2-7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37171</xdr:colOff>
      <xdr:row>15</xdr:row>
      <xdr:rowOff>199793</xdr:rowOff>
    </xdr:from>
    <xdr:to>
      <xdr:col>7</xdr:col>
      <xdr:colOff>125451</xdr:colOff>
      <xdr:row>15</xdr:row>
      <xdr:rowOff>199793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7288494B-8637-4766-B31E-C89D15DD9F82}"/>
            </a:ext>
          </a:extLst>
        </xdr:cNvPr>
        <xdr:cNvCxnSpPr/>
      </xdr:nvCxnSpPr>
      <xdr:spPr>
        <a:xfrm>
          <a:off x="122896" y="3581168"/>
          <a:ext cx="1116980" cy="0"/>
        </a:xfrm>
        <a:prstGeom prst="line">
          <a:avLst/>
        </a:prstGeom>
        <a:ln>
          <a:solidFill>
            <a:sysClr val="windowText" lastClr="000000"/>
          </a:solidFill>
          <a:prstDash val="lg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28</xdr:row>
      <xdr:rowOff>66675</xdr:rowOff>
    </xdr:from>
    <xdr:to>
      <xdr:col>1</xdr:col>
      <xdr:colOff>142875</xdr:colOff>
      <xdr:row>28</xdr:row>
      <xdr:rowOff>152400</xdr:rowOff>
    </xdr:to>
    <xdr:sp macro="" textlink="">
      <xdr:nvSpPr>
        <xdr:cNvPr id="3086" name="Rectangle 22">
          <a:extLst>
            <a:ext uri="{FF2B5EF4-FFF2-40B4-BE49-F238E27FC236}">
              <a16:creationId xmlns:a16="http://schemas.microsoft.com/office/drawing/2014/main" id="{00000000-0008-0000-0300-00000E0C0000}"/>
            </a:ext>
          </a:extLst>
        </xdr:cNvPr>
        <xdr:cNvSpPr>
          <a:spLocks noChangeArrowheads="1"/>
        </xdr:cNvSpPr>
      </xdr:nvSpPr>
      <xdr:spPr bwMode="auto">
        <a:xfrm>
          <a:off x="247650" y="624840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29</xdr:row>
      <xdr:rowOff>66675</xdr:rowOff>
    </xdr:from>
    <xdr:to>
      <xdr:col>1</xdr:col>
      <xdr:colOff>142875</xdr:colOff>
      <xdr:row>29</xdr:row>
      <xdr:rowOff>152400</xdr:rowOff>
    </xdr:to>
    <xdr:sp macro="" textlink="">
      <xdr:nvSpPr>
        <xdr:cNvPr id="3087" name="Rectangle 22">
          <a:extLst>
            <a:ext uri="{FF2B5EF4-FFF2-40B4-BE49-F238E27FC236}">
              <a16:creationId xmlns:a16="http://schemas.microsoft.com/office/drawing/2014/main" id="{00000000-0008-0000-0300-00000F0C0000}"/>
            </a:ext>
          </a:extLst>
        </xdr:cNvPr>
        <xdr:cNvSpPr>
          <a:spLocks noChangeArrowheads="1"/>
        </xdr:cNvSpPr>
      </xdr:nvSpPr>
      <xdr:spPr bwMode="auto">
        <a:xfrm>
          <a:off x="247650" y="645795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31</xdr:row>
      <xdr:rowOff>66675</xdr:rowOff>
    </xdr:from>
    <xdr:to>
      <xdr:col>1</xdr:col>
      <xdr:colOff>142875</xdr:colOff>
      <xdr:row>31</xdr:row>
      <xdr:rowOff>152400</xdr:rowOff>
    </xdr:to>
    <xdr:sp macro="" textlink="">
      <xdr:nvSpPr>
        <xdr:cNvPr id="3088" name="Rectangle 22">
          <a:extLst>
            <a:ext uri="{FF2B5EF4-FFF2-40B4-BE49-F238E27FC236}">
              <a16:creationId xmlns:a16="http://schemas.microsoft.com/office/drawing/2014/main" id="{00000000-0008-0000-0300-0000100C0000}"/>
            </a:ext>
          </a:extLst>
        </xdr:cNvPr>
        <xdr:cNvSpPr>
          <a:spLocks noChangeArrowheads="1"/>
        </xdr:cNvSpPr>
      </xdr:nvSpPr>
      <xdr:spPr bwMode="auto">
        <a:xfrm>
          <a:off x="247650" y="666750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28</xdr:row>
      <xdr:rowOff>66675</xdr:rowOff>
    </xdr:from>
    <xdr:to>
      <xdr:col>1</xdr:col>
      <xdr:colOff>142875</xdr:colOff>
      <xdr:row>28</xdr:row>
      <xdr:rowOff>152400</xdr:rowOff>
    </xdr:to>
    <xdr:sp macro="" textlink="">
      <xdr:nvSpPr>
        <xdr:cNvPr id="3103" name="Rectangle 22">
          <a:extLst>
            <a:ext uri="{FF2B5EF4-FFF2-40B4-BE49-F238E27FC236}">
              <a16:creationId xmlns:a16="http://schemas.microsoft.com/office/drawing/2014/main" id="{00000000-0008-0000-0300-00001F0C0000}"/>
            </a:ext>
          </a:extLst>
        </xdr:cNvPr>
        <xdr:cNvSpPr>
          <a:spLocks noChangeArrowheads="1"/>
        </xdr:cNvSpPr>
      </xdr:nvSpPr>
      <xdr:spPr bwMode="auto">
        <a:xfrm>
          <a:off x="247650" y="624840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29</xdr:row>
      <xdr:rowOff>66675</xdr:rowOff>
    </xdr:from>
    <xdr:to>
      <xdr:col>1</xdr:col>
      <xdr:colOff>142875</xdr:colOff>
      <xdr:row>29</xdr:row>
      <xdr:rowOff>152400</xdr:rowOff>
    </xdr:to>
    <xdr:sp macro="" textlink="">
      <xdr:nvSpPr>
        <xdr:cNvPr id="3104" name="Rectangle 22">
          <a:extLst>
            <a:ext uri="{FF2B5EF4-FFF2-40B4-BE49-F238E27FC236}">
              <a16:creationId xmlns:a16="http://schemas.microsoft.com/office/drawing/2014/main" id="{00000000-0008-0000-0300-0000200C0000}"/>
            </a:ext>
          </a:extLst>
        </xdr:cNvPr>
        <xdr:cNvSpPr>
          <a:spLocks noChangeArrowheads="1"/>
        </xdr:cNvSpPr>
      </xdr:nvSpPr>
      <xdr:spPr bwMode="auto">
        <a:xfrm>
          <a:off x="247650" y="645795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31</xdr:row>
      <xdr:rowOff>66675</xdr:rowOff>
    </xdr:from>
    <xdr:to>
      <xdr:col>1</xdr:col>
      <xdr:colOff>142875</xdr:colOff>
      <xdr:row>31</xdr:row>
      <xdr:rowOff>152400</xdr:rowOff>
    </xdr:to>
    <xdr:sp macro="" textlink="">
      <xdr:nvSpPr>
        <xdr:cNvPr id="3105" name="Rectangle 22">
          <a:extLst>
            <a:ext uri="{FF2B5EF4-FFF2-40B4-BE49-F238E27FC236}">
              <a16:creationId xmlns:a16="http://schemas.microsoft.com/office/drawing/2014/main" id="{00000000-0008-0000-0300-0000210C0000}"/>
            </a:ext>
          </a:extLst>
        </xdr:cNvPr>
        <xdr:cNvSpPr>
          <a:spLocks noChangeArrowheads="1"/>
        </xdr:cNvSpPr>
      </xdr:nvSpPr>
      <xdr:spPr bwMode="auto">
        <a:xfrm>
          <a:off x="247650" y="666750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28</xdr:row>
      <xdr:rowOff>66675</xdr:rowOff>
    </xdr:from>
    <xdr:to>
      <xdr:col>1</xdr:col>
      <xdr:colOff>142875</xdr:colOff>
      <xdr:row>28</xdr:row>
      <xdr:rowOff>152400</xdr:rowOff>
    </xdr:to>
    <xdr:sp macro="" textlink="">
      <xdr:nvSpPr>
        <xdr:cNvPr id="3107" name="Rectangle 22">
          <a:extLst>
            <a:ext uri="{FF2B5EF4-FFF2-40B4-BE49-F238E27FC236}">
              <a16:creationId xmlns:a16="http://schemas.microsoft.com/office/drawing/2014/main" id="{00000000-0008-0000-0300-0000230C0000}"/>
            </a:ext>
          </a:extLst>
        </xdr:cNvPr>
        <xdr:cNvSpPr>
          <a:spLocks noChangeArrowheads="1"/>
        </xdr:cNvSpPr>
      </xdr:nvSpPr>
      <xdr:spPr bwMode="auto">
        <a:xfrm>
          <a:off x="247650" y="624840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29</xdr:row>
      <xdr:rowOff>66675</xdr:rowOff>
    </xdr:from>
    <xdr:to>
      <xdr:col>1</xdr:col>
      <xdr:colOff>142875</xdr:colOff>
      <xdr:row>29</xdr:row>
      <xdr:rowOff>152400</xdr:rowOff>
    </xdr:to>
    <xdr:sp macro="" textlink="">
      <xdr:nvSpPr>
        <xdr:cNvPr id="3108" name="Rectangle 22">
          <a:extLst>
            <a:ext uri="{FF2B5EF4-FFF2-40B4-BE49-F238E27FC236}">
              <a16:creationId xmlns:a16="http://schemas.microsoft.com/office/drawing/2014/main" id="{00000000-0008-0000-0300-0000240C0000}"/>
            </a:ext>
          </a:extLst>
        </xdr:cNvPr>
        <xdr:cNvSpPr>
          <a:spLocks noChangeArrowheads="1"/>
        </xdr:cNvSpPr>
      </xdr:nvSpPr>
      <xdr:spPr bwMode="auto">
        <a:xfrm>
          <a:off x="247650" y="645795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31</xdr:row>
      <xdr:rowOff>66675</xdr:rowOff>
    </xdr:from>
    <xdr:to>
      <xdr:col>1</xdr:col>
      <xdr:colOff>142875</xdr:colOff>
      <xdr:row>31</xdr:row>
      <xdr:rowOff>152400</xdr:rowOff>
    </xdr:to>
    <xdr:sp macro="" textlink="">
      <xdr:nvSpPr>
        <xdr:cNvPr id="3109" name="Rectangle 22">
          <a:extLst>
            <a:ext uri="{FF2B5EF4-FFF2-40B4-BE49-F238E27FC236}">
              <a16:creationId xmlns:a16="http://schemas.microsoft.com/office/drawing/2014/main" id="{00000000-0008-0000-0300-0000250C0000}"/>
            </a:ext>
          </a:extLst>
        </xdr:cNvPr>
        <xdr:cNvSpPr>
          <a:spLocks noChangeArrowheads="1"/>
        </xdr:cNvSpPr>
      </xdr:nvSpPr>
      <xdr:spPr bwMode="auto">
        <a:xfrm>
          <a:off x="247650" y="666750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28</xdr:row>
      <xdr:rowOff>66675</xdr:rowOff>
    </xdr:from>
    <xdr:to>
      <xdr:col>1</xdr:col>
      <xdr:colOff>142875</xdr:colOff>
      <xdr:row>28</xdr:row>
      <xdr:rowOff>152400</xdr:rowOff>
    </xdr:to>
    <xdr:sp macro="" textlink="">
      <xdr:nvSpPr>
        <xdr:cNvPr id="3111" name="Rectangle 22">
          <a:extLst>
            <a:ext uri="{FF2B5EF4-FFF2-40B4-BE49-F238E27FC236}">
              <a16:creationId xmlns:a16="http://schemas.microsoft.com/office/drawing/2014/main" id="{00000000-0008-0000-0300-0000270C0000}"/>
            </a:ext>
          </a:extLst>
        </xdr:cNvPr>
        <xdr:cNvSpPr>
          <a:spLocks noChangeArrowheads="1"/>
        </xdr:cNvSpPr>
      </xdr:nvSpPr>
      <xdr:spPr bwMode="auto">
        <a:xfrm>
          <a:off x="247650" y="624840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29</xdr:row>
      <xdr:rowOff>66675</xdr:rowOff>
    </xdr:from>
    <xdr:to>
      <xdr:col>1</xdr:col>
      <xdr:colOff>142875</xdr:colOff>
      <xdr:row>29</xdr:row>
      <xdr:rowOff>152400</xdr:rowOff>
    </xdr:to>
    <xdr:sp macro="" textlink="">
      <xdr:nvSpPr>
        <xdr:cNvPr id="3112" name="Rectangle 22">
          <a:extLst>
            <a:ext uri="{FF2B5EF4-FFF2-40B4-BE49-F238E27FC236}">
              <a16:creationId xmlns:a16="http://schemas.microsoft.com/office/drawing/2014/main" id="{00000000-0008-0000-0300-0000280C0000}"/>
            </a:ext>
          </a:extLst>
        </xdr:cNvPr>
        <xdr:cNvSpPr>
          <a:spLocks noChangeArrowheads="1"/>
        </xdr:cNvSpPr>
      </xdr:nvSpPr>
      <xdr:spPr bwMode="auto">
        <a:xfrm>
          <a:off x="247650" y="645795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31</xdr:row>
      <xdr:rowOff>66675</xdr:rowOff>
    </xdr:from>
    <xdr:to>
      <xdr:col>1</xdr:col>
      <xdr:colOff>142875</xdr:colOff>
      <xdr:row>31</xdr:row>
      <xdr:rowOff>152400</xdr:rowOff>
    </xdr:to>
    <xdr:sp macro="" textlink="">
      <xdr:nvSpPr>
        <xdr:cNvPr id="3113" name="Rectangle 22">
          <a:extLst>
            <a:ext uri="{FF2B5EF4-FFF2-40B4-BE49-F238E27FC236}">
              <a16:creationId xmlns:a16="http://schemas.microsoft.com/office/drawing/2014/main" id="{00000000-0008-0000-0300-0000290C0000}"/>
            </a:ext>
          </a:extLst>
        </xdr:cNvPr>
        <xdr:cNvSpPr>
          <a:spLocks noChangeArrowheads="1"/>
        </xdr:cNvSpPr>
      </xdr:nvSpPr>
      <xdr:spPr bwMode="auto">
        <a:xfrm>
          <a:off x="247650" y="666750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21</xdr:row>
      <xdr:rowOff>66675</xdr:rowOff>
    </xdr:from>
    <xdr:to>
      <xdr:col>1</xdr:col>
      <xdr:colOff>142875</xdr:colOff>
      <xdr:row>21</xdr:row>
      <xdr:rowOff>152400</xdr:rowOff>
    </xdr:to>
    <xdr:sp macro="" textlink="">
      <xdr:nvSpPr>
        <xdr:cNvPr id="51" name="Rectangle 22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SpPr>
          <a:spLocks noChangeArrowheads="1"/>
        </xdr:cNvSpPr>
      </xdr:nvSpPr>
      <xdr:spPr bwMode="auto">
        <a:xfrm>
          <a:off x="247650" y="624840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22</xdr:row>
      <xdr:rowOff>66675</xdr:rowOff>
    </xdr:from>
    <xdr:to>
      <xdr:col>1</xdr:col>
      <xdr:colOff>142875</xdr:colOff>
      <xdr:row>22</xdr:row>
      <xdr:rowOff>152400</xdr:rowOff>
    </xdr:to>
    <xdr:sp macro="" textlink="">
      <xdr:nvSpPr>
        <xdr:cNvPr id="52" name="Rectangle 22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SpPr>
          <a:spLocks noChangeArrowheads="1"/>
        </xdr:cNvSpPr>
      </xdr:nvSpPr>
      <xdr:spPr bwMode="auto">
        <a:xfrm>
          <a:off x="247650" y="645795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21</xdr:row>
      <xdr:rowOff>66675</xdr:rowOff>
    </xdr:from>
    <xdr:to>
      <xdr:col>1</xdr:col>
      <xdr:colOff>142875</xdr:colOff>
      <xdr:row>21</xdr:row>
      <xdr:rowOff>152400</xdr:rowOff>
    </xdr:to>
    <xdr:sp macro="" textlink="">
      <xdr:nvSpPr>
        <xdr:cNvPr id="55" name="Rectangle 22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SpPr>
          <a:spLocks noChangeArrowheads="1"/>
        </xdr:cNvSpPr>
      </xdr:nvSpPr>
      <xdr:spPr bwMode="auto">
        <a:xfrm>
          <a:off x="247650" y="624840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22</xdr:row>
      <xdr:rowOff>66675</xdr:rowOff>
    </xdr:from>
    <xdr:to>
      <xdr:col>1</xdr:col>
      <xdr:colOff>142875</xdr:colOff>
      <xdr:row>22</xdr:row>
      <xdr:rowOff>152400</xdr:rowOff>
    </xdr:to>
    <xdr:sp macro="" textlink="">
      <xdr:nvSpPr>
        <xdr:cNvPr id="56" name="Rectangle 22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SpPr>
          <a:spLocks noChangeArrowheads="1"/>
        </xdr:cNvSpPr>
      </xdr:nvSpPr>
      <xdr:spPr bwMode="auto">
        <a:xfrm>
          <a:off x="247650" y="645795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21</xdr:row>
      <xdr:rowOff>66675</xdr:rowOff>
    </xdr:from>
    <xdr:to>
      <xdr:col>1</xdr:col>
      <xdr:colOff>142875</xdr:colOff>
      <xdr:row>21</xdr:row>
      <xdr:rowOff>152400</xdr:rowOff>
    </xdr:to>
    <xdr:sp macro="" textlink="">
      <xdr:nvSpPr>
        <xdr:cNvPr id="59" name="Rectangle 22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SpPr>
          <a:spLocks noChangeArrowheads="1"/>
        </xdr:cNvSpPr>
      </xdr:nvSpPr>
      <xdr:spPr bwMode="auto">
        <a:xfrm>
          <a:off x="247650" y="624840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22</xdr:row>
      <xdr:rowOff>66675</xdr:rowOff>
    </xdr:from>
    <xdr:to>
      <xdr:col>1</xdr:col>
      <xdr:colOff>142875</xdr:colOff>
      <xdr:row>22</xdr:row>
      <xdr:rowOff>152400</xdr:rowOff>
    </xdr:to>
    <xdr:sp macro="" textlink="">
      <xdr:nvSpPr>
        <xdr:cNvPr id="60" name="Rectangle 22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>
          <a:spLocks noChangeArrowheads="1"/>
        </xdr:cNvSpPr>
      </xdr:nvSpPr>
      <xdr:spPr bwMode="auto">
        <a:xfrm>
          <a:off x="247650" y="645795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21</xdr:row>
      <xdr:rowOff>66675</xdr:rowOff>
    </xdr:from>
    <xdr:to>
      <xdr:col>1</xdr:col>
      <xdr:colOff>142875</xdr:colOff>
      <xdr:row>21</xdr:row>
      <xdr:rowOff>152400</xdr:rowOff>
    </xdr:to>
    <xdr:sp macro="" textlink="">
      <xdr:nvSpPr>
        <xdr:cNvPr id="63" name="Rectangle 2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>
          <a:spLocks noChangeArrowheads="1"/>
        </xdr:cNvSpPr>
      </xdr:nvSpPr>
      <xdr:spPr bwMode="auto">
        <a:xfrm>
          <a:off x="247650" y="4391025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161925</xdr:colOff>
          <xdr:row>17</xdr:row>
          <xdr:rowOff>9525</xdr:rowOff>
        </xdr:from>
        <xdr:to>
          <xdr:col>30</xdr:col>
          <xdr:colOff>76200</xdr:colOff>
          <xdr:row>18</xdr:row>
          <xdr:rowOff>9525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2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57150</xdr:colOff>
      <xdr:row>23</xdr:row>
      <xdr:rowOff>66675</xdr:rowOff>
    </xdr:from>
    <xdr:to>
      <xdr:col>1</xdr:col>
      <xdr:colOff>142875</xdr:colOff>
      <xdr:row>23</xdr:row>
      <xdr:rowOff>152400</xdr:rowOff>
    </xdr:to>
    <xdr:sp macro="" textlink="">
      <xdr:nvSpPr>
        <xdr:cNvPr id="9" name="Rectangle 22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>
          <a:spLocks noChangeArrowheads="1"/>
        </xdr:cNvSpPr>
      </xdr:nvSpPr>
      <xdr:spPr bwMode="auto">
        <a:xfrm>
          <a:off x="247650" y="459105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23</xdr:row>
      <xdr:rowOff>66675</xdr:rowOff>
    </xdr:from>
    <xdr:to>
      <xdr:col>1</xdr:col>
      <xdr:colOff>142875</xdr:colOff>
      <xdr:row>23</xdr:row>
      <xdr:rowOff>152400</xdr:rowOff>
    </xdr:to>
    <xdr:sp macro="" textlink="">
      <xdr:nvSpPr>
        <xdr:cNvPr id="10" name="Rectangle 2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>
          <a:spLocks noChangeArrowheads="1"/>
        </xdr:cNvSpPr>
      </xdr:nvSpPr>
      <xdr:spPr bwMode="auto">
        <a:xfrm>
          <a:off x="247650" y="459105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23</xdr:row>
      <xdr:rowOff>66675</xdr:rowOff>
    </xdr:from>
    <xdr:to>
      <xdr:col>1</xdr:col>
      <xdr:colOff>142875</xdr:colOff>
      <xdr:row>23</xdr:row>
      <xdr:rowOff>152400</xdr:rowOff>
    </xdr:to>
    <xdr:sp macro="" textlink="">
      <xdr:nvSpPr>
        <xdr:cNvPr id="11" name="Rectangle 22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247650" y="459105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30</xdr:row>
      <xdr:rowOff>66675</xdr:rowOff>
    </xdr:from>
    <xdr:to>
      <xdr:col>1</xdr:col>
      <xdr:colOff>142875</xdr:colOff>
      <xdr:row>30</xdr:row>
      <xdr:rowOff>152400</xdr:rowOff>
    </xdr:to>
    <xdr:sp macro="" textlink="">
      <xdr:nvSpPr>
        <xdr:cNvPr id="12" name="Rectangle 22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>
          <a:spLocks noChangeArrowheads="1"/>
        </xdr:cNvSpPr>
      </xdr:nvSpPr>
      <xdr:spPr bwMode="auto">
        <a:xfrm>
          <a:off x="247650" y="636270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30</xdr:row>
      <xdr:rowOff>66675</xdr:rowOff>
    </xdr:from>
    <xdr:to>
      <xdr:col>1</xdr:col>
      <xdr:colOff>142875</xdr:colOff>
      <xdr:row>30</xdr:row>
      <xdr:rowOff>152400</xdr:rowOff>
    </xdr:to>
    <xdr:sp macro="" textlink="">
      <xdr:nvSpPr>
        <xdr:cNvPr id="13" name="Rectangle 2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>
          <a:spLocks noChangeArrowheads="1"/>
        </xdr:cNvSpPr>
      </xdr:nvSpPr>
      <xdr:spPr bwMode="auto">
        <a:xfrm>
          <a:off x="247650" y="636270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30</xdr:row>
      <xdr:rowOff>66675</xdr:rowOff>
    </xdr:from>
    <xdr:to>
      <xdr:col>1</xdr:col>
      <xdr:colOff>142875</xdr:colOff>
      <xdr:row>30</xdr:row>
      <xdr:rowOff>152400</xdr:rowOff>
    </xdr:to>
    <xdr:sp macro="" textlink="">
      <xdr:nvSpPr>
        <xdr:cNvPr id="14" name="Rectangle 22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>
          <a:spLocks noChangeArrowheads="1"/>
        </xdr:cNvSpPr>
      </xdr:nvSpPr>
      <xdr:spPr bwMode="auto">
        <a:xfrm>
          <a:off x="247650" y="636270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30</xdr:row>
      <xdr:rowOff>66675</xdr:rowOff>
    </xdr:from>
    <xdr:to>
      <xdr:col>1</xdr:col>
      <xdr:colOff>142875</xdr:colOff>
      <xdr:row>30</xdr:row>
      <xdr:rowOff>152400</xdr:rowOff>
    </xdr:to>
    <xdr:sp macro="" textlink="">
      <xdr:nvSpPr>
        <xdr:cNvPr id="15" name="Rectangle 22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>
          <a:spLocks noChangeArrowheads="1"/>
        </xdr:cNvSpPr>
      </xdr:nvSpPr>
      <xdr:spPr bwMode="auto">
        <a:xfrm>
          <a:off x="247650" y="6362700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171450</xdr:colOff>
          <xdr:row>17</xdr:row>
          <xdr:rowOff>200025</xdr:rowOff>
        </xdr:from>
        <xdr:to>
          <xdr:col>28</xdr:col>
          <xdr:colOff>57150</xdr:colOff>
          <xdr:row>19</xdr:row>
          <xdr:rowOff>9525</xdr:rowOff>
        </xdr:to>
        <xdr:sp macro="" textlink="">
          <xdr:nvSpPr>
            <xdr:cNvPr id="2074" name="Check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2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57150</xdr:colOff>
      <xdr:row>24</xdr:row>
      <xdr:rowOff>66675</xdr:rowOff>
    </xdr:from>
    <xdr:to>
      <xdr:col>1</xdr:col>
      <xdr:colOff>142875</xdr:colOff>
      <xdr:row>24</xdr:row>
      <xdr:rowOff>152400</xdr:rowOff>
    </xdr:to>
    <xdr:sp macro="" textlink="">
      <xdr:nvSpPr>
        <xdr:cNvPr id="6" name="Rectangle 2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>
          <a:spLocks noChangeArrowheads="1"/>
        </xdr:cNvSpPr>
      </xdr:nvSpPr>
      <xdr:spPr bwMode="auto">
        <a:xfrm>
          <a:off x="247650" y="4809468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24</xdr:row>
      <xdr:rowOff>66675</xdr:rowOff>
    </xdr:from>
    <xdr:to>
      <xdr:col>1</xdr:col>
      <xdr:colOff>142875</xdr:colOff>
      <xdr:row>24</xdr:row>
      <xdr:rowOff>152400</xdr:rowOff>
    </xdr:to>
    <xdr:sp macro="" textlink="">
      <xdr:nvSpPr>
        <xdr:cNvPr id="7" name="Rectangle 22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247650" y="4809468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57150</xdr:colOff>
      <xdr:row>24</xdr:row>
      <xdr:rowOff>66675</xdr:rowOff>
    </xdr:from>
    <xdr:to>
      <xdr:col>1</xdr:col>
      <xdr:colOff>142875</xdr:colOff>
      <xdr:row>24</xdr:row>
      <xdr:rowOff>152400</xdr:rowOff>
    </xdr:to>
    <xdr:sp macro="" textlink="">
      <xdr:nvSpPr>
        <xdr:cNvPr id="8" name="Rectangle 2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247650" y="4809468"/>
          <a:ext cx="85725" cy="857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9525</xdr:colOff>
          <xdr:row>14</xdr:row>
          <xdr:rowOff>19050</xdr:rowOff>
        </xdr:from>
        <xdr:to>
          <xdr:col>51</xdr:col>
          <xdr:colOff>457200</xdr:colOff>
          <xdr:row>15</xdr:row>
          <xdr:rowOff>142875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2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9436" rIns="36576" bIns="59436" anchor="ctr" upright="1"/>
            <a:lstStyle/>
            <a:p>
              <a:pPr algn="ctr" rtl="0">
                <a:defRPr sz="1000"/>
              </a:pPr>
              <a:r>
                <a:rPr lang="th-TH" sz="1800" b="1" i="0" u="none" strike="noStrike" baseline="0">
                  <a:solidFill>
                    <a:srgbClr val="000000"/>
                  </a:solidFill>
                  <a:latin typeface="TH Sarabun New"/>
                  <a:cs typeface="TH Sarabun New"/>
                </a:rPr>
                <a:t>กดเพื่อเพิ่ม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82670</xdr:colOff>
      <xdr:row>17</xdr:row>
      <xdr:rowOff>0</xdr:rowOff>
    </xdr:from>
    <xdr:to>
      <xdr:col>26</xdr:col>
      <xdr:colOff>100641</xdr:colOff>
      <xdr:row>17</xdr:row>
      <xdr:rowOff>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3689D177-66D8-B14A-C184-55BFC0B4744F}"/>
            </a:ext>
          </a:extLst>
        </xdr:cNvPr>
        <xdr:cNvCxnSpPr/>
      </xdr:nvCxnSpPr>
      <xdr:spPr>
        <a:xfrm flipH="1">
          <a:off x="3720142" y="3544019"/>
          <a:ext cx="1096273" cy="0"/>
        </a:xfrm>
        <a:prstGeom prst="line">
          <a:avLst/>
        </a:prstGeom>
        <a:ln>
          <a:solidFill>
            <a:sysClr val="windowText" lastClr="000000"/>
          </a:solidFill>
          <a:prstDash val="lg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133350</xdr:colOff>
      <xdr:row>0</xdr:row>
      <xdr:rowOff>28575</xdr:rowOff>
    </xdr:from>
    <xdr:to>
      <xdr:col>43</xdr:col>
      <xdr:colOff>133350</xdr:colOff>
      <xdr:row>1</xdr:row>
      <xdr:rowOff>114300</xdr:rowOff>
    </xdr:to>
    <xdr:sp macro="" textlink="">
      <xdr:nvSpPr>
        <xdr:cNvPr id="2" name="Rectangle 17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Arrowheads="1"/>
        </xdr:cNvSpPr>
      </xdr:nvSpPr>
      <xdr:spPr bwMode="auto">
        <a:xfrm>
          <a:off x="6648450" y="28575"/>
          <a:ext cx="647700" cy="2667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32004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Part: 1</a:t>
          </a:r>
        </a:p>
      </xdr:txBody>
    </xdr:sp>
    <xdr:clientData/>
  </xdr:twoCellAnchor>
  <xdr:twoCellAnchor>
    <xdr:from>
      <xdr:col>2</xdr:col>
      <xdr:colOff>68333</xdr:colOff>
      <xdr:row>15</xdr:row>
      <xdr:rowOff>47625</xdr:rowOff>
    </xdr:from>
    <xdr:to>
      <xdr:col>2</xdr:col>
      <xdr:colOff>182633</xdr:colOff>
      <xdr:row>15</xdr:row>
      <xdr:rowOff>47625</xdr:rowOff>
    </xdr:to>
    <xdr:sp macro="" textlink="">
      <xdr:nvSpPr>
        <xdr:cNvPr id="3" name="Line 18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ShapeType="1"/>
        </xdr:cNvSpPr>
      </xdr:nvSpPr>
      <xdr:spPr bwMode="auto">
        <a:xfrm>
          <a:off x="449333" y="2562225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48039</xdr:colOff>
      <xdr:row>14</xdr:row>
      <xdr:rowOff>38100</xdr:rowOff>
    </xdr:from>
    <xdr:to>
      <xdr:col>2</xdr:col>
      <xdr:colOff>152814</xdr:colOff>
      <xdr:row>14</xdr:row>
      <xdr:rowOff>38100</xdr:rowOff>
    </xdr:to>
    <xdr:sp macro="" textlink="">
      <xdr:nvSpPr>
        <xdr:cNvPr id="4" name="Line 18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ShapeType="1"/>
        </xdr:cNvSpPr>
      </xdr:nvSpPr>
      <xdr:spPr bwMode="auto">
        <a:xfrm>
          <a:off x="429039" y="2371725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</xdr:row>
          <xdr:rowOff>104775</xdr:rowOff>
        </xdr:from>
        <xdr:to>
          <xdr:col>13</xdr:col>
          <xdr:colOff>76200</xdr:colOff>
          <xdr:row>3</xdr:row>
          <xdr:rowOff>66675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1</xdr:row>
          <xdr:rowOff>123825</xdr:rowOff>
        </xdr:from>
        <xdr:to>
          <xdr:col>15</xdr:col>
          <xdr:colOff>0</xdr:colOff>
          <xdr:row>3</xdr:row>
          <xdr:rowOff>38100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2</xdr:col>
      <xdr:colOff>68333</xdr:colOff>
      <xdr:row>29</xdr:row>
      <xdr:rowOff>47625</xdr:rowOff>
    </xdr:from>
    <xdr:to>
      <xdr:col>2</xdr:col>
      <xdr:colOff>182633</xdr:colOff>
      <xdr:row>29</xdr:row>
      <xdr:rowOff>47625</xdr:rowOff>
    </xdr:to>
    <xdr:sp macro="" textlink="">
      <xdr:nvSpPr>
        <xdr:cNvPr id="16" name="Line 18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>
          <a:spLocks noChangeShapeType="1"/>
        </xdr:cNvSpPr>
      </xdr:nvSpPr>
      <xdr:spPr bwMode="auto">
        <a:xfrm>
          <a:off x="449333" y="1007745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48039</xdr:colOff>
      <xdr:row>28</xdr:row>
      <xdr:rowOff>38100</xdr:rowOff>
    </xdr:from>
    <xdr:to>
      <xdr:col>2</xdr:col>
      <xdr:colOff>152814</xdr:colOff>
      <xdr:row>28</xdr:row>
      <xdr:rowOff>38100</xdr:rowOff>
    </xdr:to>
    <xdr:sp macro="" textlink="">
      <xdr:nvSpPr>
        <xdr:cNvPr id="17" name="Line 18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>
          <a:spLocks noChangeShapeType="1"/>
        </xdr:cNvSpPr>
      </xdr:nvSpPr>
      <xdr:spPr bwMode="auto">
        <a:xfrm>
          <a:off x="429039" y="9886950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68333</xdr:colOff>
      <xdr:row>29</xdr:row>
      <xdr:rowOff>47625</xdr:rowOff>
    </xdr:from>
    <xdr:to>
      <xdr:col>2</xdr:col>
      <xdr:colOff>182633</xdr:colOff>
      <xdr:row>29</xdr:row>
      <xdr:rowOff>47625</xdr:rowOff>
    </xdr:to>
    <xdr:sp macro="" textlink="">
      <xdr:nvSpPr>
        <xdr:cNvPr id="18" name="Line 18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>
          <a:spLocks noChangeShapeType="1"/>
        </xdr:cNvSpPr>
      </xdr:nvSpPr>
      <xdr:spPr bwMode="auto">
        <a:xfrm>
          <a:off x="449333" y="1007745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48039</xdr:colOff>
      <xdr:row>28</xdr:row>
      <xdr:rowOff>38100</xdr:rowOff>
    </xdr:from>
    <xdr:to>
      <xdr:col>2</xdr:col>
      <xdr:colOff>152814</xdr:colOff>
      <xdr:row>28</xdr:row>
      <xdr:rowOff>38100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>
          <a:spLocks noChangeShapeType="1"/>
        </xdr:cNvSpPr>
      </xdr:nvSpPr>
      <xdr:spPr bwMode="auto">
        <a:xfrm>
          <a:off x="429039" y="9886950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68333</xdr:colOff>
      <xdr:row>29</xdr:row>
      <xdr:rowOff>47625</xdr:rowOff>
    </xdr:from>
    <xdr:to>
      <xdr:col>2</xdr:col>
      <xdr:colOff>182633</xdr:colOff>
      <xdr:row>29</xdr:row>
      <xdr:rowOff>47625</xdr:rowOff>
    </xdr:to>
    <xdr:sp macro="" textlink="">
      <xdr:nvSpPr>
        <xdr:cNvPr id="20" name="Line 18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>
          <a:spLocks noChangeShapeType="1"/>
        </xdr:cNvSpPr>
      </xdr:nvSpPr>
      <xdr:spPr bwMode="auto">
        <a:xfrm>
          <a:off x="449333" y="1007745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48039</xdr:colOff>
      <xdr:row>28</xdr:row>
      <xdr:rowOff>38100</xdr:rowOff>
    </xdr:from>
    <xdr:to>
      <xdr:col>2</xdr:col>
      <xdr:colOff>152814</xdr:colOff>
      <xdr:row>28</xdr:row>
      <xdr:rowOff>38100</xdr:rowOff>
    </xdr:to>
    <xdr:sp macro="" textlink="">
      <xdr:nvSpPr>
        <xdr:cNvPr id="21" name="Line 18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>
          <a:spLocks noChangeShapeType="1"/>
        </xdr:cNvSpPr>
      </xdr:nvSpPr>
      <xdr:spPr bwMode="auto">
        <a:xfrm>
          <a:off x="429039" y="9886950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133350</xdr:colOff>
      <xdr:row>41</xdr:row>
      <xdr:rowOff>28575</xdr:rowOff>
    </xdr:from>
    <xdr:to>
      <xdr:col>43</xdr:col>
      <xdr:colOff>133350</xdr:colOff>
      <xdr:row>42</xdr:row>
      <xdr:rowOff>114300</xdr:rowOff>
    </xdr:to>
    <xdr:sp macro="" textlink="">
      <xdr:nvSpPr>
        <xdr:cNvPr id="5" name="Rectangle 17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Arrowheads="1"/>
        </xdr:cNvSpPr>
      </xdr:nvSpPr>
      <xdr:spPr bwMode="auto">
        <a:xfrm>
          <a:off x="6767720" y="28575"/>
          <a:ext cx="662608" cy="26794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32004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Part: 2</a:t>
          </a:r>
        </a:p>
      </xdr:txBody>
    </xdr:sp>
    <xdr:clientData/>
  </xdr:twoCellAnchor>
  <xdr:twoCellAnchor>
    <xdr:from>
      <xdr:col>39</xdr:col>
      <xdr:colOff>133350</xdr:colOff>
      <xdr:row>80</xdr:row>
      <xdr:rowOff>28575</xdr:rowOff>
    </xdr:from>
    <xdr:to>
      <xdr:col>43</xdr:col>
      <xdr:colOff>133350</xdr:colOff>
      <xdr:row>81</xdr:row>
      <xdr:rowOff>114300</xdr:rowOff>
    </xdr:to>
    <xdr:sp macro="" textlink="">
      <xdr:nvSpPr>
        <xdr:cNvPr id="6" name="Rectangle 171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rrowheads="1"/>
        </xdr:cNvSpPr>
      </xdr:nvSpPr>
      <xdr:spPr bwMode="auto">
        <a:xfrm>
          <a:off x="6767720" y="7259292"/>
          <a:ext cx="662608" cy="2679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32004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Part: 2</a:t>
          </a:r>
        </a:p>
      </xdr:txBody>
    </xdr:sp>
    <xdr:clientData/>
  </xdr:twoCellAnchor>
  <xdr:twoCellAnchor>
    <xdr:from>
      <xdr:col>39</xdr:col>
      <xdr:colOff>133350</xdr:colOff>
      <xdr:row>119</xdr:row>
      <xdr:rowOff>28575</xdr:rowOff>
    </xdr:from>
    <xdr:to>
      <xdr:col>43</xdr:col>
      <xdr:colOff>133350</xdr:colOff>
      <xdr:row>120</xdr:row>
      <xdr:rowOff>114300</xdr:rowOff>
    </xdr:to>
    <xdr:sp macro="" textlink="">
      <xdr:nvSpPr>
        <xdr:cNvPr id="7" name="Rectangle 171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>
          <a:spLocks noChangeArrowheads="1"/>
        </xdr:cNvSpPr>
      </xdr:nvSpPr>
      <xdr:spPr bwMode="auto">
        <a:xfrm>
          <a:off x="6767720" y="14365771"/>
          <a:ext cx="662608" cy="26794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32004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Part: 2</a:t>
          </a:r>
        </a:p>
      </xdr:txBody>
    </xdr:sp>
    <xdr:clientData/>
  </xdr:twoCellAnchor>
  <xdr:twoCellAnchor>
    <xdr:from>
      <xdr:col>39</xdr:col>
      <xdr:colOff>133350</xdr:colOff>
      <xdr:row>158</xdr:row>
      <xdr:rowOff>28575</xdr:rowOff>
    </xdr:from>
    <xdr:to>
      <xdr:col>43</xdr:col>
      <xdr:colOff>133350</xdr:colOff>
      <xdr:row>159</xdr:row>
      <xdr:rowOff>114300</xdr:rowOff>
    </xdr:to>
    <xdr:sp macro="" textlink="">
      <xdr:nvSpPr>
        <xdr:cNvPr id="8" name="Rectangle 171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rrowheads="1"/>
        </xdr:cNvSpPr>
      </xdr:nvSpPr>
      <xdr:spPr bwMode="auto">
        <a:xfrm>
          <a:off x="6767720" y="21472249"/>
          <a:ext cx="662608" cy="26794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32004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Part: 2</a:t>
          </a:r>
        </a:p>
      </xdr:txBody>
    </xdr:sp>
    <xdr:clientData/>
  </xdr:twoCellAnchor>
  <xdr:twoCellAnchor>
    <xdr:from>
      <xdr:col>39</xdr:col>
      <xdr:colOff>133350</xdr:colOff>
      <xdr:row>197</xdr:row>
      <xdr:rowOff>28575</xdr:rowOff>
    </xdr:from>
    <xdr:to>
      <xdr:col>43</xdr:col>
      <xdr:colOff>133350</xdr:colOff>
      <xdr:row>198</xdr:row>
      <xdr:rowOff>114300</xdr:rowOff>
    </xdr:to>
    <xdr:sp macro="" textlink="">
      <xdr:nvSpPr>
        <xdr:cNvPr id="9" name="Rectangle 171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rrowheads="1"/>
        </xdr:cNvSpPr>
      </xdr:nvSpPr>
      <xdr:spPr bwMode="auto">
        <a:xfrm>
          <a:off x="6767720" y="28578727"/>
          <a:ext cx="662608" cy="2679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32004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Part: 2</a:t>
          </a:r>
        </a:p>
      </xdr:txBody>
    </xdr:sp>
    <xdr:clientData/>
  </xdr:twoCellAnchor>
  <xdr:twoCellAnchor>
    <xdr:from>
      <xdr:col>39</xdr:col>
      <xdr:colOff>133350</xdr:colOff>
      <xdr:row>236</xdr:row>
      <xdr:rowOff>28575</xdr:rowOff>
    </xdr:from>
    <xdr:to>
      <xdr:col>43</xdr:col>
      <xdr:colOff>133350</xdr:colOff>
      <xdr:row>237</xdr:row>
      <xdr:rowOff>114300</xdr:rowOff>
    </xdr:to>
    <xdr:sp macro="" textlink="">
      <xdr:nvSpPr>
        <xdr:cNvPr id="10" name="Rectangle 171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rrowheads="1"/>
        </xdr:cNvSpPr>
      </xdr:nvSpPr>
      <xdr:spPr bwMode="auto">
        <a:xfrm>
          <a:off x="6767720" y="35685205"/>
          <a:ext cx="662608" cy="2679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32004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Part: 2</a:t>
          </a:r>
        </a:p>
      </xdr:txBody>
    </xdr:sp>
    <xdr:clientData/>
  </xdr:twoCellAnchor>
  <xdr:twoCellAnchor>
    <xdr:from>
      <xdr:col>2</xdr:col>
      <xdr:colOff>68333</xdr:colOff>
      <xdr:row>15</xdr:row>
      <xdr:rowOff>47625</xdr:rowOff>
    </xdr:from>
    <xdr:to>
      <xdr:col>2</xdr:col>
      <xdr:colOff>182633</xdr:colOff>
      <xdr:row>15</xdr:row>
      <xdr:rowOff>47625</xdr:rowOff>
    </xdr:to>
    <xdr:sp macro="" textlink="">
      <xdr:nvSpPr>
        <xdr:cNvPr id="11" name="Line 18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ShapeType="1"/>
        </xdr:cNvSpPr>
      </xdr:nvSpPr>
      <xdr:spPr bwMode="auto">
        <a:xfrm>
          <a:off x="449333" y="2562225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48039</xdr:colOff>
      <xdr:row>14</xdr:row>
      <xdr:rowOff>38100</xdr:rowOff>
    </xdr:from>
    <xdr:to>
      <xdr:col>2</xdr:col>
      <xdr:colOff>152814</xdr:colOff>
      <xdr:row>14</xdr:row>
      <xdr:rowOff>38100</xdr:rowOff>
    </xdr:to>
    <xdr:sp macro="" textlink="">
      <xdr:nvSpPr>
        <xdr:cNvPr id="12" name="Line 18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ShapeType="1"/>
        </xdr:cNvSpPr>
      </xdr:nvSpPr>
      <xdr:spPr bwMode="auto">
        <a:xfrm>
          <a:off x="429039" y="2371725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68333</xdr:colOff>
      <xdr:row>29</xdr:row>
      <xdr:rowOff>47625</xdr:rowOff>
    </xdr:from>
    <xdr:to>
      <xdr:col>2</xdr:col>
      <xdr:colOff>182633</xdr:colOff>
      <xdr:row>29</xdr:row>
      <xdr:rowOff>47625</xdr:rowOff>
    </xdr:to>
    <xdr:sp macro="" textlink="">
      <xdr:nvSpPr>
        <xdr:cNvPr id="13" name="Line 18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ShapeType="1"/>
        </xdr:cNvSpPr>
      </xdr:nvSpPr>
      <xdr:spPr bwMode="auto">
        <a:xfrm>
          <a:off x="449333" y="504825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48039</xdr:colOff>
      <xdr:row>28</xdr:row>
      <xdr:rowOff>38100</xdr:rowOff>
    </xdr:from>
    <xdr:to>
      <xdr:col>2</xdr:col>
      <xdr:colOff>152814</xdr:colOff>
      <xdr:row>28</xdr:row>
      <xdr:rowOff>38100</xdr:rowOff>
    </xdr:to>
    <xdr:sp macro="" textlink="">
      <xdr:nvSpPr>
        <xdr:cNvPr id="14" name="Line 18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>
          <a:spLocks noChangeShapeType="1"/>
        </xdr:cNvSpPr>
      </xdr:nvSpPr>
      <xdr:spPr bwMode="auto">
        <a:xfrm>
          <a:off x="429039" y="4857750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68333</xdr:colOff>
      <xdr:row>29</xdr:row>
      <xdr:rowOff>47625</xdr:rowOff>
    </xdr:from>
    <xdr:to>
      <xdr:col>2</xdr:col>
      <xdr:colOff>182633</xdr:colOff>
      <xdr:row>29</xdr:row>
      <xdr:rowOff>47625</xdr:rowOff>
    </xdr:to>
    <xdr:sp macro="" textlink="">
      <xdr:nvSpPr>
        <xdr:cNvPr id="15" name="Line 18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>
          <a:spLocks noChangeShapeType="1"/>
        </xdr:cNvSpPr>
      </xdr:nvSpPr>
      <xdr:spPr bwMode="auto">
        <a:xfrm>
          <a:off x="449333" y="504825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48039</xdr:colOff>
      <xdr:row>28</xdr:row>
      <xdr:rowOff>38100</xdr:rowOff>
    </xdr:from>
    <xdr:to>
      <xdr:col>2</xdr:col>
      <xdr:colOff>152814</xdr:colOff>
      <xdr:row>28</xdr:row>
      <xdr:rowOff>38100</xdr:rowOff>
    </xdr:to>
    <xdr:sp macro="" textlink="">
      <xdr:nvSpPr>
        <xdr:cNvPr id="22" name="Line 18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ShapeType="1"/>
        </xdr:cNvSpPr>
      </xdr:nvSpPr>
      <xdr:spPr bwMode="auto">
        <a:xfrm>
          <a:off x="429039" y="4857750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68333</xdr:colOff>
      <xdr:row>29</xdr:row>
      <xdr:rowOff>47625</xdr:rowOff>
    </xdr:from>
    <xdr:to>
      <xdr:col>2</xdr:col>
      <xdr:colOff>182633</xdr:colOff>
      <xdr:row>29</xdr:row>
      <xdr:rowOff>47625</xdr:rowOff>
    </xdr:to>
    <xdr:sp macro="" textlink="">
      <xdr:nvSpPr>
        <xdr:cNvPr id="23" name="Line 18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>
          <a:spLocks noChangeShapeType="1"/>
        </xdr:cNvSpPr>
      </xdr:nvSpPr>
      <xdr:spPr bwMode="auto">
        <a:xfrm>
          <a:off x="449333" y="5048250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48039</xdr:colOff>
      <xdr:row>28</xdr:row>
      <xdr:rowOff>38100</xdr:rowOff>
    </xdr:from>
    <xdr:to>
      <xdr:col>2</xdr:col>
      <xdr:colOff>152814</xdr:colOff>
      <xdr:row>28</xdr:row>
      <xdr:rowOff>38100</xdr:rowOff>
    </xdr:to>
    <xdr:sp macro="" textlink="">
      <xdr:nvSpPr>
        <xdr:cNvPr id="24" name="Line 18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ShapeType="1"/>
        </xdr:cNvSpPr>
      </xdr:nvSpPr>
      <xdr:spPr bwMode="auto">
        <a:xfrm>
          <a:off x="429039" y="4857750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133350</xdr:colOff>
      <xdr:row>0</xdr:row>
      <xdr:rowOff>28575</xdr:rowOff>
    </xdr:from>
    <xdr:to>
      <xdr:col>43</xdr:col>
      <xdr:colOff>133350</xdr:colOff>
      <xdr:row>1</xdr:row>
      <xdr:rowOff>114300</xdr:rowOff>
    </xdr:to>
    <xdr:sp macro="" textlink="">
      <xdr:nvSpPr>
        <xdr:cNvPr id="2" name="Rectangle 17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>
          <a:spLocks noChangeArrowheads="1"/>
        </xdr:cNvSpPr>
      </xdr:nvSpPr>
      <xdr:spPr bwMode="auto">
        <a:xfrm>
          <a:off x="6648450" y="28575"/>
          <a:ext cx="647700" cy="2667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32004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Part: 1</a:t>
          </a:r>
        </a:p>
      </xdr:txBody>
    </xdr:sp>
    <xdr:clientData/>
  </xdr:twoCellAnchor>
  <xdr:twoCellAnchor>
    <xdr:from>
      <xdr:col>2</xdr:col>
      <xdr:colOff>68333</xdr:colOff>
      <xdr:row>15</xdr:row>
      <xdr:rowOff>47625</xdr:rowOff>
    </xdr:from>
    <xdr:to>
      <xdr:col>2</xdr:col>
      <xdr:colOff>182633</xdr:colOff>
      <xdr:row>15</xdr:row>
      <xdr:rowOff>47625</xdr:rowOff>
    </xdr:to>
    <xdr:sp macro="" textlink="">
      <xdr:nvSpPr>
        <xdr:cNvPr id="3" name="Line 18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>
          <a:spLocks noChangeShapeType="1"/>
        </xdr:cNvSpPr>
      </xdr:nvSpPr>
      <xdr:spPr bwMode="auto">
        <a:xfrm>
          <a:off x="449333" y="2562225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48039</xdr:colOff>
      <xdr:row>14</xdr:row>
      <xdr:rowOff>38100</xdr:rowOff>
    </xdr:from>
    <xdr:to>
      <xdr:col>2</xdr:col>
      <xdr:colOff>152814</xdr:colOff>
      <xdr:row>14</xdr:row>
      <xdr:rowOff>38100</xdr:rowOff>
    </xdr:to>
    <xdr:sp macro="" textlink="">
      <xdr:nvSpPr>
        <xdr:cNvPr id="4" name="Line 18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>
          <a:spLocks noChangeShapeType="1"/>
        </xdr:cNvSpPr>
      </xdr:nvSpPr>
      <xdr:spPr bwMode="auto">
        <a:xfrm>
          <a:off x="429039" y="2371725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133350</xdr:colOff>
      <xdr:row>40</xdr:row>
      <xdr:rowOff>28575</xdr:rowOff>
    </xdr:from>
    <xdr:to>
      <xdr:col>43</xdr:col>
      <xdr:colOff>133350</xdr:colOff>
      <xdr:row>41</xdr:row>
      <xdr:rowOff>114300</xdr:rowOff>
    </xdr:to>
    <xdr:sp macro="" textlink="">
      <xdr:nvSpPr>
        <xdr:cNvPr id="11" name="Rectangle 171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>
          <a:spLocks noChangeArrowheads="1"/>
        </xdr:cNvSpPr>
      </xdr:nvSpPr>
      <xdr:spPr bwMode="auto">
        <a:xfrm>
          <a:off x="6648450" y="7200900"/>
          <a:ext cx="647700" cy="2667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32004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Part: 2</a:t>
          </a:r>
        </a:p>
      </xdr:txBody>
    </xdr:sp>
    <xdr:clientData/>
  </xdr:twoCellAnchor>
  <xdr:twoCellAnchor>
    <xdr:from>
      <xdr:col>39</xdr:col>
      <xdr:colOff>133350</xdr:colOff>
      <xdr:row>79</xdr:row>
      <xdr:rowOff>28575</xdr:rowOff>
    </xdr:from>
    <xdr:to>
      <xdr:col>43</xdr:col>
      <xdr:colOff>133350</xdr:colOff>
      <xdr:row>80</xdr:row>
      <xdr:rowOff>114300</xdr:rowOff>
    </xdr:to>
    <xdr:sp macro="" textlink="">
      <xdr:nvSpPr>
        <xdr:cNvPr id="12" name="Rectangle 17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>
          <a:spLocks noChangeArrowheads="1"/>
        </xdr:cNvSpPr>
      </xdr:nvSpPr>
      <xdr:spPr bwMode="auto">
        <a:xfrm>
          <a:off x="6648450" y="14258925"/>
          <a:ext cx="647700" cy="2667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32004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Part: 2</a:t>
          </a:r>
        </a:p>
      </xdr:txBody>
    </xdr:sp>
    <xdr:clientData/>
  </xdr:twoCellAnchor>
  <xdr:twoCellAnchor>
    <xdr:from>
      <xdr:col>39</xdr:col>
      <xdr:colOff>133350</xdr:colOff>
      <xdr:row>118</xdr:row>
      <xdr:rowOff>28575</xdr:rowOff>
    </xdr:from>
    <xdr:to>
      <xdr:col>43</xdr:col>
      <xdr:colOff>133350</xdr:colOff>
      <xdr:row>119</xdr:row>
      <xdr:rowOff>114300</xdr:rowOff>
    </xdr:to>
    <xdr:sp macro="" textlink="">
      <xdr:nvSpPr>
        <xdr:cNvPr id="13" name="Rectangle 171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>
          <a:spLocks noChangeArrowheads="1"/>
        </xdr:cNvSpPr>
      </xdr:nvSpPr>
      <xdr:spPr bwMode="auto">
        <a:xfrm>
          <a:off x="6648450" y="21316950"/>
          <a:ext cx="647700" cy="2667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32004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Part: 2</a:t>
          </a:r>
        </a:p>
      </xdr:txBody>
    </xdr:sp>
    <xdr:clientData/>
  </xdr:twoCellAnchor>
  <xdr:twoCellAnchor>
    <xdr:from>
      <xdr:col>39</xdr:col>
      <xdr:colOff>133350</xdr:colOff>
      <xdr:row>157</xdr:row>
      <xdr:rowOff>28575</xdr:rowOff>
    </xdr:from>
    <xdr:to>
      <xdr:col>43</xdr:col>
      <xdr:colOff>133350</xdr:colOff>
      <xdr:row>158</xdr:row>
      <xdr:rowOff>114300</xdr:rowOff>
    </xdr:to>
    <xdr:sp macro="" textlink="">
      <xdr:nvSpPr>
        <xdr:cNvPr id="14" name="Rectangle 171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>
          <a:spLocks noChangeArrowheads="1"/>
        </xdr:cNvSpPr>
      </xdr:nvSpPr>
      <xdr:spPr bwMode="auto">
        <a:xfrm>
          <a:off x="6648450" y="28374975"/>
          <a:ext cx="647700" cy="2667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32004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Part: 2</a:t>
          </a:r>
        </a:p>
      </xdr:txBody>
    </xdr:sp>
    <xdr:clientData/>
  </xdr:twoCellAnchor>
  <xdr:twoCellAnchor>
    <xdr:from>
      <xdr:col>39</xdr:col>
      <xdr:colOff>133350</xdr:colOff>
      <xdr:row>196</xdr:row>
      <xdr:rowOff>28575</xdr:rowOff>
    </xdr:from>
    <xdr:to>
      <xdr:col>43</xdr:col>
      <xdr:colOff>133350</xdr:colOff>
      <xdr:row>197</xdr:row>
      <xdr:rowOff>114300</xdr:rowOff>
    </xdr:to>
    <xdr:sp macro="" textlink="">
      <xdr:nvSpPr>
        <xdr:cNvPr id="15" name="Rectangle 171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>
          <a:spLocks noChangeArrowheads="1"/>
        </xdr:cNvSpPr>
      </xdr:nvSpPr>
      <xdr:spPr bwMode="auto">
        <a:xfrm>
          <a:off x="6648450" y="35433000"/>
          <a:ext cx="647700" cy="2667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32004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Part: 2</a:t>
          </a:r>
        </a:p>
      </xdr:txBody>
    </xdr:sp>
    <xdr:clientData/>
  </xdr:twoCellAnchor>
  <xdr:twoCellAnchor>
    <xdr:from>
      <xdr:col>39</xdr:col>
      <xdr:colOff>133350</xdr:colOff>
      <xdr:row>235</xdr:row>
      <xdr:rowOff>28575</xdr:rowOff>
    </xdr:from>
    <xdr:to>
      <xdr:col>43</xdr:col>
      <xdr:colOff>133350</xdr:colOff>
      <xdr:row>236</xdr:row>
      <xdr:rowOff>114300</xdr:rowOff>
    </xdr:to>
    <xdr:sp macro="" textlink="">
      <xdr:nvSpPr>
        <xdr:cNvPr id="16" name="Rectangle 171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>
          <a:spLocks noChangeArrowheads="1"/>
        </xdr:cNvSpPr>
      </xdr:nvSpPr>
      <xdr:spPr bwMode="auto">
        <a:xfrm>
          <a:off x="6648450" y="42491025"/>
          <a:ext cx="647700" cy="2667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32004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Part: 2</a:t>
          </a:r>
        </a:p>
      </xdr:txBody>
    </xdr:sp>
    <xdr:clientData/>
  </xdr:twoCellAnchor>
  <xdr:twoCellAnchor>
    <xdr:from>
      <xdr:col>2</xdr:col>
      <xdr:colOff>68333</xdr:colOff>
      <xdr:row>15</xdr:row>
      <xdr:rowOff>47625</xdr:rowOff>
    </xdr:from>
    <xdr:to>
      <xdr:col>2</xdr:col>
      <xdr:colOff>182633</xdr:colOff>
      <xdr:row>15</xdr:row>
      <xdr:rowOff>47625</xdr:rowOff>
    </xdr:to>
    <xdr:sp macro="" textlink="">
      <xdr:nvSpPr>
        <xdr:cNvPr id="5" name="Line 18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>
          <a:spLocks noChangeShapeType="1"/>
        </xdr:cNvSpPr>
      </xdr:nvSpPr>
      <xdr:spPr bwMode="auto">
        <a:xfrm>
          <a:off x="449333" y="2562225"/>
          <a:ext cx="114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48039</xdr:colOff>
      <xdr:row>14</xdr:row>
      <xdr:rowOff>38100</xdr:rowOff>
    </xdr:from>
    <xdr:to>
      <xdr:col>2</xdr:col>
      <xdr:colOff>152814</xdr:colOff>
      <xdr:row>14</xdr:row>
      <xdr:rowOff>38100</xdr:rowOff>
    </xdr:to>
    <xdr:sp macro="" textlink="">
      <xdr:nvSpPr>
        <xdr:cNvPr id="6" name="Line 18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>
          <a:spLocks noChangeShapeType="1"/>
        </xdr:cNvSpPr>
      </xdr:nvSpPr>
      <xdr:spPr bwMode="auto">
        <a:xfrm>
          <a:off x="429039" y="2371725"/>
          <a:ext cx="1047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B010E2DB-6F4B-4FA6-8E51-262194E597DF}" autoFormatId="16" applyNumberFormats="0" applyBorderFormats="0" applyFontFormats="0" applyPatternFormats="0" applyAlignmentFormats="0" applyWidthHeightFormats="0">
  <queryTableRefresh nextId="12">
    <queryTableFields count="11">
      <queryTableField id="1" name="Customer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Personnel" tableColumnId="8"/>
      <queryTableField id="9" name="Column9" tableColumnId="9"/>
      <queryTableField id="10" name="Column10" tableColumnId="10"/>
      <queryTableField id="11" name="UUC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E80306D0-DA46-4E9B-B112-049B146B6F11}" autoFormatId="16" applyNumberFormats="0" applyBorderFormats="0" applyFontFormats="0" applyPatternFormats="0" applyAlignmentFormats="0" applyWidthHeightFormats="0">
  <queryTableRefresh nextId="22">
    <queryTableFields count="20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1" name="Column20" tableColumnId="20"/>
    </queryTableFields>
    <queryTableDeletedFields count="1">
      <deletedField name="Column20"/>
    </queryTableDeleted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Cal_point" displayName="Cal_point" ref="AV15:AX16" totalsRowShown="0" headerRowDxfId="85" dataDxfId="84">
  <autoFilter ref="AV15:AX16" xr:uid="{00000000-0009-0000-0100-000005000000}"/>
  <tableColumns count="3">
    <tableColumn id="1" xr3:uid="{00000000-0010-0000-0000-000001000000}" name="No. Point" dataDxfId="83"/>
    <tableColumn id="2" xr3:uid="{00000000-0010-0000-0000-000002000000}" name="Cal. Point" dataDxfId="82"/>
    <tableColumn id="3" xr3:uid="{00000000-0010-0000-0000-000003000000}" name="Complete" dataDxfId="81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Customers" displayName="Customers" ref="A2:F57" totalsRowShown="0" headerRowDxfId="80" dataDxfId="78" headerRowBorderDxfId="79" tableBorderDxfId="77" totalsRowBorderDxfId="76">
  <autoFilter ref="A2:F57" xr:uid="{00000000-0009-0000-0100-000002000000}"/>
  <sortState xmlns:xlrd2="http://schemas.microsoft.com/office/spreadsheetml/2017/richdata2" ref="A3:F54">
    <sortCondition ref="A2:A54"/>
  </sortState>
  <tableColumns count="6">
    <tableColumn id="2" xr3:uid="{00000000-0010-0000-0100-000002000000}" name="No." dataDxfId="75">
      <calculatedColumnFormula>IF(Data[[#This Row],[Customer]]="","",Data[[#This Row],[Customer]])</calculatedColumnFormula>
    </tableColumn>
    <tableColumn id="8" xr3:uid="{00000000-0010-0000-0100-000008000000}" name="หน่วยรับบริการ" dataDxfId="74">
      <calculatedColumnFormula>IF(Data[[#This Row],[Column2]]="","",Data[[#This Row],[Column2]])</calculatedColumnFormula>
    </tableColumn>
    <tableColumn id="3" xr3:uid="{00000000-0010-0000-0100-000003000000}" name="Service Unit" dataDxfId="73">
      <calculatedColumnFormula>IF(Data[[#This Row],[Column3]]="","",Data[[#This Row],[Column3]])</calculatedColumnFormula>
    </tableColumn>
    <tableColumn id="4" xr3:uid="{00000000-0010-0000-0100-000004000000}" name="Address" dataDxfId="72">
      <calculatedColumnFormula>IF(Data[[#This Row],[Column4]]="","",Data[[#This Row],[Column4]])</calculatedColumnFormula>
    </tableColumn>
    <tableColumn id="5" xr3:uid="{00000000-0010-0000-0100-000005000000}" name="City" dataDxfId="71">
      <calculatedColumnFormula>IF(Data[[#This Row],[Column5]]="","",Data[[#This Row],[Column5]])</calculatedColumnFormula>
    </tableColumn>
    <tableColumn id="6" xr3:uid="{00000000-0010-0000-0100-000006000000}" name="ZIP code" dataDxfId="70">
      <calculatedColumnFormula>IF(Data[[#This Row],[Column6]]="","",Data[[#This Row],[Column6]])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Personnel" displayName="Personnel" ref="H2:I21" totalsRowShown="0" headerRowDxfId="69">
  <autoFilter ref="H2:I21" xr:uid="{00000000-0009-0000-0100-000003000000}"/>
  <tableColumns count="2">
    <tableColumn id="1" xr3:uid="{00000000-0010-0000-0200-000001000000}" name="Name" dataDxfId="68"/>
    <tableColumn id="2" xr3:uid="{00000000-0010-0000-0200-000002000000}" name="Rank" dataDxfId="67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FC17536-E040-48A2-935D-430C37C73D18}" name="Data" displayName="Data" ref="A1:K57" tableType="queryTable" totalsRowShown="0">
  <autoFilter ref="A1:K57" xr:uid="{0FC17536-E040-48A2-935D-430C37C73D18}"/>
  <tableColumns count="11">
    <tableColumn id="1" xr3:uid="{E3284E42-A0EB-4CB0-8F6E-F61F218823AC}" uniqueName="1" name="Customer" queryTableFieldId="1"/>
    <tableColumn id="2" xr3:uid="{E15BC3B4-BC0B-441A-9C4C-FA38D3FEA141}" uniqueName="2" name="Column2" queryTableFieldId="2" dataDxfId="66"/>
    <tableColumn id="3" xr3:uid="{F6500EA5-95D7-48DF-B095-459EC8362A7A}" uniqueName="3" name="Column3" queryTableFieldId="3" dataDxfId="65"/>
    <tableColumn id="4" xr3:uid="{1CCCCB0A-E460-4107-BCF1-417960161AE7}" uniqueName="4" name="Column4" queryTableFieldId="4" dataDxfId="64"/>
    <tableColumn id="5" xr3:uid="{69756400-803E-42BE-BF4A-0B1500F61509}" uniqueName="5" name="Column5" queryTableFieldId="5" dataDxfId="63"/>
    <tableColumn id="6" xr3:uid="{EF8D6DD9-CBB1-4779-AF6A-A6959DE7CD35}" uniqueName="6" name="Column6" queryTableFieldId="6"/>
    <tableColumn id="7" xr3:uid="{DB7C908A-1DB2-4875-A1E5-C784756C52D7}" uniqueName="7" name="Column7" queryTableFieldId="7"/>
    <tableColumn id="8" xr3:uid="{8A456267-E205-4DEE-8434-5AC88527D0B3}" uniqueName="8" name="Personnel" queryTableFieldId="8" dataDxfId="62"/>
    <tableColumn id="9" xr3:uid="{00FB3551-A70E-402C-91C6-0433994388C0}" uniqueName="9" name="Column9" queryTableFieldId="9" dataDxfId="61"/>
    <tableColumn id="10" xr3:uid="{335D57FE-0B5D-4277-A1E0-F4015012923B}" uniqueName="10" name="Column10" queryTableFieldId="10"/>
    <tableColumn id="11" xr3:uid="{0E1FAD15-D9BE-45F5-A17C-4EAC3B200EB3}" uniqueName="11" name="UUC" queryTableFieldId="11" dataDxfId="6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92C49F6-B81A-476E-89D3-E1841A495467}" name="DTM" displayName="DTM" ref="A1:T37" tableType="queryTable" totalsRowShown="0">
  <autoFilter ref="A1:T37" xr:uid="{292C49F6-B81A-476E-89D3-E1841A495467}"/>
  <tableColumns count="20">
    <tableColumn id="1" xr3:uid="{6C2FDC81-362E-44B8-BA4E-E9FE62212A9D}" uniqueName="1" name="Column1" queryTableFieldId="1" dataDxfId="59"/>
    <tableColumn id="2" xr3:uid="{6E6F97CE-BBDF-4919-AF1B-90F0D6316BD4}" uniqueName="2" name="Column2" queryTableFieldId="2" dataDxfId="58"/>
    <tableColumn id="3" xr3:uid="{71D953B0-61BF-4B6B-9CFA-DA93930D63FF}" uniqueName="3" name="Column3" queryTableFieldId="3" dataDxfId="57"/>
    <tableColumn id="4" xr3:uid="{8A683CAB-9F00-49D4-89AB-1498E11C4AF0}" uniqueName="4" name="Column4" queryTableFieldId="4" dataDxfId="56"/>
    <tableColumn id="5" xr3:uid="{F995D5B9-3DFD-4291-B4BA-D77CA3B85EEB}" uniqueName="5" name="Column5" queryTableFieldId="5" dataDxfId="55"/>
    <tableColumn id="6" xr3:uid="{EA777E70-33E8-4E1F-A3CA-11FBF79C0A53}" uniqueName="6" name="Column6" queryTableFieldId="6"/>
    <tableColumn id="7" xr3:uid="{79270621-60E4-4817-88ED-262CFF123C97}" uniqueName="7" name="Column7" queryTableFieldId="7" dataDxfId="54"/>
    <tableColumn id="8" xr3:uid="{D8B9C064-6651-4DDB-B153-57D8908200A7}" uniqueName="8" name="Column8" queryTableFieldId="8"/>
    <tableColumn id="9" xr3:uid="{EEF0EFE7-6792-4B10-85A5-E6EDED9DDAC4}" uniqueName="9" name="Column9" queryTableFieldId="9"/>
    <tableColumn id="10" xr3:uid="{182F5176-2D16-4FEF-99C5-4EA0826F78A9}" uniqueName="10" name="Column10" queryTableFieldId="10"/>
    <tableColumn id="11" xr3:uid="{5361BAC2-8950-497B-96C0-E0FD14F9733C}" uniqueName="11" name="Column11" queryTableFieldId="11" dataDxfId="53"/>
    <tableColumn id="12" xr3:uid="{7085570B-19E7-44F9-934C-22F3A092B0F3}" uniqueName="12" name="Column12" queryTableFieldId="12" dataDxfId="52"/>
    <tableColumn id="13" xr3:uid="{A86FBBBD-6A97-4254-A18C-7E8F25DAE2F0}" uniqueName="13" name="Column13" queryTableFieldId="13" dataDxfId="51"/>
    <tableColumn id="14" xr3:uid="{58646739-F727-4A29-99C8-E9669F692986}" uniqueName="14" name="Column14" queryTableFieldId="14" dataDxfId="50"/>
    <tableColumn id="15" xr3:uid="{5425952A-ED06-472C-81E5-63711F04447C}" uniqueName="15" name="Column15" queryTableFieldId="15"/>
    <tableColumn id="16" xr3:uid="{7EF9040E-E355-4D96-A003-A9D2202C7EBA}" uniqueName="16" name="Column16" queryTableFieldId="16" dataDxfId="49"/>
    <tableColumn id="17" xr3:uid="{8FE3EE31-5A60-4A21-9BF7-A3BF579CE143}" uniqueName="17" name="Column17" queryTableFieldId="17" dataDxfId="48"/>
    <tableColumn id="18" xr3:uid="{B37D2236-4559-4AC5-A32E-E77FDCCBE558}" uniqueName="18" name="Column18" queryTableFieldId="18" dataDxfId="47"/>
    <tableColumn id="19" xr3:uid="{98368F8E-415E-470B-9246-F33D1C05AEE5}" uniqueName="19" name="Column19" queryTableFieldId="19" dataDxfId="46"/>
    <tableColumn id="20" xr3:uid="{F868E509-6DCF-4E18-8243-7159BA48E19A}" uniqueName="20" name="Column20" queryTableFieldId="21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Ref.STD" displayName="Ref.STD" ref="A2:G10" totalsRowShown="0" headerRowDxfId="45" headerRowBorderDxfId="44" tableBorderDxfId="43">
  <autoFilter ref="A2:G10" xr:uid="{00000000-0009-0000-0100-000001000000}"/>
  <tableColumns count="7">
    <tableColumn id="1" xr3:uid="{00000000-0010-0000-0300-000001000000}" name="Tool Code" dataDxfId="42">
      <calculatedColumnFormula>IF(DTM!A4="","",DTM!A4)</calculatedColumnFormula>
    </tableColumn>
    <tableColumn id="2" xr3:uid="{00000000-0010-0000-0300-000002000000}" name="Equipment" dataDxfId="41">
      <calculatedColumnFormula>IF(DTM!B4="","",DTM!B4)</calculatedColumnFormula>
    </tableColumn>
    <tableColumn id="3" xr3:uid="{00000000-0010-0000-0300-000003000000}" name="Brand" dataDxfId="40">
      <calculatedColumnFormula>IF(DTM!C4="","",DTM!C4)</calculatedColumnFormula>
    </tableColumn>
    <tableColumn id="4" xr3:uid="{00000000-0010-0000-0300-000004000000}" name="Model" dataDxfId="39">
      <calculatedColumnFormula>IF(DTM!D4="","",DTM!D4)</calculatedColumnFormula>
    </tableColumn>
    <tableColumn id="5" xr3:uid="{00000000-0010-0000-0300-000005000000}" name="Serial No" dataDxfId="38">
      <calculatedColumnFormula>IF(DTM!E4="","",DTM!E4)</calculatedColumnFormula>
    </tableColumn>
    <tableColumn id="6" xr3:uid="{00000000-0010-0000-0300-000006000000}" name="Cal. Date" dataDxfId="37">
      <calculatedColumnFormula>IF(DTM!F4="","",DTM!F4)</calculatedColumnFormula>
    </tableColumn>
    <tableColumn id="7" xr3:uid="{00000000-0010-0000-0300-000007000000}" name="Cer No." dataDxfId="36">
      <calculatedColumnFormula>IF(DTM!G4="","",DTM!G4)</calculatedColumnFormula>
    </tableColumn>
  </tableColumns>
  <tableStyleInfo name="TableStyleMedium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Apparatus" displayName="Apparatus" ref="A12:G21" totalsRowShown="0" headerRowDxfId="35" headerRowBorderDxfId="34" tableBorderDxfId="33">
  <autoFilter ref="A12:G21" xr:uid="{00000000-0009-0000-0100-000004000000}"/>
  <tableColumns count="7">
    <tableColumn id="1" xr3:uid="{00000000-0010-0000-0400-000001000000}" name="Tool Code" dataDxfId="32">
      <calculatedColumnFormula>IF(DTM!A14="","",DTM!A14)</calculatedColumnFormula>
    </tableColumn>
    <tableColumn id="2" xr3:uid="{00000000-0010-0000-0400-000002000000}" name="Equipment" dataDxfId="31">
      <calculatedColumnFormula>IF(DTM!B14="","",DTM!B14)</calculatedColumnFormula>
    </tableColumn>
    <tableColumn id="3" xr3:uid="{00000000-0010-0000-0400-000003000000}" name="Brand" dataDxfId="30">
      <calculatedColumnFormula>IF(DTM!C14="","",DTM!C14)</calculatedColumnFormula>
    </tableColumn>
    <tableColumn id="4" xr3:uid="{00000000-0010-0000-0400-000004000000}" name="Model" dataDxfId="29">
      <calculatedColumnFormula>IF(DTM!D14="","",DTM!D14)</calculatedColumnFormula>
    </tableColumn>
    <tableColumn id="5" xr3:uid="{00000000-0010-0000-0400-000005000000}" name="Serial No" dataDxfId="28">
      <calculatedColumnFormula>IF(DTM!E14="","",DTM!E14)</calculatedColumnFormula>
    </tableColumn>
    <tableColumn id="6" xr3:uid="{00000000-0010-0000-0400-000006000000}" name="Cal. Date" dataDxfId="27">
      <calculatedColumnFormula>IF(DTM!F14="","",DTM!F14)</calculatedColumnFormula>
    </tableColumn>
    <tableColumn id="7" xr3:uid="{00000000-0010-0000-0400-000007000000}" name="Cer No." dataDxfId="26">
      <calculatedColumnFormula>IF(DTM!G14="","",DTM!G14)</calculatedColumnFormula>
    </tableColumn>
  </tableColumns>
  <tableStyleInfo name="TableStyleMedium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5000000}" name="Module" displayName="Module" ref="A25:G38" totalsRowShown="0" headerRowDxfId="25" dataDxfId="23" headerRowBorderDxfId="24" tableBorderDxfId="22" totalsRowBorderDxfId="21">
  <autoFilter ref="A25:G38" xr:uid="{00000000-0009-0000-0100-000007000000}"/>
  <sortState xmlns:xlrd2="http://schemas.microsoft.com/office/spreadsheetml/2017/richdata2" ref="A26:G32">
    <sortCondition ref="A26:A32"/>
  </sortState>
  <tableColumns count="7">
    <tableColumn id="1" xr3:uid="{00000000-0010-0000-0500-000001000000}" name="Tool Code" dataDxfId="20">
      <calculatedColumnFormula>IF(DTM!A27="","",DTM!A27)</calculatedColumnFormula>
    </tableColumn>
    <tableColumn id="2" xr3:uid="{00000000-0010-0000-0500-000002000000}" name="Equipment" dataDxfId="19">
      <calculatedColumnFormula>IF(DTM!B27="","",DTM!B27)</calculatedColumnFormula>
    </tableColumn>
    <tableColumn id="3" xr3:uid="{00000000-0010-0000-0500-000003000000}" name="Brand" dataDxfId="18">
      <calculatedColumnFormula>IF(DTM!C27="","",DTM!C27)</calculatedColumnFormula>
    </tableColumn>
    <tableColumn id="4" xr3:uid="{00000000-0010-0000-0500-000004000000}" name="Model" dataDxfId="17">
      <calculatedColumnFormula>IF(DTM!D27="","",DTM!D27)</calculatedColumnFormula>
    </tableColumn>
    <tableColumn id="5" xr3:uid="{00000000-0010-0000-0500-000005000000}" name="Serial No" dataDxfId="16">
      <calculatedColumnFormula>IF(DTM!E27="","",DTM!E27)</calculatedColumnFormula>
    </tableColumn>
    <tableColumn id="6" xr3:uid="{00000000-0010-0000-0500-000006000000}" name="Cal. Date" dataDxfId="15">
      <calculatedColumnFormula>IF(DTM!F27="","",DTM!F27)</calculatedColumnFormula>
    </tableColumn>
    <tableColumn id="7" xr3:uid="{00000000-0010-0000-0500-000007000000}" name="Cer No." dataDxfId="14">
      <calculatedColumnFormula>IF(DTM!G27="","",DTM!G27)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N200"/>
  <sheetViews>
    <sheetView zoomScaleNormal="100" workbookViewId="0">
      <selection activeCell="AQ23" sqref="AQ23"/>
    </sheetView>
  </sheetViews>
  <sheetFormatPr defaultColWidth="9.140625" defaultRowHeight="18.75"/>
  <cols>
    <col min="1" max="1" width="1.28515625" style="10" customWidth="1"/>
    <col min="2" max="39" width="2.5703125" style="10" customWidth="1"/>
    <col min="40" max="40" width="12" style="1" customWidth="1"/>
    <col min="41" max="41" width="11.140625" style="1" customWidth="1"/>
    <col min="42" max="53" width="9.140625" style="1"/>
    <col min="54" max="54" width="1.28515625" style="10" customWidth="1"/>
    <col min="55" max="92" width="2.5703125" style="10" customWidth="1"/>
    <col min="93" max="16384" width="9.140625" style="1"/>
  </cols>
  <sheetData>
    <row r="1" spans="1:92" ht="8.25" customHeight="1"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</row>
    <row r="2" spans="1:92" ht="19.5" customHeight="1">
      <c r="B2" s="151"/>
      <c r="C2" s="152"/>
      <c r="D2" s="152"/>
      <c r="E2" s="152"/>
      <c r="F2" s="152"/>
      <c r="G2" s="151"/>
      <c r="H2" s="382" t="s">
        <v>454</v>
      </c>
      <c r="I2" s="382"/>
      <c r="J2" s="382"/>
      <c r="K2" s="382"/>
      <c r="L2" s="382"/>
      <c r="M2" s="382"/>
      <c r="N2" s="382"/>
      <c r="O2" s="382"/>
      <c r="P2" s="382"/>
      <c r="Q2" s="382"/>
      <c r="R2" s="382"/>
      <c r="S2" s="382"/>
      <c r="T2" s="382"/>
      <c r="U2" s="382"/>
      <c r="V2" s="382"/>
      <c r="W2" s="382"/>
      <c r="X2" s="382"/>
      <c r="Y2" s="382"/>
      <c r="Z2" s="382"/>
      <c r="AA2" s="382"/>
      <c r="AB2" s="382"/>
      <c r="AC2" s="152"/>
      <c r="AD2" s="152"/>
      <c r="AE2" s="152"/>
      <c r="AF2" s="152"/>
      <c r="AG2" s="152"/>
      <c r="AH2" s="152"/>
      <c r="AI2" s="152"/>
      <c r="AJ2" s="152"/>
      <c r="AK2" s="152"/>
      <c r="AL2" s="152"/>
      <c r="AM2" s="152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</row>
    <row r="3" spans="1:92" ht="19.5" customHeight="1">
      <c r="B3" s="151"/>
      <c r="C3" s="151"/>
      <c r="D3" s="151"/>
      <c r="E3" s="151"/>
      <c r="F3" s="151"/>
      <c r="G3" s="151"/>
      <c r="H3" s="382" t="s">
        <v>455</v>
      </c>
      <c r="I3" s="382"/>
      <c r="J3" s="382"/>
      <c r="K3" s="382"/>
      <c r="L3" s="382"/>
      <c r="M3" s="382"/>
      <c r="N3" s="382"/>
      <c r="O3" s="382"/>
      <c r="P3" s="382"/>
      <c r="Q3" s="382"/>
      <c r="R3" s="382"/>
      <c r="S3" s="382"/>
      <c r="T3" s="382"/>
      <c r="U3" s="382"/>
      <c r="V3" s="382"/>
      <c r="W3" s="382"/>
      <c r="X3" s="382"/>
      <c r="Y3" s="382"/>
      <c r="Z3" s="382"/>
      <c r="AA3" s="382"/>
      <c r="AB3" s="382"/>
      <c r="AC3" s="382"/>
      <c r="AD3" s="382"/>
      <c r="AE3" s="382"/>
      <c r="AF3" s="382"/>
      <c r="AG3" s="382"/>
      <c r="AH3" s="382"/>
      <c r="AI3" s="151"/>
      <c r="AJ3" s="151"/>
      <c r="AK3" s="151"/>
      <c r="AL3" s="151"/>
      <c r="AM3" s="15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</row>
    <row r="4" spans="1:92" ht="15.75" customHeight="1">
      <c r="B4" s="151"/>
      <c r="C4" s="151"/>
      <c r="D4" s="151"/>
      <c r="E4" s="151"/>
      <c r="F4" s="151"/>
      <c r="G4" s="151"/>
      <c r="H4" s="382" t="s">
        <v>456</v>
      </c>
      <c r="I4" s="382"/>
      <c r="J4" s="382"/>
      <c r="K4" s="382"/>
      <c r="L4" s="382"/>
      <c r="M4" s="382"/>
      <c r="N4" s="382"/>
      <c r="O4" s="382"/>
      <c r="P4" s="382"/>
      <c r="Q4" s="382"/>
      <c r="R4" s="382"/>
      <c r="S4" s="382"/>
      <c r="T4" s="382"/>
      <c r="U4" s="382"/>
      <c r="V4" s="382"/>
      <c r="W4" s="382"/>
      <c r="X4" s="382"/>
      <c r="Y4" s="382"/>
      <c r="Z4" s="382"/>
      <c r="AA4" s="382"/>
      <c r="AB4" s="382"/>
      <c r="AC4" s="151"/>
      <c r="AD4" s="151"/>
      <c r="AE4" s="151"/>
      <c r="AF4" s="151"/>
      <c r="AG4" s="151"/>
      <c r="AH4" s="151"/>
      <c r="AI4" s="151"/>
      <c r="AJ4" s="151"/>
      <c r="AK4" s="151"/>
      <c r="AL4" s="151"/>
      <c r="AM4" s="15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</row>
    <row r="5" spans="1:92" ht="15.75" customHeight="1">
      <c r="H5" s="153" t="s">
        <v>457</v>
      </c>
      <c r="I5" s="3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</row>
    <row r="6" spans="1:92" ht="21.75" customHeight="1">
      <c r="B6" s="7"/>
      <c r="C6" s="7"/>
      <c r="D6" s="7"/>
      <c r="E6" s="7"/>
      <c r="F6" s="7"/>
      <c r="G6" s="7"/>
      <c r="H6" s="160" t="s">
        <v>71</v>
      </c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54"/>
      <c r="AA6" s="154"/>
      <c r="AB6" s="154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</row>
    <row r="7" spans="1:92" ht="21.75" customHeight="1">
      <c r="B7" s="416" t="s">
        <v>52</v>
      </c>
      <c r="C7" s="416"/>
      <c r="D7" s="416"/>
      <c r="E7" s="416"/>
      <c r="F7" s="416"/>
      <c r="G7" s="416"/>
      <c r="H7" s="416"/>
      <c r="I7" s="416"/>
      <c r="J7" s="416"/>
      <c r="K7" s="416"/>
      <c r="L7" s="416"/>
      <c r="M7" s="416"/>
      <c r="N7" s="416"/>
      <c r="O7" s="416"/>
      <c r="P7" s="416"/>
      <c r="Q7" s="416"/>
      <c r="R7" s="416"/>
      <c r="S7" s="416"/>
      <c r="T7" s="416"/>
      <c r="U7" s="416"/>
      <c r="V7" s="416"/>
      <c r="W7" s="416"/>
      <c r="X7" s="416"/>
      <c r="Y7" s="416"/>
      <c r="Z7" s="416"/>
      <c r="AA7" s="416"/>
      <c r="AB7" s="416"/>
      <c r="AC7" s="416"/>
      <c r="AD7" s="416"/>
      <c r="AE7" s="416"/>
      <c r="AF7" s="416"/>
      <c r="AG7" s="416"/>
      <c r="AH7" s="416"/>
      <c r="AI7" s="416"/>
      <c r="AJ7" s="416"/>
      <c r="AK7" s="416"/>
      <c r="AL7" s="416"/>
      <c r="AM7" s="416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</row>
    <row r="8" spans="1:92" ht="21.75" customHeight="1">
      <c r="B8" s="416"/>
      <c r="C8" s="416"/>
      <c r="D8" s="416"/>
      <c r="E8" s="416"/>
      <c r="F8" s="416"/>
      <c r="G8" s="416"/>
      <c r="H8" s="416"/>
      <c r="I8" s="416"/>
      <c r="J8" s="416"/>
      <c r="K8" s="416"/>
      <c r="L8" s="416"/>
      <c r="M8" s="416"/>
      <c r="N8" s="416"/>
      <c r="O8" s="416"/>
      <c r="P8" s="416"/>
      <c r="Q8" s="416"/>
      <c r="R8" s="416"/>
      <c r="S8" s="416"/>
      <c r="T8" s="416"/>
      <c r="U8" s="416"/>
      <c r="V8" s="416"/>
      <c r="W8" s="416"/>
      <c r="X8" s="416"/>
      <c r="Y8" s="416"/>
      <c r="Z8" s="416"/>
      <c r="AA8" s="416"/>
      <c r="AB8" s="416"/>
      <c r="AC8" s="416"/>
      <c r="AD8" s="416"/>
      <c r="AE8" s="416"/>
      <c r="AF8" s="416"/>
      <c r="AG8" s="416"/>
      <c r="AH8" s="416"/>
      <c r="AI8" s="416"/>
      <c r="AJ8" s="416"/>
      <c r="AK8" s="416"/>
      <c r="AL8" s="416"/>
      <c r="AM8" s="416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</row>
    <row r="9" spans="1:92" s="2" customFormat="1" ht="18" customHeight="1">
      <c r="A9" s="12"/>
      <c r="B9" s="12"/>
      <c r="C9" s="12"/>
      <c r="D9" s="12"/>
      <c r="E9" s="419"/>
      <c r="F9" s="419"/>
      <c r="G9" s="419"/>
      <c r="H9" s="419"/>
      <c r="I9" s="419"/>
      <c r="J9" s="419"/>
      <c r="K9" s="419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405" t="s">
        <v>38</v>
      </c>
      <c r="Z9" s="405"/>
      <c r="AA9" s="405"/>
      <c r="AB9" s="405"/>
      <c r="AC9" s="405"/>
      <c r="AD9" s="405"/>
      <c r="AE9" s="405"/>
      <c r="AF9" s="405"/>
      <c r="AG9" s="405"/>
      <c r="AH9" s="405"/>
      <c r="AI9" s="423" t="str">
        <f>IF(Page1!AO6=""," "&amp;Page1!AO4&amp;Page1!AR4&amp;" "&amp;Page1!AT4," "&amp;Page1!AO4&amp;Page1!AR4&amp;" "&amp;"R"&amp;Page1!AO6)</f>
        <v xml:space="preserve"> /69 </v>
      </c>
      <c r="AJ9" s="423"/>
      <c r="AK9" s="423"/>
      <c r="AL9" s="423"/>
      <c r="AM9" s="423"/>
      <c r="AN9" s="3"/>
      <c r="AO9" s="3"/>
      <c r="AP9" s="3"/>
      <c r="BB9" s="12"/>
    </row>
    <row r="10" spans="1:92" ht="18" customHeight="1">
      <c r="D10" s="421"/>
      <c r="E10" s="421"/>
      <c r="F10" s="421"/>
      <c r="G10" s="421"/>
      <c r="H10" s="421"/>
      <c r="I10" s="421"/>
      <c r="AC10" s="405" t="s">
        <v>39</v>
      </c>
      <c r="AD10" s="405"/>
      <c r="AE10" s="405"/>
      <c r="AF10" s="405"/>
      <c r="AG10" s="405"/>
      <c r="AH10" s="405"/>
      <c r="AI10" s="407" t="s">
        <v>81</v>
      </c>
      <c r="AJ10" s="407"/>
      <c r="AK10" s="407"/>
      <c r="AL10" s="407"/>
      <c r="AM10" s="407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</row>
    <row r="11" spans="1:92" ht="18" customHeight="1">
      <c r="B11" s="11" t="s">
        <v>59</v>
      </c>
      <c r="C11" s="11"/>
      <c r="D11" s="11"/>
      <c r="E11" s="11"/>
      <c r="F11" s="11"/>
      <c r="G11" s="12"/>
      <c r="H11" s="12"/>
      <c r="I11" s="11" t="s">
        <v>54</v>
      </c>
      <c r="J11" s="417" t="str">
        <f>IF(Page1!$I$8="","",Page1!$I$8)</f>
        <v/>
      </c>
      <c r="K11" s="417"/>
      <c r="L11" s="417"/>
      <c r="M11" s="417"/>
      <c r="N11" s="417"/>
      <c r="O11" s="417"/>
      <c r="P11" s="417"/>
      <c r="Q11" s="417"/>
      <c r="R11" s="417"/>
      <c r="S11" s="417"/>
      <c r="T11" s="417"/>
      <c r="U11" s="417"/>
      <c r="V11" s="417"/>
      <c r="W11" s="417"/>
      <c r="X11" s="417"/>
      <c r="Y11" s="417"/>
      <c r="Z11" s="417"/>
      <c r="AA11" s="417"/>
      <c r="AB11" s="417"/>
      <c r="AC11" s="417"/>
      <c r="AD11" s="417"/>
      <c r="AE11" s="417"/>
      <c r="AF11" s="417"/>
      <c r="AG11" s="417"/>
      <c r="AH11" s="417"/>
      <c r="AI11" s="417"/>
      <c r="AJ11" s="417"/>
      <c r="AK11" s="417"/>
      <c r="AL11" s="417"/>
      <c r="AM11" s="417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</row>
    <row r="12" spans="1:92" ht="18" customHeight="1">
      <c r="B12" s="11"/>
      <c r="C12" s="11"/>
      <c r="D12" s="11"/>
      <c r="E12" s="11"/>
      <c r="F12" s="11"/>
      <c r="G12" s="12"/>
      <c r="H12" s="12"/>
      <c r="J12" s="417" t="str">
        <f>IF(Page1!$I$9="","",Page1!$I$9&amp;", "&amp;Page1!$I$10)</f>
        <v/>
      </c>
      <c r="K12" s="417"/>
      <c r="L12" s="417"/>
      <c r="M12" s="417"/>
      <c r="N12" s="417"/>
      <c r="O12" s="417"/>
      <c r="P12" s="417"/>
      <c r="Q12" s="417"/>
      <c r="R12" s="417"/>
      <c r="S12" s="417"/>
      <c r="T12" s="417"/>
      <c r="U12" s="417"/>
      <c r="V12" s="417"/>
      <c r="W12" s="417"/>
      <c r="X12" s="417"/>
      <c r="Y12" s="417"/>
      <c r="Z12" s="417"/>
      <c r="AA12" s="417"/>
      <c r="AB12" s="417"/>
      <c r="AC12" s="417"/>
      <c r="AD12" s="417"/>
      <c r="AE12" s="417"/>
      <c r="AF12" s="417"/>
      <c r="AG12" s="417"/>
      <c r="AH12" s="417"/>
      <c r="AI12" s="417"/>
      <c r="AJ12" s="417"/>
      <c r="AK12" s="417"/>
      <c r="AL12" s="417"/>
      <c r="AM12" s="417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</row>
    <row r="13" spans="1:92" ht="18" customHeight="1">
      <c r="B13" s="402" t="s">
        <v>53</v>
      </c>
      <c r="C13" s="402"/>
      <c r="D13" s="402"/>
      <c r="E13" s="402"/>
      <c r="F13" s="402"/>
      <c r="G13" s="12"/>
      <c r="H13" s="12"/>
      <c r="I13" s="11" t="s">
        <v>54</v>
      </c>
      <c r="J13" s="6" t="str">
        <f>IF(Page1!I11="","",Page1!I11)</f>
        <v/>
      </c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</row>
    <row r="14" spans="1:92" ht="18" customHeight="1">
      <c r="B14" s="11" t="s">
        <v>55</v>
      </c>
      <c r="C14" s="11"/>
      <c r="D14" s="11"/>
      <c r="E14" s="11"/>
      <c r="F14" s="11"/>
      <c r="G14" s="12"/>
      <c r="H14" s="12"/>
      <c r="I14" s="11" t="s">
        <v>54</v>
      </c>
      <c r="J14" s="420" t="str">
        <f>IF(Page1!I12="","",Page1!I12)</f>
        <v/>
      </c>
      <c r="K14" s="420"/>
      <c r="L14" s="420"/>
      <c r="M14" s="420"/>
      <c r="N14" s="420"/>
      <c r="O14" s="420"/>
      <c r="P14" s="420"/>
      <c r="Q14" s="420"/>
      <c r="R14" s="420"/>
      <c r="S14" s="420"/>
      <c r="T14" s="420"/>
      <c r="U14" s="420"/>
      <c r="V14" s="420"/>
      <c r="W14" s="420"/>
      <c r="X14" s="11" t="s">
        <v>56</v>
      </c>
      <c r="Y14" s="12"/>
      <c r="Z14" s="12"/>
      <c r="AA14" s="12"/>
      <c r="AB14" s="12"/>
      <c r="AC14" s="11" t="s">
        <v>54</v>
      </c>
      <c r="AD14" s="420" t="str">
        <f>IF(Page1!I13="","",Page1!I13)</f>
        <v/>
      </c>
      <c r="AE14" s="420"/>
      <c r="AF14" s="420"/>
      <c r="AG14" s="420"/>
      <c r="AH14" s="420"/>
      <c r="AI14" s="420"/>
      <c r="AJ14" s="420"/>
      <c r="AK14" s="420"/>
      <c r="AL14" s="420"/>
      <c r="AM14" s="420"/>
      <c r="AN14" s="5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</row>
    <row r="15" spans="1:92" ht="18" customHeight="1">
      <c r="B15" s="11" t="s">
        <v>58</v>
      </c>
      <c r="C15" s="11"/>
      <c r="D15" s="11"/>
      <c r="E15" s="11"/>
      <c r="F15" s="11"/>
      <c r="G15" s="12"/>
      <c r="H15" s="12"/>
      <c r="I15" s="11" t="s">
        <v>54</v>
      </c>
      <c r="J15" s="417" t="str">
        <f>IF(Page1!I14="","",Page1!I14)</f>
        <v/>
      </c>
      <c r="K15" s="417"/>
      <c r="L15" s="417"/>
      <c r="M15" s="417"/>
      <c r="N15" s="417"/>
      <c r="O15" s="417"/>
      <c r="P15" s="417"/>
      <c r="Q15" s="417"/>
      <c r="R15" s="417"/>
      <c r="S15" s="417"/>
      <c r="T15" s="417"/>
      <c r="U15" s="417"/>
      <c r="V15" s="417"/>
      <c r="W15" s="417"/>
      <c r="X15" s="11" t="s">
        <v>57</v>
      </c>
      <c r="Y15" s="12"/>
      <c r="Z15" s="12"/>
      <c r="AA15" s="12"/>
      <c r="AB15" s="12"/>
      <c r="AC15" s="11" t="s">
        <v>54</v>
      </c>
      <c r="AD15" s="417" t="str">
        <f>IF(Page1!I15="","-",Page1!I15)</f>
        <v>-</v>
      </c>
      <c r="AE15" s="417"/>
      <c r="AF15" s="417"/>
      <c r="AG15" s="417"/>
      <c r="AH15" s="417"/>
      <c r="AI15" s="417"/>
      <c r="AJ15" s="417"/>
      <c r="AK15" s="417"/>
      <c r="AL15" s="417"/>
      <c r="AM15" s="417"/>
      <c r="AN15" s="5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</row>
    <row r="16" spans="1:92" ht="18" customHeight="1">
      <c r="B16" s="11" t="s">
        <v>550</v>
      </c>
      <c r="D16" s="11"/>
      <c r="E16" s="11"/>
      <c r="F16" s="11"/>
      <c r="G16" s="12"/>
      <c r="H16" s="12"/>
      <c r="I16" s="11" t="s">
        <v>54</v>
      </c>
      <c r="J16" s="417" t="str">
        <f>IF(Page1!AB17="","",Page1!AB17)</f>
        <v/>
      </c>
      <c r="K16" s="417"/>
      <c r="L16" s="417"/>
      <c r="M16" s="417"/>
      <c r="N16" s="417"/>
      <c r="O16" s="417"/>
      <c r="P16" s="417"/>
      <c r="Q16" s="417"/>
      <c r="R16" s="417"/>
      <c r="S16" s="417"/>
      <c r="T16" s="417"/>
      <c r="U16" s="417"/>
      <c r="V16" s="417"/>
      <c r="W16" s="417"/>
      <c r="X16" s="417"/>
      <c r="Y16" s="417"/>
      <c r="Z16" s="417"/>
      <c r="AA16" s="417"/>
      <c r="AB16" s="417"/>
      <c r="AC16" s="417"/>
      <c r="AD16" s="417"/>
      <c r="AE16" s="417"/>
      <c r="AF16" s="417"/>
      <c r="AG16" s="417"/>
      <c r="AH16" s="417"/>
      <c r="AI16" s="417"/>
      <c r="AJ16" s="417"/>
      <c r="AK16" s="417"/>
      <c r="AL16" s="417"/>
      <c r="AM16" s="417"/>
      <c r="AN16" s="4"/>
      <c r="AO16" s="4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</row>
    <row r="17" spans="2:92" ht="18" customHeight="1">
      <c r="B17" s="30" t="s">
        <v>304</v>
      </c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2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</row>
    <row r="18" spans="2:92" ht="18" customHeight="1">
      <c r="C18" s="418" t="str">
        <f>IF(Page1!AG19="","Normal condition, no indication find for any damage or malfunction",Page1!AG19)</f>
        <v>Normal condition, no indication find for any damage or malfunction</v>
      </c>
      <c r="D18" s="418"/>
      <c r="E18" s="418"/>
      <c r="F18" s="418"/>
      <c r="G18" s="418"/>
      <c r="H18" s="418"/>
      <c r="I18" s="418"/>
      <c r="J18" s="418"/>
      <c r="K18" s="418"/>
      <c r="L18" s="418"/>
      <c r="M18" s="418"/>
      <c r="N18" s="418"/>
      <c r="O18" s="418"/>
      <c r="P18" s="418"/>
      <c r="Q18" s="418"/>
      <c r="R18" s="418"/>
      <c r="S18" s="418"/>
      <c r="T18" s="418"/>
      <c r="U18" s="418"/>
      <c r="V18" s="418"/>
      <c r="W18" s="418"/>
      <c r="X18" s="418"/>
      <c r="Y18" s="418"/>
      <c r="Z18" s="418"/>
      <c r="AA18" s="418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</row>
    <row r="19" spans="2:92" ht="6" customHeight="1"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</row>
    <row r="20" spans="2:92" ht="6" customHeight="1">
      <c r="C20" s="11"/>
      <c r="D20" s="11"/>
      <c r="E20" s="1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</row>
    <row r="21" spans="2:92" ht="17.25" customHeight="1">
      <c r="B21" s="11" t="s">
        <v>61</v>
      </c>
      <c r="C21" s="11"/>
      <c r="I21" s="11" t="s">
        <v>54</v>
      </c>
      <c r="J21" s="418" t="str">
        <f>IF(Page1!AO5="","",Page1!AO5)</f>
        <v/>
      </c>
      <c r="K21" s="418"/>
      <c r="L21" s="418"/>
      <c r="M21" s="418"/>
      <c r="N21" s="418"/>
      <c r="O21" s="418"/>
      <c r="P21" s="418"/>
      <c r="Q21" s="418"/>
      <c r="R21" s="418"/>
      <c r="S21" s="418"/>
      <c r="T21" s="418"/>
      <c r="U21" s="418"/>
      <c r="V21" s="418"/>
      <c r="W21" s="418"/>
      <c r="X21" s="418"/>
      <c r="Y21" s="418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</row>
    <row r="22" spans="2:92" ht="17.25" customHeight="1">
      <c r="B22" s="11" t="s">
        <v>62</v>
      </c>
      <c r="C22" s="11"/>
      <c r="I22" s="11" t="s">
        <v>54</v>
      </c>
      <c r="J22" s="422" t="str">
        <f>IF(Page1!I16="","",Page1!I16)</f>
        <v/>
      </c>
      <c r="K22" s="422"/>
      <c r="L22" s="422"/>
      <c r="M22" s="422"/>
      <c r="N22" s="422"/>
      <c r="O22" s="422"/>
      <c r="P22" s="422"/>
      <c r="Q22" s="422"/>
      <c r="R22" s="422"/>
      <c r="S22" s="422"/>
      <c r="T22" s="422"/>
      <c r="U22" s="422"/>
      <c r="V22" s="422"/>
      <c r="W22" s="422"/>
      <c r="X22" s="422"/>
      <c r="Y22" s="422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</row>
    <row r="23" spans="2:92" ht="17.25" customHeight="1">
      <c r="B23" s="11" t="s">
        <v>63</v>
      </c>
      <c r="C23" s="11"/>
      <c r="D23" s="11"/>
      <c r="E23" s="11"/>
      <c r="F23" s="11"/>
      <c r="G23" s="11"/>
      <c r="I23" s="11" t="s">
        <v>54</v>
      </c>
      <c r="J23" s="422" t="str">
        <f>IF(Page1!I17="","",Page1!I17)</f>
        <v/>
      </c>
      <c r="K23" s="422"/>
      <c r="L23" s="422"/>
      <c r="M23" s="422"/>
      <c r="N23" s="422"/>
      <c r="O23" s="422"/>
      <c r="P23" s="422"/>
      <c r="Q23" s="422"/>
      <c r="R23" s="422"/>
      <c r="S23" s="422"/>
      <c r="T23" s="422"/>
      <c r="U23" s="422"/>
      <c r="V23" s="422"/>
      <c r="W23" s="422"/>
      <c r="X23" s="422"/>
      <c r="Y23" s="422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</row>
    <row r="24" spans="2:92" ht="17.25" customHeight="1">
      <c r="B24" s="11" t="s">
        <v>60</v>
      </c>
      <c r="C24" s="11"/>
      <c r="I24" s="11" t="s">
        <v>54</v>
      </c>
      <c r="J24" s="422" t="str">
        <f ca="1">IF(Page1!$I$18="","",Page1!$I$18)</f>
        <v/>
      </c>
      <c r="K24" s="422"/>
      <c r="L24" s="422"/>
      <c r="M24" s="422"/>
      <c r="N24" s="422"/>
      <c r="O24" s="422"/>
      <c r="P24" s="422"/>
      <c r="Q24" s="422"/>
      <c r="R24" s="422"/>
      <c r="S24" s="422"/>
      <c r="T24" s="422"/>
      <c r="U24" s="422"/>
      <c r="V24" s="422"/>
      <c r="W24" s="422"/>
      <c r="X24" s="422"/>
      <c r="Y24" s="422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</row>
    <row r="25" spans="2:92" ht="6.75" customHeight="1"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</row>
    <row r="26" spans="2:92" ht="6" customHeight="1"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</row>
    <row r="27" spans="2:92" ht="18" customHeight="1">
      <c r="B27" s="30" t="s">
        <v>30</v>
      </c>
      <c r="C27" s="30"/>
      <c r="D27" s="15"/>
      <c r="E27" s="15"/>
      <c r="F27" s="15"/>
      <c r="G27" s="15"/>
      <c r="H27" s="15"/>
      <c r="I27" s="13" t="s">
        <v>54</v>
      </c>
      <c r="J27" s="20" t="s">
        <v>64</v>
      </c>
      <c r="K27" s="20"/>
      <c r="L27" s="20"/>
      <c r="M27" s="20"/>
      <c r="N27" s="20"/>
      <c r="O27" s="20"/>
      <c r="P27" s="20"/>
      <c r="Q27" s="12"/>
      <c r="R27" s="12"/>
      <c r="S27" s="10" t="s">
        <v>481</v>
      </c>
      <c r="T27" s="6"/>
      <c r="U27" s="6"/>
      <c r="V27" s="6"/>
      <c r="W27" s="6"/>
      <c r="X27" s="11"/>
      <c r="Y27" s="11"/>
      <c r="Z27" s="11"/>
      <c r="AA27" s="11"/>
      <c r="AB27" s="1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</row>
    <row r="28" spans="2:92" ht="18" customHeight="1">
      <c r="B28" s="12"/>
      <c r="C28" s="12"/>
      <c r="D28" s="12"/>
      <c r="E28" s="12"/>
      <c r="F28" s="12"/>
      <c r="G28" s="12"/>
      <c r="H28" s="12"/>
      <c r="I28" s="12"/>
      <c r="J28" s="418" t="s">
        <v>40</v>
      </c>
      <c r="K28" s="418"/>
      <c r="L28" s="418"/>
      <c r="M28" s="418"/>
      <c r="N28" s="418"/>
      <c r="O28" s="418"/>
      <c r="P28" s="418"/>
      <c r="Q28" s="418"/>
      <c r="R28" s="12"/>
      <c r="S28" s="32" t="s">
        <v>86</v>
      </c>
      <c r="T28" s="31"/>
      <c r="U28" s="31"/>
      <c r="V28" s="31"/>
      <c r="W28" s="3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</row>
    <row r="29" spans="2:92" ht="6" customHeight="1">
      <c r="B29" s="17"/>
      <c r="C29" s="17"/>
      <c r="D29" s="17"/>
      <c r="E29" s="17"/>
      <c r="F29" s="17"/>
      <c r="G29" s="17"/>
      <c r="H29" s="17"/>
      <c r="I29" s="17"/>
      <c r="J29" s="18"/>
      <c r="K29" s="18"/>
      <c r="L29" s="18"/>
      <c r="M29" s="18"/>
      <c r="N29" s="18"/>
      <c r="O29" s="18"/>
      <c r="P29" s="18"/>
      <c r="Q29" s="17"/>
      <c r="R29" s="19"/>
      <c r="S29" s="19"/>
      <c r="T29" s="19"/>
      <c r="U29" s="19"/>
      <c r="V29" s="19"/>
      <c r="W29" s="17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</row>
    <row r="30" spans="2:92" ht="6" customHeight="1">
      <c r="J30" s="20"/>
      <c r="K30" s="20"/>
      <c r="L30" s="20"/>
      <c r="M30" s="20"/>
      <c r="N30" s="20"/>
      <c r="O30" s="20"/>
      <c r="P30" s="20"/>
      <c r="R30" s="21"/>
      <c r="S30" s="21"/>
      <c r="T30" s="21"/>
      <c r="U30" s="21"/>
      <c r="V30" s="2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</row>
    <row r="31" spans="2:92" ht="17.25" customHeight="1">
      <c r="B31" s="402" t="s">
        <v>406</v>
      </c>
      <c r="C31" s="418"/>
      <c r="D31" s="418"/>
      <c r="E31" s="418"/>
      <c r="F31" s="418"/>
      <c r="G31" s="418"/>
      <c r="H31" s="418"/>
      <c r="I31" s="418"/>
      <c r="J31" s="418"/>
      <c r="K31" s="418"/>
      <c r="L31" s="418"/>
      <c r="M31" s="418"/>
      <c r="N31" s="418"/>
      <c r="O31" s="418"/>
      <c r="P31" s="418"/>
      <c r="Q31" s="418"/>
      <c r="R31" s="418"/>
      <c r="S31" s="418"/>
      <c r="T31" s="418"/>
      <c r="U31" s="418"/>
      <c r="V31" s="418"/>
      <c r="W31" s="418"/>
      <c r="X31" s="418"/>
      <c r="Y31" s="418"/>
      <c r="Z31" s="418"/>
      <c r="AA31" s="418"/>
      <c r="AB31" s="418"/>
      <c r="AC31" s="418"/>
      <c r="AD31" s="418"/>
      <c r="AE31" s="418"/>
      <c r="AF31" s="418"/>
      <c r="AG31" s="418"/>
      <c r="AH31" s="418"/>
      <c r="AI31" s="418"/>
      <c r="AJ31" s="418"/>
      <c r="AK31" s="418"/>
      <c r="AL31" s="418"/>
      <c r="AM31" s="418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</row>
    <row r="32" spans="2:92" ht="17.25" customHeight="1">
      <c r="B32" s="30" t="s">
        <v>78</v>
      </c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</row>
    <row r="33" spans="1:92" ht="17.25" customHeight="1">
      <c r="B33" s="9"/>
      <c r="C33" s="6" t="s">
        <v>408</v>
      </c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</row>
    <row r="34" spans="1:92" ht="17.25" customHeight="1">
      <c r="B34" s="9" t="s">
        <v>407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</row>
    <row r="35" spans="1:92" ht="6" customHeight="1">
      <c r="B35" s="22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22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</row>
    <row r="36" spans="1:92" ht="6" customHeight="1"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20"/>
      <c r="AJ36" s="20"/>
      <c r="AK36" s="20"/>
      <c r="AL36" s="20"/>
      <c r="AM36" s="20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</row>
    <row r="37" spans="1:92" ht="18" customHeight="1">
      <c r="A37" s="12"/>
      <c r="B37" s="402" t="s">
        <v>41</v>
      </c>
      <c r="C37" s="402"/>
      <c r="D37" s="402"/>
      <c r="E37" s="402"/>
      <c r="F37" s="402"/>
      <c r="G37" s="402"/>
      <c r="H37" s="402"/>
      <c r="I37" s="402"/>
      <c r="J37" s="402"/>
      <c r="K37" s="402"/>
      <c r="L37" s="402"/>
      <c r="M37" s="40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L37" s="23"/>
      <c r="AM37" s="23"/>
      <c r="BB37" s="12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</row>
    <row r="38" spans="1:92" ht="18" customHeight="1">
      <c r="A38" s="12"/>
      <c r="B38" s="6"/>
      <c r="C38" s="6" t="s">
        <v>68</v>
      </c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BB38" s="12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</row>
    <row r="39" spans="1:92" ht="18" customHeight="1">
      <c r="A39" s="12"/>
      <c r="B39" s="6" t="s">
        <v>70</v>
      </c>
      <c r="C39" s="6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BB39" s="12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</row>
    <row r="40" spans="1:92" ht="18" customHeight="1">
      <c r="A40" s="12"/>
      <c r="B40" s="6" t="s">
        <v>69</v>
      </c>
      <c r="C40" s="6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BB40" s="12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</row>
    <row r="41" spans="1:92" ht="6" customHeight="1"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  <c r="AF41" s="36"/>
      <c r="AG41" s="36"/>
      <c r="AH41" s="36"/>
      <c r="AI41" s="36"/>
      <c r="AJ41" s="36"/>
      <c r="AK41" s="36"/>
      <c r="AL41" s="36"/>
      <c r="AM41" s="36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</row>
    <row r="42" spans="1:92" ht="25.5" customHeight="1"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8"/>
      <c r="AM42" s="38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</row>
    <row r="43" spans="1:92" ht="25.5" customHeight="1"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24"/>
      <c r="AM43" s="24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</row>
    <row r="44" spans="1:92" ht="12.75" customHeight="1">
      <c r="B44" s="12"/>
      <c r="C44" s="12"/>
      <c r="D44" s="83" t="str">
        <f>IF(Page1!F37="","",VLOOKUP(Page1!F37,Data!H3:I21,2,FALSE))</f>
        <v/>
      </c>
      <c r="E44" s="14"/>
      <c r="F44" s="14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2"/>
      <c r="R44" s="12"/>
      <c r="S44" s="12"/>
      <c r="T44" s="12"/>
      <c r="U44" s="12"/>
      <c r="V44" s="12"/>
      <c r="W44" s="64" t="str">
        <f>IF(Page1!AC37="","",VLOOKUP(Page1!AC37,Data!H3:I21,2,FALSE))</f>
        <v/>
      </c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2"/>
      <c r="AK44" s="12"/>
      <c r="AL44" s="12"/>
      <c r="AM44" s="12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</row>
    <row r="45" spans="1:92" ht="17.25" customHeight="1">
      <c r="B45" s="25"/>
      <c r="C45" s="12"/>
      <c r="D45" s="403" t="str">
        <f>"("&amp;" "&amp;Page1!F37&amp;" "&amp;")"</f>
        <v>(  )</v>
      </c>
      <c r="E45" s="403"/>
      <c r="F45" s="403"/>
      <c r="G45" s="403"/>
      <c r="H45" s="403"/>
      <c r="I45" s="403"/>
      <c r="J45" s="403"/>
      <c r="K45" s="403"/>
      <c r="L45" s="403"/>
      <c r="M45" s="403"/>
      <c r="N45" s="403"/>
      <c r="O45" s="403"/>
      <c r="P45" s="403"/>
      <c r="W45" s="403" t="str">
        <f>"("&amp;" "&amp;Page1!AC37&amp;" "&amp;")"</f>
        <v>(  )</v>
      </c>
      <c r="X45" s="403"/>
      <c r="Y45" s="403"/>
      <c r="Z45" s="403"/>
      <c r="AA45" s="403"/>
      <c r="AB45" s="403"/>
      <c r="AC45" s="403"/>
      <c r="AD45" s="403"/>
      <c r="AE45" s="403"/>
      <c r="AF45" s="403"/>
      <c r="AG45" s="403"/>
      <c r="AH45" s="403"/>
      <c r="AI45" s="403"/>
      <c r="AJ45" s="12"/>
      <c r="AK45" s="12"/>
      <c r="AL45" s="12"/>
      <c r="AM45" s="12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</row>
    <row r="46" spans="1:92" ht="17.25" customHeight="1">
      <c r="B46" s="25"/>
      <c r="C46" s="12"/>
      <c r="E46" s="407" t="s">
        <v>66</v>
      </c>
      <c r="F46" s="407"/>
      <c r="G46" s="407"/>
      <c r="H46" s="407"/>
      <c r="I46" s="407"/>
      <c r="J46" s="407"/>
      <c r="K46" s="407"/>
      <c r="L46" s="407"/>
      <c r="M46" s="407"/>
      <c r="N46" s="407"/>
      <c r="O46" s="407"/>
      <c r="X46" s="407" t="s">
        <v>67</v>
      </c>
      <c r="Y46" s="407"/>
      <c r="Z46" s="407"/>
      <c r="AA46" s="407"/>
      <c r="AB46" s="407"/>
      <c r="AC46" s="407"/>
      <c r="AD46" s="407"/>
      <c r="AE46" s="407"/>
      <c r="AF46" s="407"/>
      <c r="AG46" s="407"/>
      <c r="AH46" s="407"/>
      <c r="AJ46" s="12"/>
      <c r="AK46" s="12"/>
      <c r="AL46" s="12"/>
      <c r="AM46" s="12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</row>
    <row r="47" spans="1:92" ht="6" customHeight="1">
      <c r="B47" s="25"/>
      <c r="C47" s="12"/>
      <c r="D47" s="12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12"/>
      <c r="P47" s="12"/>
      <c r="Q47" s="12"/>
      <c r="R47" s="12"/>
      <c r="S47" s="12"/>
      <c r="T47" s="12"/>
      <c r="U47" s="12"/>
      <c r="V47" s="12"/>
      <c r="W47" s="12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12"/>
      <c r="AI47" s="12"/>
      <c r="AJ47" s="12"/>
      <c r="AK47" s="12"/>
      <c r="AL47" s="12"/>
      <c r="AM47" s="12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</row>
    <row r="48" spans="1:92" ht="17.25" customHeight="1">
      <c r="B48" s="29"/>
      <c r="C48" s="6" t="s">
        <v>88</v>
      </c>
      <c r="D48" s="12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12"/>
      <c r="P48" s="12"/>
      <c r="Q48" s="12"/>
      <c r="R48" s="12"/>
      <c r="S48" s="12"/>
      <c r="T48" s="12"/>
      <c r="U48" s="12"/>
      <c r="V48" s="12"/>
      <c r="W48" s="12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12"/>
      <c r="AI48" s="12"/>
      <c r="AJ48" s="12"/>
      <c r="AK48" s="12"/>
      <c r="AL48" s="12"/>
      <c r="AM48" s="12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</row>
    <row r="49" spans="1:92" ht="17.25" customHeight="1">
      <c r="B49" s="29" t="s">
        <v>98</v>
      </c>
      <c r="C49" s="6"/>
      <c r="D49" s="12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12"/>
      <c r="P49" s="12"/>
      <c r="Q49" s="12"/>
      <c r="R49" s="12"/>
      <c r="S49" s="12"/>
      <c r="T49" s="12"/>
      <c r="U49" s="12"/>
      <c r="V49" s="12"/>
      <c r="W49" s="12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12"/>
      <c r="AI49" s="12"/>
      <c r="AJ49" s="12"/>
      <c r="AK49" s="12"/>
      <c r="AL49" s="12"/>
      <c r="AM49" s="12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</row>
    <row r="50" spans="1:92" ht="6" customHeight="1">
      <c r="B50" s="26"/>
      <c r="C50" s="17"/>
      <c r="D50" s="1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17"/>
      <c r="P50" s="17"/>
      <c r="Q50" s="17"/>
      <c r="R50" s="17"/>
      <c r="S50" s="17"/>
      <c r="T50" s="17"/>
      <c r="U50" s="17"/>
      <c r="V50" s="17"/>
      <c r="W50" s="17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17"/>
      <c r="AI50" s="17"/>
      <c r="AJ50" s="17"/>
      <c r="AK50" s="17"/>
      <c r="AL50" s="17"/>
      <c r="AM50" s="17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</row>
    <row r="51" spans="1:92" ht="6" customHeight="1">
      <c r="B51" s="25"/>
      <c r="C51" s="12"/>
      <c r="D51" s="12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12"/>
      <c r="P51" s="12"/>
      <c r="Q51" s="12"/>
      <c r="R51" s="12"/>
      <c r="S51" s="12"/>
      <c r="T51" s="12"/>
      <c r="U51" s="12"/>
      <c r="V51" s="12"/>
      <c r="W51" s="12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12"/>
      <c r="AI51" s="12"/>
      <c r="AJ51" s="12"/>
      <c r="AK51" s="12"/>
      <c r="AL51" s="12"/>
      <c r="AM51" s="12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</row>
    <row r="52" spans="1:92" ht="17.25" customHeight="1">
      <c r="B52" s="29"/>
      <c r="C52" s="6" t="s">
        <v>72</v>
      </c>
      <c r="D52" s="6"/>
      <c r="E52" s="8"/>
      <c r="F52" s="8"/>
      <c r="G52" s="8"/>
      <c r="H52" s="8"/>
      <c r="I52" s="8"/>
      <c r="J52" s="8"/>
      <c r="K52" s="8"/>
      <c r="L52" s="8"/>
      <c r="M52" s="8"/>
      <c r="N52" s="8"/>
      <c r="O52" s="6"/>
      <c r="P52" s="6"/>
      <c r="Q52" s="6"/>
      <c r="R52" s="6"/>
      <c r="S52" s="6"/>
      <c r="T52" s="6"/>
      <c r="U52" s="6"/>
      <c r="V52" s="6"/>
      <c r="W52" s="6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6"/>
      <c r="AI52" s="6"/>
      <c r="AJ52" s="6"/>
      <c r="AK52" s="6"/>
      <c r="AL52" s="6"/>
      <c r="AM52" s="6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</row>
    <row r="53" spans="1:92" ht="17.25" customHeight="1">
      <c r="B53" s="29" t="s">
        <v>100</v>
      </c>
      <c r="C53" s="6"/>
      <c r="D53" s="6"/>
      <c r="E53" s="8"/>
      <c r="F53" s="8"/>
      <c r="G53" s="8"/>
      <c r="H53" s="8"/>
      <c r="I53" s="8"/>
      <c r="J53" s="8"/>
      <c r="K53" s="8"/>
      <c r="L53" s="8"/>
      <c r="M53" s="8"/>
      <c r="N53" s="8"/>
      <c r="O53" s="6"/>
      <c r="P53" s="6"/>
      <c r="Q53" s="6"/>
      <c r="R53" s="6"/>
      <c r="S53" s="6"/>
      <c r="T53" s="6"/>
      <c r="U53" s="6"/>
      <c r="V53" s="6"/>
      <c r="W53" s="6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6"/>
      <c r="AI53" s="6"/>
      <c r="AJ53" s="6"/>
      <c r="AK53" s="6"/>
      <c r="AL53" s="6"/>
      <c r="AM53" s="6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</row>
    <row r="54" spans="1:92" ht="6" customHeight="1">
      <c r="B54" s="29"/>
      <c r="C54" s="6"/>
      <c r="D54" s="6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12"/>
      <c r="P54" s="12"/>
      <c r="Q54" s="12"/>
      <c r="R54" s="12"/>
      <c r="S54" s="12"/>
      <c r="T54" s="12"/>
      <c r="U54" s="12"/>
      <c r="V54" s="12"/>
      <c r="W54" s="12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12"/>
      <c r="AI54" s="12"/>
      <c r="AJ54" s="12"/>
      <c r="AK54" s="12"/>
      <c r="AL54" s="12"/>
      <c r="AM54" s="12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</row>
    <row r="55" spans="1:92">
      <c r="B55" s="6" t="str">
        <f>IF(Page1!AO6="","","*This certificate is a revision of a calibration certificate No."&amp;Page1!AO4&amp;Page1!AR4&amp;" "&amp;IF(Page1!AO6&gt;1,"R"&amp;Page1!AO6-1,""))</f>
        <v/>
      </c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</row>
    <row r="56" spans="1:92">
      <c r="B56" s="6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</row>
    <row r="57" spans="1:92" ht="17.25" customHeight="1"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405" t="s">
        <v>38</v>
      </c>
      <c r="AA57" s="405"/>
      <c r="AB57" s="405"/>
      <c r="AC57" s="405"/>
      <c r="AD57" s="405"/>
      <c r="AE57" s="405"/>
      <c r="AF57" s="405"/>
      <c r="AG57" s="405"/>
      <c r="AH57" s="405"/>
      <c r="AI57" s="407" t="str">
        <f>AI9</f>
        <v xml:space="preserve"> /69 </v>
      </c>
      <c r="AJ57" s="407"/>
      <c r="AK57" s="407"/>
      <c r="AL57" s="407"/>
      <c r="AM57" s="407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</row>
    <row r="58" spans="1:92" ht="17.25" customHeight="1"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405" t="s">
        <v>42</v>
      </c>
      <c r="AB58" s="405"/>
      <c r="AC58" s="405"/>
      <c r="AD58" s="405"/>
      <c r="AE58" s="405"/>
      <c r="AF58" s="405"/>
      <c r="AG58" s="405"/>
      <c r="AH58" s="405"/>
      <c r="AI58" s="407" t="s">
        <v>80</v>
      </c>
      <c r="AJ58" s="407"/>
      <c r="AK58" s="407"/>
      <c r="AL58" s="407"/>
      <c r="AM58" s="407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</row>
    <row r="59" spans="1:92" ht="18" customHeight="1">
      <c r="B59" s="11" t="s">
        <v>73</v>
      </c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</row>
    <row r="60" spans="1:92" ht="18" customHeight="1">
      <c r="B60" s="79" t="s">
        <v>74</v>
      </c>
      <c r="C60" s="79"/>
      <c r="D60" s="79"/>
      <c r="E60" s="79"/>
      <c r="F60" s="79"/>
      <c r="G60" s="79"/>
      <c r="H60" s="79"/>
      <c r="I60" s="79"/>
      <c r="J60" s="79"/>
      <c r="K60" s="79"/>
      <c r="L60" s="79"/>
      <c r="M60" s="79"/>
      <c r="N60" s="79"/>
      <c r="O60" s="79"/>
      <c r="P60" s="79"/>
      <c r="Q60" s="79"/>
      <c r="R60" s="79"/>
      <c r="S60" s="406" t="s">
        <v>76</v>
      </c>
      <c r="T60" s="406"/>
      <c r="U60" s="406"/>
      <c r="V60" s="406"/>
      <c r="W60" s="406"/>
      <c r="X60" s="406"/>
      <c r="Y60" s="406"/>
      <c r="Z60" s="406"/>
      <c r="AA60" s="406" t="s">
        <v>43</v>
      </c>
      <c r="AB60" s="406"/>
      <c r="AC60" s="406"/>
      <c r="AD60" s="406"/>
      <c r="AE60" s="406"/>
      <c r="AF60" s="406"/>
      <c r="AG60" s="406"/>
      <c r="AH60" s="406" t="s">
        <v>77</v>
      </c>
      <c r="AI60" s="406"/>
      <c r="AJ60" s="406"/>
      <c r="AK60" s="406"/>
      <c r="AL60" s="406"/>
      <c r="AM60" s="406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</row>
    <row r="61" spans="1:92" ht="18" customHeight="1">
      <c r="B61" s="80" t="str">
        <f>IF(Page1!I22="","",Page1!I22)</f>
        <v/>
      </c>
      <c r="C61" s="80"/>
      <c r="D61" s="80"/>
      <c r="E61" s="80"/>
      <c r="F61" s="80"/>
      <c r="G61" s="80"/>
      <c r="H61" s="80"/>
      <c r="I61" s="80"/>
      <c r="J61" s="80"/>
      <c r="K61" s="80"/>
      <c r="L61" s="80"/>
      <c r="M61" s="80"/>
      <c r="N61" s="80"/>
      <c r="O61" s="80"/>
      <c r="P61" s="80"/>
      <c r="Q61" s="80"/>
      <c r="R61" s="80"/>
      <c r="S61" s="404" t="str">
        <f>IF(Page1!AF22="","",Page1!AF22)</f>
        <v/>
      </c>
      <c r="T61" s="404"/>
      <c r="U61" s="404"/>
      <c r="V61" s="404"/>
      <c r="W61" s="404"/>
      <c r="X61" s="404"/>
      <c r="Y61" s="404"/>
      <c r="Z61" s="404"/>
      <c r="AA61" s="404" t="str">
        <f>IF(S61="","",VLOOKUP(S61,Ref.STD[[Serial No]:[Cer No.]],3,0))</f>
        <v/>
      </c>
      <c r="AB61" s="404"/>
      <c r="AC61" s="404"/>
      <c r="AD61" s="404"/>
      <c r="AE61" s="404"/>
      <c r="AF61" s="404"/>
      <c r="AG61" s="404"/>
      <c r="AH61" s="424" t="str">
        <f>IF(Page1!AN22="","",Page1!AN22)</f>
        <v/>
      </c>
      <c r="AI61" s="424"/>
      <c r="AJ61" s="424"/>
      <c r="AK61" s="424"/>
      <c r="AL61" s="424"/>
      <c r="AM61" s="424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</row>
    <row r="62" spans="1:92" ht="18" customHeight="1">
      <c r="B62" s="81" t="str">
        <f>IF(Page1!$I$23="","",Page1!$I$23)</f>
        <v/>
      </c>
      <c r="C62" s="81"/>
      <c r="D62" s="81"/>
      <c r="E62" s="81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1"/>
      <c r="R62" s="81"/>
      <c r="S62" s="411" t="str">
        <f>IF(Page1!AF23="","",Page1!AF23)</f>
        <v/>
      </c>
      <c r="T62" s="411"/>
      <c r="U62" s="411"/>
      <c r="V62" s="411"/>
      <c r="W62" s="411"/>
      <c r="X62" s="411"/>
      <c r="Y62" s="411"/>
      <c r="Z62" s="411"/>
      <c r="AA62" s="411" t="str">
        <f>IF(S62="","",VLOOKUP(S62,Module[[Serial No]:[Cer No.]],3,0))</f>
        <v/>
      </c>
      <c r="AB62" s="411"/>
      <c r="AC62" s="411"/>
      <c r="AD62" s="411"/>
      <c r="AE62" s="411"/>
      <c r="AF62" s="411"/>
      <c r="AG62" s="411"/>
      <c r="AH62" s="429" t="str">
        <f>IF(Page1!AN23="","",Page1!AN23)</f>
        <v/>
      </c>
      <c r="AI62" s="429"/>
      <c r="AJ62" s="429"/>
      <c r="AK62" s="429"/>
      <c r="AL62" s="429"/>
      <c r="AM62" s="429"/>
      <c r="AO62" s="144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</row>
    <row r="63" spans="1:92" ht="6" customHeight="1">
      <c r="B63" s="16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6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BC63" s="88"/>
      <c r="BD63" s="88"/>
      <c r="BE63" s="88"/>
      <c r="BF63" s="88"/>
      <c r="BG63" s="88"/>
      <c r="BH63" s="88"/>
      <c r="BI63" s="88"/>
      <c r="BJ63" s="88"/>
      <c r="BK63" s="88"/>
      <c r="BL63" s="88"/>
      <c r="BM63" s="88"/>
      <c r="BN63" s="88"/>
      <c r="BO63" s="88"/>
      <c r="BP63" s="88"/>
      <c r="BQ63" s="88"/>
      <c r="BR63" s="88"/>
      <c r="BS63" s="88"/>
      <c r="BT63" s="88"/>
      <c r="BU63" s="88"/>
      <c r="BV63" s="88"/>
      <c r="BW63" s="88"/>
      <c r="BX63" s="88"/>
      <c r="BY63" s="88"/>
      <c r="BZ63" s="88"/>
      <c r="CA63" s="88"/>
      <c r="CB63" s="88"/>
      <c r="CC63" s="88"/>
      <c r="CD63" s="88"/>
      <c r="CE63" s="88"/>
      <c r="CF63" s="88"/>
      <c r="CG63" s="88"/>
      <c r="CH63" s="88"/>
      <c r="CI63" s="88"/>
      <c r="CJ63" s="88"/>
      <c r="CK63" s="88"/>
      <c r="CL63" s="88"/>
      <c r="CM63" s="88"/>
      <c r="CN63" s="88"/>
    </row>
    <row r="64" spans="1:92" s="88" customFormat="1" ht="16.5" customHeight="1">
      <c r="A64" s="85"/>
      <c r="B64" s="86" t="s">
        <v>89</v>
      </c>
      <c r="C64" s="85"/>
      <c r="D64" s="85"/>
      <c r="E64" s="85"/>
      <c r="F64" s="85"/>
      <c r="G64" s="85"/>
      <c r="H64" s="85"/>
      <c r="I64" s="85"/>
      <c r="J64" s="85"/>
      <c r="K64" s="87" t="s">
        <v>29</v>
      </c>
      <c r="L64" s="85"/>
      <c r="M64" s="85"/>
      <c r="N64" s="85"/>
      <c r="O64" s="85"/>
      <c r="P64" s="85"/>
      <c r="Q64" s="85"/>
      <c r="R64" s="85"/>
      <c r="S64" s="85"/>
      <c r="T64" s="85"/>
      <c r="U64" s="85"/>
      <c r="V64" s="85"/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  <c r="AJ64" s="85"/>
      <c r="AK64" s="85"/>
      <c r="AL64" s="85"/>
      <c r="AM64" s="85"/>
      <c r="BB64" s="85"/>
    </row>
    <row r="65" spans="1:92" s="88" customFormat="1" ht="16.5" customHeight="1">
      <c r="A65" s="85"/>
      <c r="B65" s="20" t="str">
        <f>"This equipment was connected with "&amp;IF(Page1!AE13="","",Page1!AE13)</f>
        <v xml:space="preserve">This equipment was connected with </v>
      </c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23"/>
      <c r="Y65" s="23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O65" s="144"/>
      <c r="BB65" s="85"/>
    </row>
    <row r="66" spans="1:92" s="88" customFormat="1" ht="16.5" customHeight="1">
      <c r="A66" s="85"/>
      <c r="B66" s="34" t="s">
        <v>377</v>
      </c>
      <c r="C66" s="10"/>
      <c r="D66" s="10"/>
      <c r="E66" s="10"/>
      <c r="F66" s="10"/>
      <c r="G66" s="10"/>
      <c r="H66" s="10"/>
      <c r="I66" s="10" t="str">
        <f>IF(Page1!AL16="","",Page1!AL16)&amp;" cm."</f>
        <v xml:space="preserve"> cm.</v>
      </c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23"/>
      <c r="Y66" s="23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BB66" s="85"/>
    </row>
    <row r="67" spans="1:92" s="88" customFormat="1" ht="16.5" customHeight="1" thickBot="1">
      <c r="A67" s="85"/>
      <c r="B67" s="11" t="s">
        <v>31</v>
      </c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23"/>
      <c r="W67" s="23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"/>
      <c r="AM67" s="1"/>
      <c r="BB67" s="85"/>
    </row>
    <row r="68" spans="1:92" s="88" customFormat="1" ht="16.5" customHeight="1" thickBot="1">
      <c r="A68" s="85"/>
      <c r="B68" s="395" t="e">
        <f>IF(Page1!AI15="RTD","RTD Sensor",VLOOKUP(Page1!AJ14,STD!P:S,4,0)&amp;IF(Page1!AJ14="Channel: 001",", Function: "&amp;STD!R6,", S/N: "&amp;Page1!AI15&amp;", Sensor: "&amp;IF(Page1!AJ14="1586-2586(026) PRT","PRT, S/N: "&amp;STD!T7,VLOOKUP(Page1!AE13,STD!P:S,2,0))))</f>
        <v>#N/A</v>
      </c>
      <c r="C68" s="396"/>
      <c r="D68" s="396"/>
      <c r="E68" s="396"/>
      <c r="F68" s="396"/>
      <c r="G68" s="396"/>
      <c r="H68" s="396"/>
      <c r="I68" s="396"/>
      <c r="J68" s="396"/>
      <c r="K68" s="396"/>
      <c r="L68" s="396"/>
      <c r="M68" s="396"/>
      <c r="N68" s="396"/>
      <c r="O68" s="396"/>
      <c r="P68" s="396"/>
      <c r="Q68" s="396"/>
      <c r="R68" s="396"/>
      <c r="S68" s="396"/>
      <c r="T68" s="396"/>
      <c r="U68" s="396"/>
      <c r="V68" s="396"/>
      <c r="W68" s="396"/>
      <c r="X68" s="396"/>
      <c r="Y68" s="396"/>
      <c r="Z68" s="396"/>
      <c r="AA68" s="396"/>
      <c r="AB68" s="396"/>
      <c r="AC68" s="396"/>
      <c r="AD68" s="396"/>
      <c r="AE68" s="396"/>
      <c r="AF68" s="396"/>
      <c r="AG68" s="396"/>
      <c r="AH68" s="396"/>
      <c r="AI68" s="396"/>
      <c r="AJ68" s="396"/>
      <c r="AK68" s="396"/>
      <c r="AL68" s="396"/>
      <c r="AM68" s="397"/>
      <c r="BB68" s="85"/>
    </row>
    <row r="69" spans="1:92" s="88" customFormat="1" ht="16.5" customHeight="1" thickBot="1">
      <c r="A69" s="85"/>
      <c r="B69" s="398" t="s">
        <v>379</v>
      </c>
      <c r="C69" s="399"/>
      <c r="D69" s="399"/>
      <c r="E69" s="399"/>
      <c r="F69" s="399"/>
      <c r="G69" s="399"/>
      <c r="H69" s="400"/>
      <c r="I69" s="401" t="s">
        <v>380</v>
      </c>
      <c r="J69" s="401"/>
      <c r="K69" s="401"/>
      <c r="L69" s="401"/>
      <c r="M69" s="401"/>
      <c r="N69" s="401"/>
      <c r="O69" s="401"/>
      <c r="P69" s="401"/>
      <c r="Q69" s="401"/>
      <c r="R69" s="401"/>
      <c r="S69" s="401"/>
      <c r="T69" s="401"/>
      <c r="U69" s="401"/>
      <c r="V69" s="401"/>
      <c r="W69" s="401"/>
      <c r="X69" s="401"/>
      <c r="Y69" s="401"/>
      <c r="Z69" s="401"/>
      <c r="AA69" s="401"/>
      <c r="AB69" s="401"/>
      <c r="AC69" s="401"/>
      <c r="AD69" s="398" t="s">
        <v>381</v>
      </c>
      <c r="AE69" s="399"/>
      <c r="AF69" s="399"/>
      <c r="AG69" s="399"/>
      <c r="AH69" s="400"/>
      <c r="AI69" s="398" t="s">
        <v>32</v>
      </c>
      <c r="AJ69" s="399"/>
      <c r="AK69" s="399"/>
      <c r="AL69" s="399"/>
      <c r="AM69" s="400"/>
      <c r="BB69" s="85"/>
    </row>
    <row r="70" spans="1:92" s="88" customFormat="1" ht="16.5" customHeight="1" thickBot="1">
      <c r="A70" s="85"/>
      <c r="B70" s="425" t="s">
        <v>382</v>
      </c>
      <c r="C70" s="426"/>
      <c r="D70" s="426"/>
      <c r="E70" s="426"/>
      <c r="F70" s="426"/>
      <c r="G70" s="426"/>
      <c r="H70" s="427"/>
      <c r="I70" s="428" t="s">
        <v>383</v>
      </c>
      <c r="J70" s="428"/>
      <c r="K70" s="428"/>
      <c r="L70" s="428"/>
      <c r="M70" s="428"/>
      <c r="N70" s="428"/>
      <c r="O70" s="428"/>
      <c r="P70" s="428" t="s">
        <v>384</v>
      </c>
      <c r="Q70" s="428"/>
      <c r="R70" s="428"/>
      <c r="S70" s="428"/>
      <c r="T70" s="428"/>
      <c r="U70" s="428"/>
      <c r="V70" s="428"/>
      <c r="W70" s="428" t="s">
        <v>79</v>
      </c>
      <c r="X70" s="428"/>
      <c r="Y70" s="428"/>
      <c r="Z70" s="428"/>
      <c r="AA70" s="428"/>
      <c r="AB70" s="428"/>
      <c r="AC70" s="428"/>
      <c r="AD70" s="408" t="s">
        <v>385</v>
      </c>
      <c r="AE70" s="409"/>
      <c r="AF70" s="409"/>
      <c r="AG70" s="409"/>
      <c r="AH70" s="410"/>
      <c r="AI70" s="408" t="s">
        <v>87</v>
      </c>
      <c r="AJ70" s="409"/>
      <c r="AK70" s="409"/>
      <c r="AL70" s="409"/>
      <c r="AM70" s="410"/>
      <c r="BB70" s="85"/>
    </row>
    <row r="71" spans="1:92" s="88" customFormat="1" ht="16.5" customHeight="1">
      <c r="A71" s="85"/>
      <c r="B71" s="393" t="str">
        <f>'Cal Ref'!$F$36</f>
        <v/>
      </c>
      <c r="C71" s="393"/>
      <c r="D71" s="393"/>
      <c r="E71" s="393"/>
      <c r="F71" s="393"/>
      <c r="G71" s="393"/>
      <c r="H71" s="393"/>
      <c r="I71" s="389" t="s">
        <v>396</v>
      </c>
      <c r="J71" s="389"/>
      <c r="K71" s="389"/>
      <c r="L71" s="389"/>
      <c r="M71" s="389"/>
      <c r="N71" s="389"/>
      <c r="O71" s="389"/>
      <c r="P71" s="389" t="str">
        <f>IF('Cal Ref'!$AB$4="","-",('Cal Ref'!$AB$4))</f>
        <v>-</v>
      </c>
      <c r="Q71" s="389"/>
      <c r="R71" s="389"/>
      <c r="S71" s="389"/>
      <c r="T71" s="389"/>
      <c r="U71" s="389"/>
      <c r="V71" s="389"/>
      <c r="W71" s="394" t="str">
        <f>'Cal Ref'!$J$36</f>
        <v/>
      </c>
      <c r="X71" s="394"/>
      <c r="Y71" s="394"/>
      <c r="Z71" s="394"/>
      <c r="AA71" s="394"/>
      <c r="AB71" s="394"/>
      <c r="AC71" s="394"/>
      <c r="AD71" s="393" t="e">
        <f t="shared" ref="AD71" si="0">B71-W71</f>
        <v>#VALUE!</v>
      </c>
      <c r="AE71" s="393"/>
      <c r="AF71" s="393"/>
      <c r="AG71" s="393"/>
      <c r="AH71" s="393"/>
      <c r="AI71" s="393" t="str">
        <f>'Cal Ref'!J$40</f>
        <v>-</v>
      </c>
      <c r="AJ71" s="393"/>
      <c r="AK71" s="393"/>
      <c r="AL71" s="393"/>
      <c r="AM71" s="393"/>
      <c r="BB71" s="85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</row>
    <row r="72" spans="1:92" s="88" customFormat="1" ht="16.5" customHeight="1">
      <c r="A72" s="85"/>
      <c r="B72" s="383" t="str">
        <f>'Cal 1'!$F$21</f>
        <v/>
      </c>
      <c r="C72" s="384"/>
      <c r="D72" s="384"/>
      <c r="E72" s="384"/>
      <c r="F72" s="384"/>
      <c r="G72" s="384"/>
      <c r="H72" s="385"/>
      <c r="I72" s="386" t="s">
        <v>396</v>
      </c>
      <c r="J72" s="387"/>
      <c r="K72" s="387"/>
      <c r="L72" s="387"/>
      <c r="M72" s="387"/>
      <c r="N72" s="387"/>
      <c r="O72" s="388"/>
      <c r="P72" s="389" t="str">
        <f>IF('Cal Ref'!$BB$6=TRUE,'Cal Ref'!$AB$4,STD!$T$8)</f>
        <v>ใส่ S/N ในหน้า Cal Ref ไม่มีก็ใส่ -</v>
      </c>
      <c r="Q72" s="389"/>
      <c r="R72" s="389"/>
      <c r="S72" s="389"/>
      <c r="T72" s="389"/>
      <c r="U72" s="389"/>
      <c r="V72" s="389"/>
      <c r="W72" s="390" t="str">
        <f>'Cal 1'!$J$21</f>
        <v/>
      </c>
      <c r="X72" s="391"/>
      <c r="Y72" s="391"/>
      <c r="Z72" s="391"/>
      <c r="AA72" s="391"/>
      <c r="AB72" s="391"/>
      <c r="AC72" s="392"/>
      <c r="AD72" s="383" t="e">
        <f>B72-W72</f>
        <v>#VALUE!</v>
      </c>
      <c r="AE72" s="384"/>
      <c r="AF72" s="384"/>
      <c r="AG72" s="384"/>
      <c r="AH72" s="385"/>
      <c r="AI72" s="383" t="str">
        <f>'Cal 1'!$J$25</f>
        <v>-</v>
      </c>
      <c r="AJ72" s="384"/>
      <c r="AK72" s="384"/>
      <c r="AL72" s="384"/>
      <c r="AM72" s="385"/>
      <c r="BB72" s="85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</row>
    <row r="73" spans="1:92" s="88" customFormat="1" ht="16.5" customHeight="1">
      <c r="A73" s="85"/>
      <c r="B73" s="383" t="str">
        <f>'Cal 1'!$F$21</f>
        <v/>
      </c>
      <c r="C73" s="384"/>
      <c r="D73" s="384"/>
      <c r="E73" s="384"/>
      <c r="F73" s="384"/>
      <c r="G73" s="384"/>
      <c r="H73" s="385"/>
      <c r="I73" s="386" t="s">
        <v>396</v>
      </c>
      <c r="J73" s="387"/>
      <c r="K73" s="387"/>
      <c r="L73" s="387"/>
      <c r="M73" s="387"/>
      <c r="N73" s="387"/>
      <c r="O73" s="388"/>
      <c r="P73" s="389" t="str">
        <f>IF('Cal Ref'!$BB$6=TRUE,'Cal Ref'!$AB$4,STD!$T$8)</f>
        <v>ใส่ S/N ในหน้า Cal Ref ไม่มีก็ใส่ -</v>
      </c>
      <c r="Q73" s="389"/>
      <c r="R73" s="389"/>
      <c r="S73" s="389"/>
      <c r="T73" s="389"/>
      <c r="U73" s="389"/>
      <c r="V73" s="389"/>
      <c r="W73" s="390" t="str">
        <f>'Cal 1'!$J$21</f>
        <v/>
      </c>
      <c r="X73" s="391"/>
      <c r="Y73" s="391"/>
      <c r="Z73" s="391"/>
      <c r="AA73" s="391"/>
      <c r="AB73" s="391"/>
      <c r="AC73" s="392"/>
      <c r="AD73" s="383" t="e">
        <f t="shared" ref="AD73:AD78" si="1">B73-W73</f>
        <v>#VALUE!</v>
      </c>
      <c r="AE73" s="384"/>
      <c r="AF73" s="384"/>
      <c r="AG73" s="384"/>
      <c r="AH73" s="385"/>
      <c r="AI73" s="383" t="str">
        <f>'Cal 1'!$J$25</f>
        <v>-</v>
      </c>
      <c r="AJ73" s="384"/>
      <c r="AK73" s="384"/>
      <c r="AL73" s="384"/>
      <c r="AM73" s="385"/>
      <c r="BB73" s="85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</row>
    <row r="74" spans="1:92" s="88" customFormat="1" ht="16.5" customHeight="1">
      <c r="A74" s="85"/>
      <c r="B74" s="383" t="str">
        <f>'Cal 1'!$F$21</f>
        <v/>
      </c>
      <c r="C74" s="384"/>
      <c r="D74" s="384"/>
      <c r="E74" s="384"/>
      <c r="F74" s="384"/>
      <c r="G74" s="384"/>
      <c r="H74" s="385"/>
      <c r="I74" s="386" t="s">
        <v>396</v>
      </c>
      <c r="J74" s="387"/>
      <c r="K74" s="387"/>
      <c r="L74" s="387"/>
      <c r="M74" s="387"/>
      <c r="N74" s="387"/>
      <c r="O74" s="388"/>
      <c r="P74" s="389" t="str">
        <f>IF('Cal Ref'!$BB$6=TRUE,'Cal Ref'!$AB$4,STD!$T$8)</f>
        <v>ใส่ S/N ในหน้า Cal Ref ไม่มีก็ใส่ -</v>
      </c>
      <c r="Q74" s="389"/>
      <c r="R74" s="389"/>
      <c r="S74" s="389"/>
      <c r="T74" s="389"/>
      <c r="U74" s="389"/>
      <c r="V74" s="389"/>
      <c r="W74" s="390" t="str">
        <f>'Cal 1'!$J$21</f>
        <v/>
      </c>
      <c r="X74" s="391"/>
      <c r="Y74" s="391"/>
      <c r="Z74" s="391"/>
      <c r="AA74" s="391"/>
      <c r="AB74" s="391"/>
      <c r="AC74" s="392"/>
      <c r="AD74" s="383" t="e">
        <f t="shared" si="1"/>
        <v>#VALUE!</v>
      </c>
      <c r="AE74" s="384"/>
      <c r="AF74" s="384"/>
      <c r="AG74" s="384"/>
      <c r="AH74" s="385"/>
      <c r="AI74" s="383" t="str">
        <f>'Cal 1'!$J$25</f>
        <v>-</v>
      </c>
      <c r="AJ74" s="384"/>
      <c r="AK74" s="384"/>
      <c r="AL74" s="384"/>
      <c r="AM74" s="385"/>
      <c r="BB74" s="85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</row>
    <row r="75" spans="1:92" s="88" customFormat="1" ht="16.5" customHeight="1">
      <c r="A75" s="85"/>
      <c r="B75" s="383" t="str">
        <f>'Cal 1'!$F$21</f>
        <v/>
      </c>
      <c r="C75" s="384"/>
      <c r="D75" s="384"/>
      <c r="E75" s="384"/>
      <c r="F75" s="384"/>
      <c r="G75" s="384"/>
      <c r="H75" s="385"/>
      <c r="I75" s="386" t="s">
        <v>396</v>
      </c>
      <c r="J75" s="387"/>
      <c r="K75" s="387"/>
      <c r="L75" s="387"/>
      <c r="M75" s="387"/>
      <c r="N75" s="387"/>
      <c r="O75" s="388"/>
      <c r="P75" s="389" t="str">
        <f>IF('Cal Ref'!$BB$6=TRUE,'Cal Ref'!$AB$4,STD!$T$8)</f>
        <v>ใส่ S/N ในหน้า Cal Ref ไม่มีก็ใส่ -</v>
      </c>
      <c r="Q75" s="389"/>
      <c r="R75" s="389"/>
      <c r="S75" s="389"/>
      <c r="T75" s="389"/>
      <c r="U75" s="389"/>
      <c r="V75" s="389"/>
      <c r="W75" s="390" t="str">
        <f>'Cal 1'!$J$21</f>
        <v/>
      </c>
      <c r="X75" s="391"/>
      <c r="Y75" s="391"/>
      <c r="Z75" s="391"/>
      <c r="AA75" s="391"/>
      <c r="AB75" s="391"/>
      <c r="AC75" s="392"/>
      <c r="AD75" s="383" t="e">
        <f t="shared" si="1"/>
        <v>#VALUE!</v>
      </c>
      <c r="AE75" s="384"/>
      <c r="AF75" s="384"/>
      <c r="AG75" s="384"/>
      <c r="AH75" s="385"/>
      <c r="AI75" s="383" t="str">
        <f>'Cal 1'!$J$25</f>
        <v>-</v>
      </c>
      <c r="AJ75" s="384"/>
      <c r="AK75" s="384"/>
      <c r="AL75" s="384"/>
      <c r="AM75" s="385"/>
      <c r="BB75" s="85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</row>
    <row r="76" spans="1:92" s="88" customFormat="1" ht="16.5" customHeight="1">
      <c r="A76" s="85"/>
      <c r="B76" s="383" t="str">
        <f>'Cal 1'!$F$21</f>
        <v/>
      </c>
      <c r="C76" s="384"/>
      <c r="D76" s="384"/>
      <c r="E76" s="384"/>
      <c r="F76" s="384"/>
      <c r="G76" s="384"/>
      <c r="H76" s="385"/>
      <c r="I76" s="386" t="s">
        <v>396</v>
      </c>
      <c r="J76" s="387"/>
      <c r="K76" s="387"/>
      <c r="L76" s="387"/>
      <c r="M76" s="387"/>
      <c r="N76" s="387"/>
      <c r="O76" s="388"/>
      <c r="P76" s="389" t="str">
        <f>IF('Cal Ref'!$BB$6=TRUE,'Cal Ref'!$AB$4,STD!$T$8)</f>
        <v>ใส่ S/N ในหน้า Cal Ref ไม่มีก็ใส่ -</v>
      </c>
      <c r="Q76" s="389"/>
      <c r="R76" s="389"/>
      <c r="S76" s="389"/>
      <c r="T76" s="389"/>
      <c r="U76" s="389"/>
      <c r="V76" s="389"/>
      <c r="W76" s="390" t="str">
        <f>'Cal 1'!$J$21</f>
        <v/>
      </c>
      <c r="X76" s="391"/>
      <c r="Y76" s="391"/>
      <c r="Z76" s="391"/>
      <c r="AA76" s="391"/>
      <c r="AB76" s="391"/>
      <c r="AC76" s="392"/>
      <c r="AD76" s="383" t="e">
        <f t="shared" si="1"/>
        <v>#VALUE!</v>
      </c>
      <c r="AE76" s="384"/>
      <c r="AF76" s="384"/>
      <c r="AG76" s="384"/>
      <c r="AH76" s="385"/>
      <c r="AI76" s="383" t="str">
        <f>'Cal 1'!$J$25</f>
        <v>-</v>
      </c>
      <c r="AJ76" s="384"/>
      <c r="AK76" s="384"/>
      <c r="AL76" s="384"/>
      <c r="AM76" s="385"/>
      <c r="BB76" s="85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</row>
    <row r="77" spans="1:92" s="88" customFormat="1" ht="16.5" customHeight="1">
      <c r="A77" s="85"/>
      <c r="B77" s="383" t="str">
        <f>'Cal 1'!$F$21</f>
        <v/>
      </c>
      <c r="C77" s="384"/>
      <c r="D77" s="384"/>
      <c r="E77" s="384"/>
      <c r="F77" s="384"/>
      <c r="G77" s="384"/>
      <c r="H77" s="385"/>
      <c r="I77" s="386" t="s">
        <v>396</v>
      </c>
      <c r="J77" s="387"/>
      <c r="K77" s="387"/>
      <c r="L77" s="387"/>
      <c r="M77" s="387"/>
      <c r="N77" s="387"/>
      <c r="O77" s="388"/>
      <c r="P77" s="389" t="str">
        <f>IF('Cal Ref'!$BB$6=TRUE,'Cal Ref'!$AB$4,STD!$T$8)</f>
        <v>ใส่ S/N ในหน้า Cal Ref ไม่มีก็ใส่ -</v>
      </c>
      <c r="Q77" s="389"/>
      <c r="R77" s="389"/>
      <c r="S77" s="389"/>
      <c r="T77" s="389"/>
      <c r="U77" s="389"/>
      <c r="V77" s="389"/>
      <c r="W77" s="390" t="str">
        <f>'Cal 1'!$J$21</f>
        <v/>
      </c>
      <c r="X77" s="391"/>
      <c r="Y77" s="391"/>
      <c r="Z77" s="391"/>
      <c r="AA77" s="391"/>
      <c r="AB77" s="391"/>
      <c r="AC77" s="392"/>
      <c r="AD77" s="383" t="e">
        <f t="shared" si="1"/>
        <v>#VALUE!</v>
      </c>
      <c r="AE77" s="384"/>
      <c r="AF77" s="384"/>
      <c r="AG77" s="384"/>
      <c r="AH77" s="385"/>
      <c r="AI77" s="383" t="str">
        <f>'Cal 1'!$J$25</f>
        <v>-</v>
      </c>
      <c r="AJ77" s="384"/>
      <c r="AK77" s="384"/>
      <c r="AL77" s="384"/>
      <c r="AM77" s="385"/>
      <c r="BB77" s="85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</row>
    <row r="78" spans="1:92" s="88" customFormat="1" ht="16.5" customHeight="1">
      <c r="A78" s="85"/>
      <c r="B78" s="383" t="str">
        <f>'Cal 1'!$F$21</f>
        <v/>
      </c>
      <c r="C78" s="384"/>
      <c r="D78" s="384"/>
      <c r="E78" s="384"/>
      <c r="F78" s="384"/>
      <c r="G78" s="384"/>
      <c r="H78" s="385"/>
      <c r="I78" s="386" t="s">
        <v>396</v>
      </c>
      <c r="J78" s="387"/>
      <c r="K78" s="387"/>
      <c r="L78" s="387"/>
      <c r="M78" s="387"/>
      <c r="N78" s="387"/>
      <c r="O78" s="388"/>
      <c r="P78" s="389" t="str">
        <f>IF('Cal Ref'!$BB$6=TRUE,'Cal Ref'!$AB$4,STD!$T$8)</f>
        <v>ใส่ S/N ในหน้า Cal Ref ไม่มีก็ใส่ -</v>
      </c>
      <c r="Q78" s="389"/>
      <c r="R78" s="389"/>
      <c r="S78" s="389"/>
      <c r="T78" s="389"/>
      <c r="U78" s="389"/>
      <c r="V78" s="389"/>
      <c r="W78" s="390" t="str">
        <f>'Cal 1'!$J$21</f>
        <v/>
      </c>
      <c r="X78" s="391"/>
      <c r="Y78" s="391"/>
      <c r="Z78" s="391"/>
      <c r="AA78" s="391"/>
      <c r="AB78" s="391"/>
      <c r="AC78" s="392"/>
      <c r="AD78" s="383" t="e">
        <f t="shared" si="1"/>
        <v>#VALUE!</v>
      </c>
      <c r="AE78" s="384"/>
      <c r="AF78" s="384"/>
      <c r="AG78" s="384"/>
      <c r="AH78" s="385"/>
      <c r="AI78" s="383" t="str">
        <f>'Cal 1'!$J$25</f>
        <v>-</v>
      </c>
      <c r="AJ78" s="384"/>
      <c r="AK78" s="384"/>
      <c r="AL78" s="384"/>
      <c r="AM78" s="385"/>
      <c r="BB78" s="85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</row>
    <row r="79" spans="1:92" s="88" customFormat="1" ht="16.5" customHeight="1" thickBot="1">
      <c r="A79" s="85"/>
      <c r="B79" s="413"/>
      <c r="C79" s="413"/>
      <c r="D79" s="413"/>
      <c r="E79" s="413"/>
      <c r="F79" s="413"/>
      <c r="G79" s="413"/>
      <c r="H79" s="413"/>
      <c r="I79" s="413"/>
      <c r="J79" s="413"/>
      <c r="K79" s="413"/>
      <c r="L79" s="413"/>
      <c r="M79" s="413"/>
      <c r="N79" s="413"/>
      <c r="O79" s="413"/>
      <c r="P79" s="413"/>
      <c r="Q79" s="413"/>
      <c r="R79" s="413"/>
      <c r="S79" s="413"/>
      <c r="T79" s="413"/>
      <c r="U79" s="413"/>
      <c r="V79" s="413"/>
      <c r="W79" s="414"/>
      <c r="X79" s="414"/>
      <c r="Y79" s="414"/>
      <c r="Z79" s="414"/>
      <c r="AA79" s="414"/>
      <c r="AB79" s="414"/>
      <c r="AC79" s="414"/>
      <c r="AD79" s="414"/>
      <c r="AE79" s="414"/>
      <c r="AF79" s="414"/>
      <c r="AG79" s="414"/>
      <c r="AH79" s="414"/>
      <c r="AI79" s="415"/>
      <c r="AJ79" s="415"/>
      <c r="AK79" s="415"/>
      <c r="AL79" s="415"/>
      <c r="AM79" s="415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</row>
    <row r="80" spans="1:92" s="88" customFormat="1" ht="16.5" customHeight="1">
      <c r="A80" s="85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45"/>
      <c r="X80" s="145"/>
      <c r="Y80" s="145"/>
      <c r="Z80" s="145"/>
      <c r="AA80" s="145"/>
      <c r="AB80" s="145"/>
      <c r="AC80" s="145"/>
      <c r="AD80" s="145"/>
      <c r="AE80" s="145"/>
      <c r="AF80" s="145"/>
      <c r="AG80" s="145"/>
      <c r="AH80" s="145"/>
      <c r="AI80" s="28"/>
      <c r="AJ80" s="28"/>
      <c r="AK80" s="28"/>
      <c r="AL80" s="28"/>
      <c r="AM80" s="28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</row>
    <row r="81" spans="1:92" s="88" customFormat="1" ht="16.5" customHeight="1">
      <c r="A81" s="85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45"/>
      <c r="X81" s="145"/>
      <c r="Y81" s="145"/>
      <c r="Z81" s="145"/>
      <c r="AA81" s="145"/>
      <c r="AB81" s="145"/>
      <c r="AC81" s="145"/>
      <c r="AD81" s="145"/>
      <c r="AE81" s="145"/>
      <c r="AF81" s="145"/>
      <c r="AG81" s="145"/>
      <c r="AH81" s="145"/>
      <c r="AI81" s="28"/>
      <c r="AJ81" s="28"/>
      <c r="AK81" s="28"/>
      <c r="AL81" s="28"/>
      <c r="AM81" s="28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</row>
    <row r="82" spans="1:92" s="88" customFormat="1" ht="16.5" customHeight="1">
      <c r="A82" s="85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45"/>
      <c r="X82" s="145"/>
      <c r="Y82" s="145"/>
      <c r="Z82" s="145"/>
      <c r="AA82" s="145"/>
      <c r="AB82" s="145"/>
      <c r="AC82" s="145"/>
      <c r="AD82" s="145"/>
      <c r="AE82" s="145"/>
      <c r="AF82" s="145"/>
      <c r="AG82" s="145"/>
      <c r="AH82" s="145"/>
      <c r="AI82" s="28"/>
      <c r="AJ82" s="28"/>
      <c r="AK82" s="28"/>
      <c r="AL82" s="28"/>
      <c r="AM82" s="28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</row>
    <row r="83" spans="1:92" s="88" customFormat="1" ht="16.5" customHeight="1">
      <c r="A83" s="85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45"/>
      <c r="X83" s="145"/>
      <c r="Y83" s="145"/>
      <c r="Z83" s="145"/>
      <c r="AA83" s="145"/>
      <c r="AB83" s="145"/>
      <c r="AC83" s="145"/>
      <c r="AD83" s="145"/>
      <c r="AE83" s="145"/>
      <c r="AF83" s="145"/>
      <c r="AG83" s="145"/>
      <c r="AH83" s="145"/>
      <c r="AI83" s="28"/>
      <c r="AJ83" s="28"/>
      <c r="AK83" s="28"/>
      <c r="AL83" s="28"/>
      <c r="AM83" s="28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</row>
    <row r="84" spans="1:92" s="88" customFormat="1" ht="16.5" customHeight="1">
      <c r="A84" s="85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45"/>
      <c r="X84" s="145"/>
      <c r="Y84" s="145"/>
      <c r="Z84" s="145"/>
      <c r="AA84" s="145"/>
      <c r="AB84" s="145"/>
      <c r="AC84" s="145"/>
      <c r="AD84" s="145"/>
      <c r="AE84" s="145"/>
      <c r="AF84" s="145"/>
      <c r="AG84" s="145"/>
      <c r="AH84" s="145"/>
      <c r="AI84" s="28"/>
      <c r="AJ84" s="28"/>
      <c r="AK84" s="28"/>
      <c r="AL84" s="28"/>
      <c r="AM84" s="28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</row>
    <row r="85" spans="1:92" s="88" customFormat="1" ht="16.5" customHeight="1">
      <c r="A85" s="85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45"/>
      <c r="X85" s="145"/>
      <c r="Y85" s="145"/>
      <c r="Z85" s="145"/>
      <c r="AA85" s="145"/>
      <c r="AB85" s="145"/>
      <c r="AC85" s="145"/>
      <c r="AD85" s="145"/>
      <c r="AE85" s="145"/>
      <c r="AF85" s="145"/>
      <c r="AG85" s="145"/>
      <c r="AH85" s="145"/>
      <c r="AI85" s="28"/>
      <c r="AJ85" s="28"/>
      <c r="AK85" s="28"/>
      <c r="AL85" s="28"/>
      <c r="AM85" s="28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</row>
    <row r="86" spans="1:92" s="88" customFormat="1" ht="16.5" customHeight="1">
      <c r="A86" s="85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45"/>
      <c r="X86" s="145"/>
      <c r="Y86" s="145"/>
      <c r="Z86" s="145"/>
      <c r="AA86" s="145"/>
      <c r="AB86" s="145"/>
      <c r="AC86" s="145"/>
      <c r="AD86" s="145"/>
      <c r="AE86" s="145"/>
      <c r="AF86" s="145"/>
      <c r="AG86" s="145"/>
      <c r="AH86" s="145"/>
      <c r="AI86" s="28"/>
      <c r="AJ86" s="28"/>
      <c r="AK86" s="28"/>
      <c r="AL86" s="28"/>
      <c r="AM86" s="28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</row>
    <row r="87" spans="1:92" s="88" customFormat="1" ht="16.5" customHeight="1">
      <c r="A87" s="85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45"/>
      <c r="X87" s="145"/>
      <c r="Y87" s="145"/>
      <c r="Z87" s="145"/>
      <c r="AA87" s="145"/>
      <c r="AB87" s="145"/>
      <c r="AC87" s="145"/>
      <c r="AD87" s="145"/>
      <c r="AE87" s="145"/>
      <c r="AF87" s="145"/>
      <c r="AG87" s="145"/>
      <c r="AH87" s="145"/>
      <c r="AI87" s="28"/>
      <c r="AJ87" s="28"/>
      <c r="AK87" s="28"/>
      <c r="AL87" s="28"/>
      <c r="AM87" s="28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</row>
    <row r="88" spans="1:92" s="88" customFormat="1" ht="16.5" customHeight="1">
      <c r="A88" s="85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45"/>
      <c r="X88" s="145"/>
      <c r="Y88" s="145"/>
      <c r="Z88" s="145"/>
      <c r="AA88" s="145"/>
      <c r="AB88" s="145"/>
      <c r="AC88" s="145"/>
      <c r="AD88" s="145"/>
      <c r="AE88" s="145"/>
      <c r="AF88" s="145"/>
      <c r="AG88" s="145"/>
      <c r="AH88" s="145"/>
      <c r="AI88" s="28"/>
      <c r="AJ88" s="28"/>
      <c r="AK88" s="28"/>
      <c r="AL88" s="28"/>
      <c r="AM88" s="28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</row>
    <row r="89" spans="1:92" s="88" customFormat="1" ht="16.5" customHeight="1">
      <c r="A89" s="85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45"/>
      <c r="X89" s="145"/>
      <c r="Y89" s="145"/>
      <c r="Z89" s="145"/>
      <c r="AA89" s="145"/>
      <c r="AB89" s="145"/>
      <c r="AC89" s="145"/>
      <c r="AD89" s="145"/>
      <c r="AE89" s="145"/>
      <c r="AF89" s="145"/>
      <c r="AG89" s="145"/>
      <c r="AH89" s="145"/>
      <c r="AI89" s="28"/>
      <c r="AJ89" s="28"/>
      <c r="AK89" s="28"/>
      <c r="AL89" s="28"/>
      <c r="AM89" s="28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</row>
    <row r="90" spans="1:92" s="88" customFormat="1" ht="16.5" customHeight="1">
      <c r="A90" s="85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45"/>
      <c r="X90" s="145"/>
      <c r="Y90" s="145"/>
      <c r="Z90" s="145"/>
      <c r="AA90" s="145"/>
      <c r="AB90" s="145"/>
      <c r="AC90" s="145"/>
      <c r="AD90" s="145"/>
      <c r="AE90" s="145"/>
      <c r="AF90" s="145"/>
      <c r="AG90" s="145"/>
      <c r="AH90" s="145"/>
      <c r="AI90" s="28"/>
      <c r="AJ90" s="28"/>
      <c r="AK90" s="28"/>
      <c r="AL90" s="28"/>
      <c r="AM90" s="28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</row>
    <row r="91" spans="1:92" s="88" customFormat="1" ht="16.5" customHeight="1">
      <c r="A91" s="85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45"/>
      <c r="X91" s="145"/>
      <c r="Y91" s="145"/>
      <c r="Z91" s="145"/>
      <c r="AA91" s="145"/>
      <c r="AB91" s="145"/>
      <c r="AC91" s="145"/>
      <c r="AD91" s="145"/>
      <c r="AE91" s="145"/>
      <c r="AF91" s="145"/>
      <c r="AG91" s="145"/>
      <c r="AH91" s="145"/>
      <c r="AI91" s="28"/>
      <c r="AJ91" s="28"/>
      <c r="AK91" s="28"/>
      <c r="AL91" s="28"/>
      <c r="AM91" s="28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</row>
    <row r="92" spans="1:92" s="88" customFormat="1" ht="16.5" customHeight="1">
      <c r="A92" s="85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45"/>
      <c r="X92" s="145"/>
      <c r="Y92" s="145"/>
      <c r="Z92" s="145"/>
      <c r="AA92" s="145"/>
      <c r="AB92" s="145"/>
      <c r="AC92" s="145"/>
      <c r="AD92" s="145"/>
      <c r="AE92" s="145"/>
      <c r="AF92" s="145"/>
      <c r="AG92" s="145"/>
      <c r="AH92" s="145"/>
      <c r="AI92" s="28"/>
      <c r="AJ92" s="28"/>
      <c r="AK92" s="28"/>
      <c r="AL92" s="28"/>
      <c r="AM92" s="28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</row>
    <row r="93" spans="1:92" s="88" customFormat="1" ht="16.5" customHeight="1">
      <c r="A93" s="85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45"/>
      <c r="X93" s="145"/>
      <c r="Y93" s="145"/>
      <c r="Z93" s="145"/>
      <c r="AA93" s="145"/>
      <c r="AB93" s="145"/>
      <c r="AC93" s="145"/>
      <c r="AD93" s="145"/>
      <c r="AE93" s="145"/>
      <c r="AF93" s="145"/>
      <c r="AG93" s="145"/>
      <c r="AH93" s="145"/>
      <c r="AI93" s="28"/>
      <c r="AJ93" s="28"/>
      <c r="AK93" s="28"/>
      <c r="AL93" s="28"/>
      <c r="AM93" s="28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</row>
    <row r="94" spans="1:92" s="88" customFormat="1" ht="16.5" customHeight="1">
      <c r="A94" s="85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45"/>
      <c r="X94" s="145"/>
      <c r="Y94" s="145"/>
      <c r="Z94" s="145"/>
      <c r="AA94" s="145"/>
      <c r="AB94" s="145"/>
      <c r="AC94" s="145"/>
      <c r="AD94" s="145"/>
      <c r="AE94" s="145"/>
      <c r="AF94" s="145"/>
      <c r="AG94" s="145"/>
      <c r="AH94" s="145"/>
      <c r="AI94" s="28"/>
      <c r="AJ94" s="28"/>
      <c r="AK94" s="28"/>
      <c r="AL94" s="28"/>
      <c r="AM94" s="28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</row>
    <row r="95" spans="1:92" s="88" customFormat="1" ht="16.5" customHeight="1">
      <c r="A95" s="85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45"/>
      <c r="X95" s="145"/>
      <c r="Y95" s="145"/>
      <c r="Z95" s="145"/>
      <c r="AA95" s="145"/>
      <c r="AB95" s="145"/>
      <c r="AC95" s="145"/>
      <c r="AD95" s="145"/>
      <c r="AE95" s="145"/>
      <c r="AF95" s="145"/>
      <c r="AG95" s="145"/>
      <c r="AH95" s="145"/>
      <c r="AI95" s="28"/>
      <c r="AJ95" s="28"/>
      <c r="AK95" s="28"/>
      <c r="AL95" s="28"/>
      <c r="AM95" s="28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</row>
    <row r="96" spans="1:92" ht="16.5" customHeight="1">
      <c r="A96" s="412" t="s">
        <v>439</v>
      </c>
      <c r="B96" s="412"/>
      <c r="C96" s="412"/>
      <c r="D96" s="412"/>
      <c r="E96" s="412"/>
      <c r="F96" s="412"/>
      <c r="G96" s="412"/>
      <c r="H96" s="412"/>
      <c r="I96" s="412"/>
      <c r="J96" s="412"/>
      <c r="K96" s="412"/>
      <c r="L96" s="412"/>
      <c r="M96" s="412"/>
      <c r="N96" s="412"/>
      <c r="O96" s="412"/>
      <c r="P96" s="412"/>
      <c r="Q96" s="412"/>
      <c r="R96" s="412"/>
      <c r="S96" s="412"/>
      <c r="T96" s="412"/>
      <c r="U96" s="412"/>
      <c r="V96" s="412"/>
      <c r="W96" s="412"/>
      <c r="X96" s="412"/>
      <c r="Y96" s="412"/>
      <c r="Z96" s="412"/>
      <c r="AA96" s="412"/>
      <c r="AB96" s="412"/>
      <c r="AC96" s="412"/>
      <c r="AD96" s="412"/>
      <c r="AE96" s="412"/>
      <c r="AF96" s="412"/>
      <c r="AG96" s="412"/>
      <c r="AH96" s="412"/>
      <c r="AI96" s="412"/>
      <c r="AJ96" s="412"/>
      <c r="AK96" s="412"/>
      <c r="AL96" s="412"/>
      <c r="AM96" s="412"/>
    </row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</sheetData>
  <protectedRanges>
    <protectedRange sqref="K64" name="Range1_1_1"/>
  </protectedRanges>
  <mergeCells count="109">
    <mergeCell ref="X46:AH46"/>
    <mergeCell ref="E46:O46"/>
    <mergeCell ref="AH60:AM60"/>
    <mergeCell ref="AH61:AM61"/>
    <mergeCell ref="AD69:AH69"/>
    <mergeCell ref="AI69:AM69"/>
    <mergeCell ref="AA62:AG62"/>
    <mergeCell ref="B70:H70"/>
    <mergeCell ref="I70:O70"/>
    <mergeCell ref="P70:V70"/>
    <mergeCell ref="W70:AC70"/>
    <mergeCell ref="AD70:AH70"/>
    <mergeCell ref="AH62:AM62"/>
    <mergeCell ref="AD74:AH74"/>
    <mergeCell ref="B7:AM8"/>
    <mergeCell ref="J12:AM12"/>
    <mergeCell ref="J16:AM16"/>
    <mergeCell ref="B31:AM31"/>
    <mergeCell ref="E9:K9"/>
    <mergeCell ref="AD14:AM14"/>
    <mergeCell ref="B13:F13"/>
    <mergeCell ref="D10:I10"/>
    <mergeCell ref="J15:W15"/>
    <mergeCell ref="J11:AM11"/>
    <mergeCell ref="J14:W14"/>
    <mergeCell ref="Y9:AH9"/>
    <mergeCell ref="J24:Y24"/>
    <mergeCell ref="AI9:AM9"/>
    <mergeCell ref="J22:Y22"/>
    <mergeCell ref="AC10:AH10"/>
    <mergeCell ref="J23:Y23"/>
    <mergeCell ref="AD15:AM15"/>
    <mergeCell ref="J21:Y21"/>
    <mergeCell ref="C18:AA18"/>
    <mergeCell ref="AI10:AM10"/>
    <mergeCell ref="J28:Q28"/>
    <mergeCell ref="AI57:AM57"/>
    <mergeCell ref="A96:AM96"/>
    <mergeCell ref="AI75:AM75"/>
    <mergeCell ref="B75:H75"/>
    <mergeCell ref="I75:O75"/>
    <mergeCell ref="P75:V75"/>
    <mergeCell ref="W75:AC75"/>
    <mergeCell ref="AD75:AH75"/>
    <mergeCell ref="B79:H79"/>
    <mergeCell ref="I79:O79"/>
    <mergeCell ref="P79:V79"/>
    <mergeCell ref="W79:AC79"/>
    <mergeCell ref="AD79:AH79"/>
    <mergeCell ref="B77:H77"/>
    <mergeCell ref="I77:O77"/>
    <mergeCell ref="P77:V77"/>
    <mergeCell ref="W77:AC77"/>
    <mergeCell ref="AI79:AM79"/>
    <mergeCell ref="AI76:AM76"/>
    <mergeCell ref="AD77:AH77"/>
    <mergeCell ref="AI77:AM77"/>
    <mergeCell ref="B78:H78"/>
    <mergeCell ref="I78:O78"/>
    <mergeCell ref="P78:V78"/>
    <mergeCell ref="W78:AC78"/>
    <mergeCell ref="AD78:AH78"/>
    <mergeCell ref="AI78:AM78"/>
    <mergeCell ref="B37:M37"/>
    <mergeCell ref="D45:P45"/>
    <mergeCell ref="S61:Z61"/>
    <mergeCell ref="AA58:AH58"/>
    <mergeCell ref="S60:Z60"/>
    <mergeCell ref="AA60:AG60"/>
    <mergeCell ref="AA61:AG61"/>
    <mergeCell ref="W45:AI45"/>
    <mergeCell ref="AD73:AH73"/>
    <mergeCell ref="AI71:AM71"/>
    <mergeCell ref="AI73:AM73"/>
    <mergeCell ref="AI74:AM74"/>
    <mergeCell ref="AI58:AM58"/>
    <mergeCell ref="Z57:AH57"/>
    <mergeCell ref="AI70:AM70"/>
    <mergeCell ref="S62:Z62"/>
    <mergeCell ref="P72:V72"/>
    <mergeCell ref="W72:AC72"/>
    <mergeCell ref="AD72:AH72"/>
    <mergeCell ref="I74:O74"/>
    <mergeCell ref="P74:V74"/>
    <mergeCell ref="W74:AC74"/>
    <mergeCell ref="H2:AB2"/>
    <mergeCell ref="H3:AH3"/>
    <mergeCell ref="H4:AB4"/>
    <mergeCell ref="B76:H76"/>
    <mergeCell ref="I76:O76"/>
    <mergeCell ref="P76:V76"/>
    <mergeCell ref="W76:AC76"/>
    <mergeCell ref="AD76:AH76"/>
    <mergeCell ref="B71:H71"/>
    <mergeCell ref="I71:O71"/>
    <mergeCell ref="P71:V71"/>
    <mergeCell ref="W71:AC71"/>
    <mergeCell ref="AD71:AH71"/>
    <mergeCell ref="I73:O73"/>
    <mergeCell ref="P73:V73"/>
    <mergeCell ref="W73:AC73"/>
    <mergeCell ref="B73:H73"/>
    <mergeCell ref="B68:AM68"/>
    <mergeCell ref="B69:H69"/>
    <mergeCell ref="I69:AC69"/>
    <mergeCell ref="B74:H74"/>
    <mergeCell ref="AI72:AM72"/>
    <mergeCell ref="B72:H72"/>
    <mergeCell ref="I72:O72"/>
  </mergeCells>
  <phoneticPr fontId="9" type="noConversion"/>
  <conditionalFormatting sqref="C18">
    <cfRule type="cellIs" dxfId="89" priority="5" operator="equal">
      <formula>0</formula>
    </cfRule>
    <cfRule type="cellIs" dxfId="88" priority="6" operator="equal">
      <formula>0</formula>
    </cfRule>
  </conditionalFormatting>
  <printOptions horizontalCentered="1"/>
  <pageMargins left="0.27559055118110237" right="0.27559055118110237" top="0.23622047244094491" bottom="0.23622047244094491" header="0.31496062992125984" footer="0.19685039370078741"/>
  <pageSetup paperSize="9" orientation="portrait" r:id="rId1"/>
  <headerFooter>
    <oddFooter>&amp;L&amp;"TH Sarabun New,ธรรมดา"&amp;12FM-QP-13-01 R01 (26/09/65) P&amp;P/&amp;N</oddFooter>
  </headerFooter>
  <ignoredErrors>
    <ignoredError sqref="J21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1toCal2small" altText="Click to  Change">
                <anchor moveWithCells="1" sizeWithCells="1">
                  <from>
                    <xdr:col>40</xdr:col>
                    <xdr:colOff>266700</xdr:colOff>
                    <xdr:row>71</xdr:row>
                    <xdr:rowOff>161925</xdr:rowOff>
                  </from>
                  <to>
                    <xdr:col>42</xdr:col>
                    <xdr:colOff>476250</xdr:colOff>
                    <xdr:row>72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al1toCal3small" altText="Click to  Change">
                <anchor moveWithCells="1" sizeWithCells="1">
                  <from>
                    <xdr:col>40</xdr:col>
                    <xdr:colOff>247650</xdr:colOff>
                    <xdr:row>73</xdr:row>
                    <xdr:rowOff>19050</xdr:rowOff>
                  </from>
                  <to>
                    <xdr:col>42</xdr:col>
                    <xdr:colOff>457200</xdr:colOff>
                    <xdr:row>74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al1toCal4small" altText="Click to  Change">
                <anchor moveWithCells="1" sizeWithCells="1">
                  <from>
                    <xdr:col>40</xdr:col>
                    <xdr:colOff>238125</xdr:colOff>
                    <xdr:row>74</xdr:row>
                    <xdr:rowOff>104775</xdr:rowOff>
                  </from>
                  <to>
                    <xdr:col>42</xdr:col>
                    <xdr:colOff>447675</xdr:colOff>
                    <xdr:row>75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al1toCal5small" altText="Click to  Change">
                <anchor moveWithCells="1" sizeWithCells="1">
                  <from>
                    <xdr:col>40</xdr:col>
                    <xdr:colOff>257175</xdr:colOff>
                    <xdr:row>75</xdr:row>
                    <xdr:rowOff>152400</xdr:rowOff>
                  </from>
                  <to>
                    <xdr:col>42</xdr:col>
                    <xdr:colOff>466725</xdr:colOff>
                    <xdr:row>76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Cal1toCal6small" altText="Click to  Change">
                <anchor moveWithCells="1" sizeWithCells="1">
                  <from>
                    <xdr:col>40</xdr:col>
                    <xdr:colOff>247650</xdr:colOff>
                    <xdr:row>77</xdr:row>
                    <xdr:rowOff>19050</xdr:rowOff>
                  </from>
                  <to>
                    <xdr:col>42</xdr:col>
                    <xdr:colOff>457200</xdr:colOff>
                    <xdr:row>78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Cal1toCal7small" altText="Click to  Change">
                <anchor moveWithCells="1" sizeWithCells="1">
                  <from>
                    <xdr:col>40</xdr:col>
                    <xdr:colOff>266700</xdr:colOff>
                    <xdr:row>78</xdr:row>
                    <xdr:rowOff>95250</xdr:rowOff>
                  </from>
                  <to>
                    <xdr:col>42</xdr:col>
                    <xdr:colOff>476250</xdr:colOff>
                    <xdr:row>79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Y309"/>
  <sheetViews>
    <sheetView zoomScaleNormal="100" workbookViewId="0">
      <selection activeCell="J14" sqref="J14:W14"/>
    </sheetView>
  </sheetViews>
  <sheetFormatPr defaultColWidth="9.140625" defaultRowHeight="18.75"/>
  <cols>
    <col min="1" max="1" width="1.28515625" style="10" customWidth="1"/>
    <col min="2" max="77" width="2.5703125" style="10" customWidth="1"/>
    <col min="78" max="16384" width="9.140625" style="1"/>
  </cols>
  <sheetData>
    <row r="1" spans="1:77" ht="8.25" customHeight="1"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</row>
    <row r="2" spans="1:77" ht="19.5" customHeight="1">
      <c r="B2" s="151"/>
      <c r="C2" s="152"/>
      <c r="D2" s="152"/>
      <c r="E2" s="152"/>
      <c r="F2" s="152"/>
      <c r="G2" s="151"/>
      <c r="H2" s="382" t="s">
        <v>454</v>
      </c>
      <c r="I2" s="382"/>
      <c r="J2" s="382"/>
      <c r="K2" s="382"/>
      <c r="L2" s="382"/>
      <c r="M2" s="382"/>
      <c r="N2" s="382"/>
      <c r="O2" s="382"/>
      <c r="P2" s="382"/>
      <c r="Q2" s="382"/>
      <c r="R2" s="382"/>
      <c r="S2" s="382"/>
      <c r="T2" s="382"/>
      <c r="U2" s="382"/>
      <c r="V2" s="382"/>
      <c r="W2" s="382"/>
      <c r="X2" s="382"/>
      <c r="Y2" s="382"/>
      <c r="Z2" s="382"/>
      <c r="AA2" s="382"/>
      <c r="AB2" s="382"/>
      <c r="AC2" s="152"/>
      <c r="AD2" s="152"/>
      <c r="AE2" s="152"/>
      <c r="AF2" s="152"/>
      <c r="AG2" s="152"/>
      <c r="AH2" s="152"/>
      <c r="AI2" s="152"/>
      <c r="AJ2" s="152"/>
      <c r="AK2" s="152"/>
      <c r="AL2" s="152"/>
      <c r="AM2" s="152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</row>
    <row r="3" spans="1:77" ht="19.5" customHeight="1">
      <c r="B3" s="151"/>
      <c r="C3" s="151"/>
      <c r="D3" s="151"/>
      <c r="E3" s="151"/>
      <c r="F3" s="151"/>
      <c r="G3" s="151"/>
      <c r="H3" s="382" t="s">
        <v>455</v>
      </c>
      <c r="I3" s="382"/>
      <c r="J3" s="382"/>
      <c r="K3" s="382"/>
      <c r="L3" s="382"/>
      <c r="M3" s="382"/>
      <c r="N3" s="382"/>
      <c r="O3" s="382"/>
      <c r="P3" s="382"/>
      <c r="Q3" s="382"/>
      <c r="R3" s="382"/>
      <c r="S3" s="382"/>
      <c r="T3" s="382"/>
      <c r="U3" s="382"/>
      <c r="V3" s="382"/>
      <c r="W3" s="382"/>
      <c r="X3" s="382"/>
      <c r="Y3" s="382"/>
      <c r="Z3" s="382"/>
      <c r="AA3" s="382"/>
      <c r="AB3" s="382"/>
      <c r="AC3" s="382"/>
      <c r="AD3" s="382"/>
      <c r="AE3" s="382"/>
      <c r="AF3" s="382"/>
      <c r="AG3" s="382"/>
      <c r="AH3" s="382"/>
      <c r="AI3" s="151"/>
      <c r="AJ3" s="151"/>
      <c r="AK3" s="151"/>
      <c r="AL3" s="151"/>
      <c r="AM3" s="15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</row>
    <row r="4" spans="1:77" ht="15.75" customHeight="1">
      <c r="B4" s="151"/>
      <c r="C4" s="151"/>
      <c r="D4" s="151"/>
      <c r="E4" s="151"/>
      <c r="F4" s="151"/>
      <c r="G4" s="151"/>
      <c r="H4" s="382" t="s">
        <v>456</v>
      </c>
      <c r="I4" s="382"/>
      <c r="J4" s="382"/>
      <c r="K4" s="382"/>
      <c r="L4" s="382"/>
      <c r="M4" s="382"/>
      <c r="N4" s="382"/>
      <c r="O4" s="382"/>
      <c r="P4" s="382"/>
      <c r="Q4" s="382"/>
      <c r="R4" s="382"/>
      <c r="S4" s="382"/>
      <c r="T4" s="382"/>
      <c r="U4" s="382"/>
      <c r="V4" s="382"/>
      <c r="W4" s="382"/>
      <c r="X4" s="382"/>
      <c r="Y4" s="382"/>
      <c r="Z4" s="382"/>
      <c r="AA4" s="382"/>
      <c r="AB4" s="382"/>
      <c r="AC4" s="151"/>
      <c r="AD4" s="151"/>
      <c r="AE4" s="151"/>
      <c r="AF4" s="151"/>
      <c r="AG4" s="151"/>
      <c r="AH4" s="151"/>
      <c r="AI4" s="151"/>
      <c r="AJ4" s="151"/>
      <c r="AK4" s="151"/>
      <c r="AL4" s="151"/>
      <c r="AM4" s="15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</row>
    <row r="5" spans="1:77" ht="15.75" customHeight="1">
      <c r="H5" s="153" t="s">
        <v>457</v>
      </c>
      <c r="I5" s="3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</row>
    <row r="6" spans="1:77" ht="21.75" customHeight="1">
      <c r="B6" s="7"/>
      <c r="C6" s="7"/>
      <c r="D6" s="7"/>
      <c r="E6" s="7"/>
      <c r="F6" s="7"/>
      <c r="G6" s="7"/>
      <c r="H6" s="160" t="s">
        <v>71</v>
      </c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54"/>
      <c r="AA6" s="154"/>
      <c r="AB6" s="154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</row>
    <row r="7" spans="1:77" ht="21.75" customHeight="1">
      <c r="B7" s="416" t="s">
        <v>52</v>
      </c>
      <c r="C7" s="416"/>
      <c r="D7" s="416"/>
      <c r="E7" s="416"/>
      <c r="F7" s="416"/>
      <c r="G7" s="416"/>
      <c r="H7" s="416"/>
      <c r="I7" s="416"/>
      <c r="J7" s="416"/>
      <c r="K7" s="416"/>
      <c r="L7" s="416"/>
      <c r="M7" s="416"/>
      <c r="N7" s="416"/>
      <c r="O7" s="416"/>
      <c r="P7" s="416"/>
      <c r="Q7" s="416"/>
      <c r="R7" s="416"/>
      <c r="S7" s="416"/>
      <c r="T7" s="416"/>
      <c r="U7" s="416"/>
      <c r="V7" s="416"/>
      <c r="W7" s="416"/>
      <c r="X7" s="416"/>
      <c r="Y7" s="416"/>
      <c r="Z7" s="416"/>
      <c r="AA7" s="416"/>
      <c r="AB7" s="416"/>
      <c r="AC7" s="416"/>
      <c r="AD7" s="416"/>
      <c r="AE7" s="416"/>
      <c r="AF7" s="416"/>
      <c r="AG7" s="416"/>
      <c r="AH7" s="416"/>
      <c r="AI7" s="416"/>
      <c r="AJ7" s="416"/>
      <c r="AK7" s="416"/>
      <c r="AL7" s="416"/>
      <c r="AM7" s="416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</row>
    <row r="8" spans="1:77" ht="21.75" customHeight="1">
      <c r="B8" s="416"/>
      <c r="C8" s="416"/>
      <c r="D8" s="416"/>
      <c r="E8" s="416"/>
      <c r="F8" s="416"/>
      <c r="G8" s="416"/>
      <c r="H8" s="416"/>
      <c r="I8" s="416"/>
      <c r="J8" s="416"/>
      <c r="K8" s="416"/>
      <c r="L8" s="416"/>
      <c r="M8" s="416"/>
      <c r="N8" s="416"/>
      <c r="O8" s="416"/>
      <c r="P8" s="416"/>
      <c r="Q8" s="416"/>
      <c r="R8" s="416"/>
      <c r="S8" s="416"/>
      <c r="T8" s="416"/>
      <c r="U8" s="416"/>
      <c r="V8" s="416"/>
      <c r="W8" s="416"/>
      <c r="X8" s="416"/>
      <c r="Y8" s="416"/>
      <c r="Z8" s="416"/>
      <c r="AA8" s="416"/>
      <c r="AB8" s="416"/>
      <c r="AC8" s="416"/>
      <c r="AD8" s="416"/>
      <c r="AE8" s="416"/>
      <c r="AF8" s="416"/>
      <c r="AG8" s="416"/>
      <c r="AH8" s="416"/>
      <c r="AI8" s="416"/>
      <c r="AJ8" s="416"/>
      <c r="AK8" s="416"/>
      <c r="AL8" s="416"/>
      <c r="AM8" s="416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</row>
    <row r="9" spans="1:77" s="2" customFormat="1" ht="18" customHeight="1">
      <c r="A9" s="12"/>
      <c r="B9" s="12"/>
      <c r="C9" s="12"/>
      <c r="D9" s="12"/>
      <c r="E9" s="419"/>
      <c r="F9" s="419"/>
      <c r="G9" s="419"/>
      <c r="H9" s="419"/>
      <c r="I9" s="419"/>
      <c r="J9" s="419"/>
      <c r="K9" s="419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405" t="s">
        <v>38</v>
      </c>
      <c r="Z9" s="405"/>
      <c r="AA9" s="405"/>
      <c r="AB9" s="405"/>
      <c r="AC9" s="405"/>
      <c r="AD9" s="405"/>
      <c r="AE9" s="405"/>
      <c r="AF9" s="405"/>
      <c r="AG9" s="405"/>
      <c r="AH9" s="405"/>
      <c r="AI9" s="423" t="str">
        <f>IF(Page1!AO6=""," "&amp;Page1!AO4&amp;Page1!AR4&amp;" "&amp;Page1!AT4," "&amp;Page1!AO4&amp;Page1!AR4&amp;" "&amp;"R"&amp;Page1!AO6)</f>
        <v xml:space="preserve"> /69 </v>
      </c>
      <c r="AJ9" s="423"/>
      <c r="AK9" s="423"/>
      <c r="AL9" s="423"/>
      <c r="AM9" s="423"/>
    </row>
    <row r="10" spans="1:77" ht="18" customHeight="1">
      <c r="D10" s="421"/>
      <c r="E10" s="421"/>
      <c r="F10" s="421"/>
      <c r="G10" s="421"/>
      <c r="H10" s="421"/>
      <c r="I10" s="421"/>
      <c r="AC10" s="405" t="s">
        <v>39</v>
      </c>
      <c r="AD10" s="405"/>
      <c r="AE10" s="405"/>
      <c r="AF10" s="405"/>
      <c r="AG10" s="405"/>
      <c r="AH10" s="405"/>
      <c r="AI10" s="407" t="s">
        <v>440</v>
      </c>
      <c r="AJ10" s="407"/>
      <c r="AK10" s="407"/>
      <c r="AL10" s="407"/>
      <c r="AM10" s="407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</row>
    <row r="11" spans="1:77" ht="18" customHeight="1">
      <c r="B11" s="11" t="s">
        <v>59</v>
      </c>
      <c r="C11" s="11"/>
      <c r="D11" s="11"/>
      <c r="E11" s="11"/>
      <c r="F11" s="11"/>
      <c r="G11" s="12"/>
      <c r="H11" s="12"/>
      <c r="I11" s="11" t="s">
        <v>54</v>
      </c>
      <c r="J11" s="417" t="str">
        <f>IF(Page1!$I$8="","",Page1!$I$8)</f>
        <v/>
      </c>
      <c r="K11" s="417"/>
      <c r="L11" s="417"/>
      <c r="M11" s="417"/>
      <c r="N11" s="417"/>
      <c r="O11" s="417"/>
      <c r="P11" s="417"/>
      <c r="Q11" s="417"/>
      <c r="R11" s="417"/>
      <c r="S11" s="417"/>
      <c r="T11" s="417"/>
      <c r="U11" s="417"/>
      <c r="V11" s="417"/>
      <c r="W11" s="417"/>
      <c r="X11" s="417"/>
      <c r="Y11" s="417"/>
      <c r="Z11" s="417"/>
      <c r="AA11" s="417"/>
      <c r="AB11" s="417"/>
      <c r="AC11" s="417"/>
      <c r="AD11" s="417"/>
      <c r="AE11" s="417"/>
      <c r="AF11" s="417"/>
      <c r="AG11" s="417"/>
      <c r="AH11" s="417"/>
      <c r="AI11" s="417"/>
      <c r="AJ11" s="417"/>
      <c r="AK11" s="417"/>
      <c r="AL11" s="417"/>
      <c r="AM11" s="417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</row>
    <row r="12" spans="1:77" ht="18" customHeight="1">
      <c r="B12" s="11"/>
      <c r="C12" s="11"/>
      <c r="D12" s="11"/>
      <c r="E12" s="11"/>
      <c r="F12" s="11"/>
      <c r="G12" s="12"/>
      <c r="H12" s="12"/>
      <c r="J12" s="417" t="str">
        <f>IF(Page1!$I$9="","",Page1!$I$9&amp;", "&amp;Page1!$I$10)</f>
        <v/>
      </c>
      <c r="K12" s="417"/>
      <c r="L12" s="417"/>
      <c r="M12" s="417"/>
      <c r="N12" s="417"/>
      <c r="O12" s="417"/>
      <c r="P12" s="417"/>
      <c r="Q12" s="417"/>
      <c r="R12" s="417"/>
      <c r="S12" s="417"/>
      <c r="T12" s="417"/>
      <c r="U12" s="417"/>
      <c r="V12" s="417"/>
      <c r="W12" s="417"/>
      <c r="X12" s="417"/>
      <c r="Y12" s="417"/>
      <c r="Z12" s="417"/>
      <c r="AA12" s="417"/>
      <c r="AB12" s="417"/>
      <c r="AC12" s="417"/>
      <c r="AD12" s="417"/>
      <c r="AE12" s="417"/>
      <c r="AF12" s="417"/>
      <c r="AG12" s="417"/>
      <c r="AH12" s="417"/>
      <c r="AI12" s="417"/>
      <c r="AJ12" s="417"/>
      <c r="AK12" s="417"/>
      <c r="AL12" s="417"/>
      <c r="AM12" s="417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</row>
    <row r="13" spans="1:77" ht="18" customHeight="1">
      <c r="B13" s="402" t="s">
        <v>53</v>
      </c>
      <c r="C13" s="402"/>
      <c r="D13" s="402"/>
      <c r="E13" s="402"/>
      <c r="F13" s="402"/>
      <c r="G13" s="12"/>
      <c r="H13" s="12"/>
      <c r="I13" s="11" t="s">
        <v>54</v>
      </c>
      <c r="J13" s="6" t="str">
        <f>IF(Page1!I11="","",Page1!I11)</f>
        <v/>
      </c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</row>
    <row r="14" spans="1:77" ht="18" customHeight="1">
      <c r="B14" s="11" t="s">
        <v>55</v>
      </c>
      <c r="C14" s="11"/>
      <c r="D14" s="11"/>
      <c r="E14" s="11"/>
      <c r="F14" s="11"/>
      <c r="G14" s="12"/>
      <c r="H14" s="12"/>
      <c r="I14" s="11" t="s">
        <v>54</v>
      </c>
      <c r="J14" s="420" t="str">
        <f>IF(Page1!I12="","",Page1!I12)</f>
        <v/>
      </c>
      <c r="K14" s="420"/>
      <c r="L14" s="420"/>
      <c r="M14" s="420"/>
      <c r="N14" s="420"/>
      <c r="O14" s="420"/>
      <c r="P14" s="420"/>
      <c r="Q14" s="420"/>
      <c r="R14" s="420"/>
      <c r="S14" s="420"/>
      <c r="T14" s="420"/>
      <c r="U14" s="420"/>
      <c r="V14" s="420"/>
      <c r="W14" s="420"/>
      <c r="X14" s="11" t="s">
        <v>56</v>
      </c>
      <c r="Y14" s="12"/>
      <c r="Z14" s="12"/>
      <c r="AA14" s="12"/>
      <c r="AB14" s="12"/>
      <c r="AC14" s="11" t="s">
        <v>54</v>
      </c>
      <c r="AD14" s="420" t="str">
        <f>IF(Page1!I13="","",Page1!I13)</f>
        <v/>
      </c>
      <c r="AE14" s="420"/>
      <c r="AF14" s="420"/>
      <c r="AG14" s="420"/>
      <c r="AH14" s="420"/>
      <c r="AI14" s="420"/>
      <c r="AJ14" s="420"/>
      <c r="AK14" s="420"/>
      <c r="AL14" s="420"/>
      <c r="AM14" s="420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</row>
    <row r="15" spans="1:77" ht="18" customHeight="1">
      <c r="B15" s="11" t="s">
        <v>58</v>
      </c>
      <c r="C15" s="11"/>
      <c r="D15" s="11"/>
      <c r="E15" s="11"/>
      <c r="F15" s="11"/>
      <c r="G15" s="12"/>
      <c r="H15" s="12"/>
      <c r="I15" s="11" t="s">
        <v>54</v>
      </c>
      <c r="J15" s="417" t="str">
        <f>IF(Page1!I14="","",Page1!I14)</f>
        <v/>
      </c>
      <c r="K15" s="417"/>
      <c r="L15" s="417"/>
      <c r="M15" s="417"/>
      <c r="N15" s="417"/>
      <c r="O15" s="417"/>
      <c r="P15" s="417"/>
      <c r="Q15" s="417"/>
      <c r="R15" s="417"/>
      <c r="S15" s="417"/>
      <c r="T15" s="417"/>
      <c r="U15" s="417"/>
      <c r="V15" s="417"/>
      <c r="W15" s="417"/>
      <c r="X15" s="11" t="s">
        <v>57</v>
      </c>
      <c r="Y15" s="12"/>
      <c r="Z15" s="12"/>
      <c r="AA15" s="12"/>
      <c r="AB15" s="12"/>
      <c r="AC15" s="11" t="s">
        <v>54</v>
      </c>
      <c r="AD15" s="417" t="str">
        <f>IF(Page1!I15="","-",Page1!I15)</f>
        <v>-</v>
      </c>
      <c r="AE15" s="417"/>
      <c r="AF15" s="417"/>
      <c r="AG15" s="417"/>
      <c r="AH15" s="417"/>
      <c r="AI15" s="417"/>
      <c r="AJ15" s="417"/>
      <c r="AK15" s="417"/>
      <c r="AL15" s="417"/>
      <c r="AM15" s="417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</row>
    <row r="16" spans="1:77" ht="18" customHeight="1">
      <c r="B16" s="11" t="s">
        <v>550</v>
      </c>
      <c r="D16" s="11"/>
      <c r="E16" s="11"/>
      <c r="F16" s="11"/>
      <c r="G16" s="12"/>
      <c r="H16" s="12"/>
      <c r="I16" s="11" t="s">
        <v>54</v>
      </c>
      <c r="J16" s="417" t="str">
        <f>IF(Page1!AB17="","",Page1!AB17)</f>
        <v/>
      </c>
      <c r="K16" s="417"/>
      <c r="L16" s="417"/>
      <c r="M16" s="417"/>
      <c r="N16" s="417"/>
      <c r="O16" s="417"/>
      <c r="P16" s="417"/>
      <c r="Q16" s="417"/>
      <c r="R16" s="417"/>
      <c r="S16" s="417"/>
      <c r="T16" s="417"/>
      <c r="U16" s="417"/>
      <c r="V16" s="417"/>
      <c r="W16" s="417"/>
      <c r="X16" s="417"/>
      <c r="Y16" s="417"/>
      <c r="Z16" s="417"/>
      <c r="AA16" s="417"/>
      <c r="AB16" s="417"/>
      <c r="AC16" s="417"/>
      <c r="AD16" s="417"/>
      <c r="AE16" s="417"/>
      <c r="AF16" s="417"/>
      <c r="AG16" s="417"/>
      <c r="AH16" s="417"/>
      <c r="AI16" s="417"/>
      <c r="AJ16" s="417"/>
      <c r="AK16" s="417"/>
      <c r="AL16" s="417"/>
      <c r="AM16" s="417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</row>
    <row r="17" spans="2:77" ht="18" customHeight="1">
      <c r="B17" s="30" t="s">
        <v>304</v>
      </c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2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</row>
    <row r="18" spans="2:77" ht="18" customHeight="1">
      <c r="C18" s="418" t="str">
        <f>IF(Page1!AG19="","Normal condition, no indication find for any damage or malfunction",Page1!AG19)</f>
        <v>Normal condition, no indication find for any damage or malfunction</v>
      </c>
      <c r="D18" s="418"/>
      <c r="E18" s="418"/>
      <c r="F18" s="418"/>
      <c r="G18" s="418"/>
      <c r="H18" s="418"/>
      <c r="I18" s="418"/>
      <c r="J18" s="418"/>
      <c r="K18" s="418"/>
      <c r="L18" s="418"/>
      <c r="M18" s="418"/>
      <c r="N18" s="418"/>
      <c r="O18" s="418"/>
      <c r="P18" s="418"/>
      <c r="Q18" s="418"/>
      <c r="R18" s="418"/>
      <c r="S18" s="418"/>
      <c r="T18" s="418"/>
      <c r="U18" s="418"/>
      <c r="V18" s="418"/>
      <c r="W18" s="418"/>
      <c r="X18" s="418"/>
      <c r="Y18" s="418"/>
      <c r="Z18" s="418"/>
      <c r="AA18" s="418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</row>
    <row r="19" spans="2:77" ht="6" customHeight="1"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</row>
    <row r="20" spans="2:77" ht="6" customHeight="1">
      <c r="C20" s="11"/>
      <c r="D20" s="11"/>
      <c r="E20" s="1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</row>
    <row r="21" spans="2:77" ht="17.25" customHeight="1">
      <c r="B21" s="11" t="s">
        <v>61</v>
      </c>
      <c r="C21" s="11"/>
      <c r="I21" s="11" t="s">
        <v>54</v>
      </c>
      <c r="J21" s="418" t="str">
        <f>IF(Page1!AO5="","",Page1!AO5)</f>
        <v/>
      </c>
      <c r="K21" s="418"/>
      <c r="L21" s="418"/>
      <c r="M21" s="418"/>
      <c r="N21" s="418"/>
      <c r="O21" s="418"/>
      <c r="P21" s="418"/>
      <c r="Q21" s="418"/>
      <c r="R21" s="418"/>
      <c r="S21" s="418"/>
      <c r="T21" s="418"/>
      <c r="U21" s="418"/>
      <c r="V21" s="418"/>
      <c r="W21" s="418"/>
      <c r="X21" s="418"/>
      <c r="Y21" s="418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</row>
    <row r="22" spans="2:77" ht="17.25" customHeight="1">
      <c r="B22" s="11" t="s">
        <v>62</v>
      </c>
      <c r="C22" s="11"/>
      <c r="I22" s="11" t="s">
        <v>54</v>
      </c>
      <c r="J22" s="422" t="str">
        <f>IF(Page1!I16="","",Page1!I16)</f>
        <v/>
      </c>
      <c r="K22" s="422"/>
      <c r="L22" s="422"/>
      <c r="M22" s="422"/>
      <c r="N22" s="422"/>
      <c r="O22" s="422"/>
      <c r="P22" s="422"/>
      <c r="Q22" s="422"/>
      <c r="R22" s="422"/>
      <c r="S22" s="422"/>
      <c r="T22" s="422"/>
      <c r="U22" s="422"/>
      <c r="V22" s="422"/>
      <c r="W22" s="422"/>
      <c r="X22" s="422"/>
      <c r="Y22" s="422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</row>
    <row r="23" spans="2:77" ht="17.25" customHeight="1">
      <c r="B23" s="11" t="s">
        <v>63</v>
      </c>
      <c r="C23" s="11"/>
      <c r="D23" s="11"/>
      <c r="E23" s="11"/>
      <c r="F23" s="11"/>
      <c r="G23" s="11"/>
      <c r="I23" s="11" t="s">
        <v>54</v>
      </c>
      <c r="J23" s="422" t="str">
        <f>IF(Page1!I17="","",Page1!I17)</f>
        <v/>
      </c>
      <c r="K23" s="422"/>
      <c r="L23" s="422"/>
      <c r="M23" s="422"/>
      <c r="N23" s="422"/>
      <c r="O23" s="422"/>
      <c r="P23" s="422"/>
      <c r="Q23" s="422"/>
      <c r="R23" s="422"/>
      <c r="S23" s="422"/>
      <c r="T23" s="422"/>
      <c r="U23" s="422"/>
      <c r="V23" s="422"/>
      <c r="W23" s="422"/>
      <c r="X23" s="422"/>
      <c r="Y23" s="422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</row>
    <row r="24" spans="2:77" ht="17.25" customHeight="1">
      <c r="B24" s="11" t="s">
        <v>60</v>
      </c>
      <c r="C24" s="11"/>
      <c r="I24" s="11" t="s">
        <v>54</v>
      </c>
      <c r="J24" s="422" t="str">
        <f ca="1">IF(Page1!$I$18="","",Page1!$I$18)</f>
        <v/>
      </c>
      <c r="K24" s="422"/>
      <c r="L24" s="422"/>
      <c r="M24" s="422"/>
      <c r="N24" s="422"/>
      <c r="O24" s="422"/>
      <c r="P24" s="422"/>
      <c r="Q24" s="422"/>
      <c r="R24" s="422"/>
      <c r="S24" s="422"/>
      <c r="T24" s="422"/>
      <c r="U24" s="422"/>
      <c r="V24" s="422"/>
      <c r="W24" s="422"/>
      <c r="X24" s="422"/>
      <c r="Y24" s="422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</row>
    <row r="25" spans="2:77" ht="6.75" customHeight="1"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</row>
    <row r="26" spans="2:77" ht="6" customHeight="1"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</row>
    <row r="27" spans="2:77" ht="18" customHeight="1">
      <c r="B27" s="30" t="s">
        <v>30</v>
      </c>
      <c r="C27" s="30"/>
      <c r="D27" s="15"/>
      <c r="E27" s="15"/>
      <c r="F27" s="15"/>
      <c r="G27" s="15"/>
      <c r="H27" s="15"/>
      <c r="I27" s="13" t="s">
        <v>54</v>
      </c>
      <c r="J27" s="20" t="s">
        <v>64</v>
      </c>
      <c r="K27" s="20"/>
      <c r="L27" s="20"/>
      <c r="M27" s="20"/>
      <c r="N27" s="20"/>
      <c r="O27" s="20"/>
      <c r="P27" s="20"/>
      <c r="Q27" s="12"/>
      <c r="R27" s="12"/>
      <c r="S27" s="10" t="s">
        <v>481</v>
      </c>
      <c r="T27" s="6"/>
      <c r="U27" s="6"/>
      <c r="V27" s="6"/>
      <c r="W27" s="6"/>
      <c r="X27" s="11"/>
      <c r="Y27" s="11"/>
      <c r="Z27" s="11"/>
      <c r="AA27" s="11"/>
      <c r="AB27" s="1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</row>
    <row r="28" spans="2:77" ht="18" customHeight="1">
      <c r="B28" s="12"/>
      <c r="C28" s="12"/>
      <c r="D28" s="12"/>
      <c r="E28" s="12"/>
      <c r="F28" s="12"/>
      <c r="G28" s="12"/>
      <c r="H28" s="12"/>
      <c r="I28" s="12"/>
      <c r="J28" s="418" t="s">
        <v>40</v>
      </c>
      <c r="K28" s="418"/>
      <c r="L28" s="418"/>
      <c r="M28" s="418"/>
      <c r="N28" s="418"/>
      <c r="O28" s="418"/>
      <c r="P28" s="418"/>
      <c r="Q28" s="418"/>
      <c r="R28" s="12"/>
      <c r="S28" s="32" t="s">
        <v>86</v>
      </c>
      <c r="T28" s="31"/>
      <c r="U28" s="31"/>
      <c r="V28" s="31"/>
      <c r="W28" s="3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</row>
    <row r="29" spans="2:77" ht="6" customHeight="1">
      <c r="B29" s="17"/>
      <c r="C29" s="17"/>
      <c r="D29" s="17"/>
      <c r="E29" s="17"/>
      <c r="F29" s="17"/>
      <c r="G29" s="17"/>
      <c r="H29" s="17"/>
      <c r="I29" s="17"/>
      <c r="J29" s="18"/>
      <c r="K29" s="18"/>
      <c r="L29" s="18"/>
      <c r="M29" s="18"/>
      <c r="N29" s="18"/>
      <c r="O29" s="18"/>
      <c r="P29" s="18"/>
      <c r="Q29" s="17"/>
      <c r="R29" s="19"/>
      <c r="S29" s="19"/>
      <c r="T29" s="19"/>
      <c r="U29" s="19"/>
      <c r="V29" s="19"/>
      <c r="W29" s="17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</row>
    <row r="30" spans="2:77" ht="6" customHeight="1">
      <c r="J30" s="20"/>
      <c r="K30" s="20"/>
      <c r="L30" s="20"/>
      <c r="M30" s="20"/>
      <c r="N30" s="20"/>
      <c r="O30" s="20"/>
      <c r="P30" s="20"/>
      <c r="R30" s="21"/>
      <c r="S30" s="21"/>
      <c r="T30" s="21"/>
      <c r="U30" s="21"/>
      <c r="V30" s="2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</row>
    <row r="31" spans="2:77" ht="17.25" customHeight="1">
      <c r="B31" s="402" t="s">
        <v>406</v>
      </c>
      <c r="C31" s="418"/>
      <c r="D31" s="418"/>
      <c r="E31" s="418"/>
      <c r="F31" s="418"/>
      <c r="G31" s="418"/>
      <c r="H31" s="418"/>
      <c r="I31" s="418"/>
      <c r="J31" s="418"/>
      <c r="K31" s="418"/>
      <c r="L31" s="418"/>
      <c r="M31" s="418"/>
      <c r="N31" s="418"/>
      <c r="O31" s="418"/>
      <c r="P31" s="418"/>
      <c r="Q31" s="418"/>
      <c r="R31" s="418"/>
      <c r="S31" s="418"/>
      <c r="T31" s="418"/>
      <c r="U31" s="418"/>
      <c r="V31" s="418"/>
      <c r="W31" s="418"/>
      <c r="X31" s="418"/>
      <c r="Y31" s="418"/>
      <c r="Z31" s="418"/>
      <c r="AA31" s="418"/>
      <c r="AB31" s="418"/>
      <c r="AC31" s="418"/>
      <c r="AD31" s="418"/>
      <c r="AE31" s="418"/>
      <c r="AF31" s="418"/>
      <c r="AG31" s="418"/>
      <c r="AH31" s="418"/>
      <c r="AI31" s="418"/>
      <c r="AJ31" s="418"/>
      <c r="AK31" s="418"/>
      <c r="AL31" s="418"/>
      <c r="AM31" s="418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</row>
    <row r="32" spans="2:77" ht="17.25" customHeight="1">
      <c r="B32" s="30" t="s">
        <v>78</v>
      </c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</row>
    <row r="33" spans="1:77" ht="17.25" customHeight="1">
      <c r="B33" s="9"/>
      <c r="C33" s="6" t="s">
        <v>408</v>
      </c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</row>
    <row r="34" spans="1:77" ht="17.25" customHeight="1">
      <c r="B34" s="9" t="s">
        <v>407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</row>
    <row r="35" spans="1:77" ht="6" customHeight="1">
      <c r="B35" s="22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22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</row>
    <row r="36" spans="1:77" ht="6" customHeight="1"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20"/>
      <c r="AJ36" s="20"/>
      <c r="AK36" s="20"/>
      <c r="AL36" s="20"/>
      <c r="AM36" s="20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</row>
    <row r="37" spans="1:77" ht="18" customHeight="1">
      <c r="A37" s="12"/>
      <c r="B37" s="402" t="s">
        <v>41</v>
      </c>
      <c r="C37" s="402"/>
      <c r="D37" s="402"/>
      <c r="E37" s="402"/>
      <c r="F37" s="402"/>
      <c r="G37" s="402"/>
      <c r="H37" s="402"/>
      <c r="I37" s="402"/>
      <c r="J37" s="402"/>
      <c r="K37" s="402"/>
      <c r="L37" s="402"/>
      <c r="M37" s="40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L37" s="23"/>
      <c r="AM37" s="23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</row>
    <row r="38" spans="1:77" ht="18" customHeight="1">
      <c r="A38" s="12"/>
      <c r="B38" s="6"/>
      <c r="C38" s="6" t="s">
        <v>68</v>
      </c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</row>
    <row r="39" spans="1:77" ht="18" customHeight="1">
      <c r="A39" s="12"/>
      <c r="B39" s="6" t="s">
        <v>70</v>
      </c>
      <c r="C39" s="6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</row>
    <row r="40" spans="1:77" ht="18" customHeight="1">
      <c r="A40" s="12"/>
      <c r="B40" s="6" t="s">
        <v>69</v>
      </c>
      <c r="C40" s="6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</row>
    <row r="41" spans="1:77" ht="6" customHeight="1"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  <c r="AF41" s="36"/>
      <c r="AG41" s="36"/>
      <c r="AH41" s="36"/>
      <c r="AI41" s="36"/>
      <c r="AJ41" s="36"/>
      <c r="AK41" s="36"/>
      <c r="AL41" s="36"/>
      <c r="AM41" s="36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</row>
    <row r="42" spans="1:77" ht="25.5" customHeight="1"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8"/>
      <c r="AM42" s="38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</row>
    <row r="43" spans="1:77" ht="25.5" customHeight="1"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24"/>
      <c r="AM43" s="24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</row>
    <row r="44" spans="1:77" ht="12.75" customHeight="1">
      <c r="B44" s="12"/>
      <c r="C44" s="12"/>
      <c r="D44" s="83" t="str">
        <f>IF(Page1!F37="","",VLOOKUP(Page1!F37,Data!H3:I21,2,FALSE))</f>
        <v/>
      </c>
      <c r="E44" s="14"/>
      <c r="F44" s="14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2"/>
      <c r="R44" s="12"/>
      <c r="S44" s="12"/>
      <c r="T44" s="12"/>
      <c r="U44" s="12"/>
      <c r="V44" s="12"/>
      <c r="W44" s="64" t="str">
        <f>IF(Page1!AC37="","",VLOOKUP(Page1!AC37,Data!H3:I21,2,FALSE))</f>
        <v/>
      </c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2"/>
      <c r="AK44" s="12"/>
      <c r="AL44" s="12"/>
      <c r="AM44" s="12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</row>
    <row r="45" spans="1:77" ht="17.25" customHeight="1">
      <c r="B45" s="25"/>
      <c r="C45" s="12"/>
      <c r="D45" s="403" t="str">
        <f>"("&amp;" "&amp;Page1!F37&amp;" "&amp;")"</f>
        <v>(  )</v>
      </c>
      <c r="E45" s="403"/>
      <c r="F45" s="403"/>
      <c r="G45" s="403"/>
      <c r="H45" s="403"/>
      <c r="I45" s="403"/>
      <c r="J45" s="403"/>
      <c r="K45" s="403"/>
      <c r="L45" s="403"/>
      <c r="M45" s="403"/>
      <c r="N45" s="403"/>
      <c r="O45" s="403"/>
      <c r="P45" s="403"/>
      <c r="W45" s="403" t="str">
        <f>"("&amp;" "&amp;Page1!AC37&amp;" "&amp;")"</f>
        <v>(  )</v>
      </c>
      <c r="X45" s="403"/>
      <c r="Y45" s="403"/>
      <c r="Z45" s="403"/>
      <c r="AA45" s="403"/>
      <c r="AB45" s="403"/>
      <c r="AC45" s="403"/>
      <c r="AD45" s="403"/>
      <c r="AE45" s="403"/>
      <c r="AF45" s="403"/>
      <c r="AG45" s="403"/>
      <c r="AH45" s="403"/>
      <c r="AI45" s="403"/>
      <c r="AJ45" s="12"/>
      <c r="AK45" s="12"/>
      <c r="AL45" s="12"/>
      <c r="AM45" s="12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</row>
    <row r="46" spans="1:77" ht="17.25" customHeight="1">
      <c r="B46" s="25"/>
      <c r="C46" s="12"/>
      <c r="E46" s="407" t="s">
        <v>66</v>
      </c>
      <c r="F46" s="407"/>
      <c r="G46" s="407"/>
      <c r="H46" s="407"/>
      <c r="I46" s="407"/>
      <c r="J46" s="407"/>
      <c r="K46" s="407"/>
      <c r="L46" s="407"/>
      <c r="M46" s="407"/>
      <c r="N46" s="407"/>
      <c r="O46" s="407"/>
      <c r="X46" s="407" t="s">
        <v>67</v>
      </c>
      <c r="Y46" s="407"/>
      <c r="Z46" s="407"/>
      <c r="AA46" s="407"/>
      <c r="AB46" s="407"/>
      <c r="AC46" s="407"/>
      <c r="AD46" s="407"/>
      <c r="AE46" s="407"/>
      <c r="AF46" s="407"/>
      <c r="AG46" s="407"/>
      <c r="AH46" s="407"/>
      <c r="AJ46" s="12"/>
      <c r="AK46" s="12"/>
      <c r="AL46" s="12"/>
      <c r="AM46" s="12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</row>
    <row r="47" spans="1:77" ht="6" customHeight="1">
      <c r="B47" s="25"/>
      <c r="C47" s="12"/>
      <c r="D47" s="12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12"/>
      <c r="P47" s="12"/>
      <c r="Q47" s="12"/>
      <c r="R47" s="12"/>
      <c r="S47" s="12"/>
      <c r="T47" s="12"/>
      <c r="U47" s="12"/>
      <c r="V47" s="12"/>
      <c r="W47" s="12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12"/>
      <c r="AI47" s="12"/>
      <c r="AJ47" s="12"/>
      <c r="AK47" s="12"/>
      <c r="AL47" s="12"/>
      <c r="AM47" s="12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</row>
    <row r="48" spans="1:77" ht="17.25" customHeight="1">
      <c r="B48" s="29"/>
      <c r="C48" s="6" t="s">
        <v>88</v>
      </c>
      <c r="D48" s="12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12"/>
      <c r="P48" s="12"/>
      <c r="Q48" s="12"/>
      <c r="R48" s="12"/>
      <c r="S48" s="12"/>
      <c r="T48" s="12"/>
      <c r="U48" s="12"/>
      <c r="V48" s="12"/>
      <c r="W48" s="12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12"/>
      <c r="AI48" s="12"/>
      <c r="AJ48" s="12"/>
      <c r="AK48" s="12"/>
      <c r="AL48" s="12"/>
      <c r="AM48" s="12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</row>
    <row r="49" spans="1:77" ht="17.25" customHeight="1">
      <c r="B49" s="29" t="s">
        <v>98</v>
      </c>
      <c r="C49" s="6"/>
      <c r="D49" s="12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12"/>
      <c r="P49" s="12"/>
      <c r="Q49" s="12"/>
      <c r="R49" s="12"/>
      <c r="S49" s="12"/>
      <c r="T49" s="12"/>
      <c r="U49" s="12"/>
      <c r="V49" s="12"/>
      <c r="W49" s="12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12"/>
      <c r="AI49" s="12"/>
      <c r="AJ49" s="12"/>
      <c r="AK49" s="12"/>
      <c r="AL49" s="12"/>
      <c r="AM49" s="12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</row>
    <row r="50" spans="1:77" ht="6" customHeight="1">
      <c r="B50" s="26"/>
      <c r="C50" s="17"/>
      <c r="D50" s="1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17"/>
      <c r="P50" s="17"/>
      <c r="Q50" s="17"/>
      <c r="R50" s="17"/>
      <c r="S50" s="17"/>
      <c r="T50" s="17"/>
      <c r="U50" s="17"/>
      <c r="V50" s="17"/>
      <c r="W50" s="17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17"/>
      <c r="AI50" s="17"/>
      <c r="AJ50" s="17"/>
      <c r="AK50" s="17"/>
      <c r="AL50" s="17"/>
      <c r="AM50" s="17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</row>
    <row r="51" spans="1:77" ht="6" customHeight="1">
      <c r="B51" s="25"/>
      <c r="C51" s="12"/>
      <c r="D51" s="12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12"/>
      <c r="P51" s="12"/>
      <c r="Q51" s="12"/>
      <c r="R51" s="12"/>
      <c r="S51" s="12"/>
      <c r="T51" s="12"/>
      <c r="U51" s="12"/>
      <c r="V51" s="12"/>
      <c r="W51" s="12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12"/>
      <c r="AI51" s="12"/>
      <c r="AJ51" s="12"/>
      <c r="AK51" s="12"/>
      <c r="AL51" s="12"/>
      <c r="AM51" s="12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</row>
    <row r="52" spans="1:77" ht="17.25" customHeight="1">
      <c r="B52" s="29"/>
      <c r="C52" s="6" t="s">
        <v>72</v>
      </c>
      <c r="D52" s="6"/>
      <c r="E52" s="8"/>
      <c r="F52" s="8"/>
      <c r="G52" s="8"/>
      <c r="H52" s="8"/>
      <c r="I52" s="8"/>
      <c r="J52" s="8"/>
      <c r="K52" s="8"/>
      <c r="L52" s="8"/>
      <c r="M52" s="8"/>
      <c r="N52" s="8"/>
      <c r="O52" s="6"/>
      <c r="P52" s="6"/>
      <c r="Q52" s="6"/>
      <c r="R52" s="6"/>
      <c r="S52" s="6"/>
      <c r="T52" s="6"/>
      <c r="U52" s="6"/>
      <c r="V52" s="6"/>
      <c r="W52" s="6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6"/>
      <c r="AI52" s="6"/>
      <c r="AJ52" s="6"/>
      <c r="AK52" s="6"/>
      <c r="AL52" s="6"/>
      <c r="AM52" s="6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</row>
    <row r="53" spans="1:77" ht="17.25" customHeight="1">
      <c r="B53" s="29" t="s">
        <v>100</v>
      </c>
      <c r="C53" s="6"/>
      <c r="D53" s="6"/>
      <c r="E53" s="8"/>
      <c r="F53" s="8"/>
      <c r="G53" s="8"/>
      <c r="H53" s="8"/>
      <c r="I53" s="8"/>
      <c r="J53" s="8"/>
      <c r="K53" s="8"/>
      <c r="L53" s="8"/>
      <c r="M53" s="8"/>
      <c r="N53" s="8"/>
      <c r="O53" s="6"/>
      <c r="P53" s="6"/>
      <c r="Q53" s="6"/>
      <c r="R53" s="6"/>
      <c r="S53" s="6"/>
      <c r="T53" s="6"/>
      <c r="U53" s="6"/>
      <c r="V53" s="6"/>
      <c r="W53" s="6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6"/>
      <c r="AI53" s="6"/>
      <c r="AJ53" s="6"/>
      <c r="AK53" s="6"/>
      <c r="AL53" s="6"/>
      <c r="AM53" s="6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</row>
    <row r="54" spans="1:77" ht="6" customHeight="1">
      <c r="B54" s="29"/>
      <c r="C54" s="6"/>
      <c r="D54" s="6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12"/>
      <c r="P54" s="12"/>
      <c r="Q54" s="12"/>
      <c r="R54" s="12"/>
      <c r="S54" s="12"/>
      <c r="T54" s="12"/>
      <c r="U54" s="12"/>
      <c r="V54" s="12"/>
      <c r="W54" s="12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12"/>
      <c r="AI54" s="12"/>
      <c r="AJ54" s="12"/>
      <c r="AK54" s="12"/>
      <c r="AL54" s="12"/>
      <c r="AM54" s="12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</row>
    <row r="55" spans="1:77">
      <c r="B55" s="6" t="str">
        <f>IF(Page1!AO6="","","*This certificate is a revision of a calibration certificate No."&amp;Page1!AO4&amp;Page1!AR4&amp;" "&amp;IF(Page1!AO6&gt;1,"R"&amp;Page1!AO6-1,""))</f>
        <v/>
      </c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</row>
    <row r="56" spans="1:77" ht="17.25" customHeight="1"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405" t="s">
        <v>38</v>
      </c>
      <c r="AA56" s="405"/>
      <c r="AB56" s="405"/>
      <c r="AC56" s="405"/>
      <c r="AD56" s="405"/>
      <c r="AE56" s="405"/>
      <c r="AF56" s="405"/>
      <c r="AG56" s="405"/>
      <c r="AH56" s="405"/>
      <c r="AI56" s="407" t="str">
        <f>AI9</f>
        <v xml:space="preserve"> /69 </v>
      </c>
      <c r="AJ56" s="407"/>
      <c r="AK56" s="407"/>
      <c r="AL56" s="407"/>
      <c r="AM56" s="407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</row>
    <row r="57" spans="1:77" ht="17.25" customHeight="1"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405" t="s">
        <v>42</v>
      </c>
      <c r="AB57" s="405"/>
      <c r="AC57" s="405"/>
      <c r="AD57" s="405"/>
      <c r="AE57" s="405"/>
      <c r="AF57" s="405"/>
      <c r="AG57" s="405"/>
      <c r="AH57" s="405"/>
      <c r="AI57" s="407" t="s">
        <v>441</v>
      </c>
      <c r="AJ57" s="407"/>
      <c r="AK57" s="407"/>
      <c r="AL57" s="407"/>
      <c r="AM57" s="407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</row>
    <row r="58" spans="1:77" ht="18" customHeight="1">
      <c r="B58" s="11" t="s">
        <v>73</v>
      </c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</row>
    <row r="59" spans="1:77" ht="18" customHeight="1">
      <c r="B59" s="79" t="s">
        <v>74</v>
      </c>
      <c r="C59" s="79"/>
      <c r="D59" s="79"/>
      <c r="E59" s="79"/>
      <c r="F59" s="79"/>
      <c r="G59" s="79"/>
      <c r="H59" s="79"/>
      <c r="I59" s="79"/>
      <c r="J59" s="79"/>
      <c r="K59" s="79"/>
      <c r="L59" s="79"/>
      <c r="M59" s="79"/>
      <c r="N59" s="79"/>
      <c r="O59" s="79"/>
      <c r="P59" s="79"/>
      <c r="Q59" s="79"/>
      <c r="R59" s="79"/>
      <c r="S59" s="406" t="s">
        <v>76</v>
      </c>
      <c r="T59" s="406"/>
      <c r="U59" s="406"/>
      <c r="V59" s="406"/>
      <c r="W59" s="406"/>
      <c r="X59" s="406"/>
      <c r="Y59" s="406"/>
      <c r="Z59" s="406"/>
      <c r="AA59" s="406" t="s">
        <v>43</v>
      </c>
      <c r="AB59" s="406"/>
      <c r="AC59" s="406"/>
      <c r="AD59" s="406"/>
      <c r="AE59" s="406"/>
      <c r="AF59" s="406"/>
      <c r="AG59" s="406"/>
      <c r="AH59" s="406" t="s">
        <v>77</v>
      </c>
      <c r="AI59" s="406"/>
      <c r="AJ59" s="406"/>
      <c r="AK59" s="406"/>
      <c r="AL59" s="406"/>
      <c r="AM59" s="406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</row>
    <row r="60" spans="1:77" ht="18" customHeight="1">
      <c r="B60" s="80" t="str">
        <f>IF(Page1!I22="","",Page1!I22)</f>
        <v/>
      </c>
      <c r="C60" s="80"/>
      <c r="D60" s="80"/>
      <c r="E60" s="80"/>
      <c r="F60" s="80"/>
      <c r="G60" s="8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80"/>
      <c r="S60" s="404" t="str">
        <f>IF(Page1!AF22="","",Page1!AF22)</f>
        <v/>
      </c>
      <c r="T60" s="404"/>
      <c r="U60" s="404"/>
      <c r="V60" s="404"/>
      <c r="W60" s="404"/>
      <c r="X60" s="404"/>
      <c r="Y60" s="404"/>
      <c r="Z60" s="404"/>
      <c r="AA60" s="404" t="str">
        <f>IF(S60="","",VLOOKUP(S60,Ref.STD[[Serial No]:[Cer No.]],3,0))</f>
        <v/>
      </c>
      <c r="AB60" s="404"/>
      <c r="AC60" s="404"/>
      <c r="AD60" s="404"/>
      <c r="AE60" s="404"/>
      <c r="AF60" s="404"/>
      <c r="AG60" s="404"/>
      <c r="AH60" s="424" t="str">
        <f>IF(Page1!AN22="","",Page1!AN22)</f>
        <v/>
      </c>
      <c r="AI60" s="424"/>
      <c r="AJ60" s="424"/>
      <c r="AK60" s="424"/>
      <c r="AL60" s="424"/>
      <c r="AM60" s="424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</row>
    <row r="61" spans="1:77" ht="18" customHeight="1">
      <c r="B61" s="81" t="str">
        <f>IF(Page1!$I$23="","",Page1!$I$23)</f>
        <v/>
      </c>
      <c r="C61" s="81"/>
      <c r="D61" s="81"/>
      <c r="E61" s="81"/>
      <c r="F61" s="81"/>
      <c r="G61" s="81"/>
      <c r="H61" s="81"/>
      <c r="I61" s="81"/>
      <c r="J61" s="81"/>
      <c r="K61" s="81"/>
      <c r="L61" s="81"/>
      <c r="M61" s="81"/>
      <c r="N61" s="81"/>
      <c r="O61" s="81"/>
      <c r="P61" s="81"/>
      <c r="Q61" s="81"/>
      <c r="R61" s="81"/>
      <c r="S61" s="411" t="str">
        <f>IF(Page1!AF23="","",Page1!AF23)</f>
        <v/>
      </c>
      <c r="T61" s="411"/>
      <c r="U61" s="411"/>
      <c r="V61" s="411"/>
      <c r="W61" s="411"/>
      <c r="X61" s="411"/>
      <c r="Y61" s="411"/>
      <c r="Z61" s="411"/>
      <c r="AA61" s="411" t="str">
        <f>IF(S61="","",VLOOKUP(S61,Module[[Serial No]:[Cer No.]],3,0))</f>
        <v/>
      </c>
      <c r="AB61" s="411"/>
      <c r="AC61" s="411"/>
      <c r="AD61" s="411"/>
      <c r="AE61" s="411"/>
      <c r="AF61" s="411"/>
      <c r="AG61" s="411"/>
      <c r="AH61" s="429" t="str">
        <f>IF(Page1!AN23="","",Page1!AN23)</f>
        <v/>
      </c>
      <c r="AI61" s="429"/>
      <c r="AJ61" s="429"/>
      <c r="AK61" s="429"/>
      <c r="AL61" s="429"/>
      <c r="AM61" s="429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</row>
    <row r="62" spans="1:77" ht="6" customHeight="1">
      <c r="B62" s="16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6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88"/>
      <c r="AO62" s="88"/>
      <c r="AP62" s="88"/>
      <c r="AQ62" s="88"/>
      <c r="AR62" s="88"/>
      <c r="AS62" s="88"/>
      <c r="AT62" s="88"/>
      <c r="AU62" s="88"/>
      <c r="AV62" s="88"/>
      <c r="AW62" s="88"/>
      <c r="AX62" s="88"/>
      <c r="AY62" s="88"/>
      <c r="AZ62" s="88"/>
      <c r="BA62" s="88"/>
      <c r="BB62" s="88"/>
      <c r="BC62" s="88"/>
      <c r="BD62" s="88"/>
      <c r="BE62" s="88"/>
      <c r="BF62" s="88"/>
      <c r="BG62" s="88"/>
      <c r="BH62" s="88"/>
      <c r="BI62" s="88"/>
      <c r="BJ62" s="88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</row>
    <row r="63" spans="1:77" s="88" customFormat="1" ht="16.5" customHeight="1">
      <c r="A63" s="85"/>
      <c r="B63" s="86" t="s">
        <v>89</v>
      </c>
      <c r="C63" s="85"/>
      <c r="D63" s="85"/>
      <c r="E63" s="85"/>
      <c r="F63" s="85"/>
      <c r="G63" s="85"/>
      <c r="H63" s="85"/>
      <c r="I63" s="85"/>
      <c r="J63" s="85"/>
      <c r="K63" s="87" t="s">
        <v>29</v>
      </c>
      <c r="L63" s="85"/>
      <c r="M63" s="85"/>
      <c r="N63" s="85"/>
      <c r="O63" s="85"/>
      <c r="P63" s="85"/>
      <c r="Q63" s="85"/>
      <c r="R63" s="85"/>
      <c r="S63" s="85"/>
      <c r="T63" s="85"/>
      <c r="U63" s="85"/>
      <c r="V63" s="85"/>
      <c r="W63" s="85"/>
      <c r="X63" s="85"/>
      <c r="Y63" s="85"/>
      <c r="Z63" s="85"/>
      <c r="AA63" s="85"/>
      <c r="AB63" s="85"/>
      <c r="AC63" s="85"/>
      <c r="AD63" s="85"/>
      <c r="AE63" s="85"/>
      <c r="AF63" s="85"/>
      <c r="AG63" s="85"/>
      <c r="AH63" s="85"/>
      <c r="AI63" s="85"/>
      <c r="AJ63" s="85"/>
      <c r="AK63" s="85"/>
      <c r="AL63" s="85"/>
      <c r="AM63" s="85"/>
    </row>
    <row r="64" spans="1:77" s="88" customFormat="1" ht="16.5" customHeight="1">
      <c r="A64" s="85"/>
      <c r="B64" s="20" t="s">
        <v>378</v>
      </c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 t="str">
        <f>IF(Page1!$AE$13="","",Page1!$AE$13)</f>
        <v/>
      </c>
      <c r="P64" s="10"/>
      <c r="Q64" s="10"/>
      <c r="R64" s="10"/>
      <c r="S64" s="10"/>
      <c r="T64" s="10"/>
      <c r="U64" s="10"/>
      <c r="V64" s="10"/>
      <c r="W64" s="10"/>
      <c r="X64" s="23"/>
      <c r="Y64" s="23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</row>
    <row r="65" spans="1:77" s="88" customFormat="1" ht="16.5" customHeight="1">
      <c r="A65" s="85"/>
      <c r="B65" s="34" t="s">
        <v>377</v>
      </c>
      <c r="C65" s="10"/>
      <c r="D65" s="10"/>
      <c r="E65" s="10"/>
      <c r="F65" s="10"/>
      <c r="G65" s="10"/>
      <c r="H65" s="10"/>
      <c r="I65" s="10" t="str">
        <f>IF(Page1!$AL$16="","",Page1!$AL$16)&amp;" cm."</f>
        <v xml:space="preserve"> cm.</v>
      </c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23"/>
      <c r="Y65" s="23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</row>
    <row r="66" spans="1:77" s="88" customFormat="1" ht="16.5" customHeight="1" thickBot="1">
      <c r="A66" s="85"/>
      <c r="B66" s="11" t="s">
        <v>31</v>
      </c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23"/>
      <c r="W66" s="23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"/>
      <c r="AM66" s="1"/>
    </row>
    <row r="67" spans="1:77" s="88" customFormat="1" ht="16.5" customHeight="1" thickBot="1">
      <c r="A67" s="85"/>
      <c r="B67" s="395" t="e">
        <f>VLOOKUP(Page1!AJ14,STD!P:S,4,0)&amp;IF(Page1!AJ14="Channel: 001",", Function: "&amp;STD!R6,", S/N: "&amp;Page1!AI15&amp;", Sensor: "&amp;IF(Page1!AJ14="1586-2586(026) PRT","PRT, S/N: "&amp;STD!T7,VLOOKUP(Page1!AE13,STD!P:S,2,0)))</f>
        <v>#N/A</v>
      </c>
      <c r="C67" s="396"/>
      <c r="D67" s="396"/>
      <c r="E67" s="396"/>
      <c r="F67" s="396"/>
      <c r="G67" s="396"/>
      <c r="H67" s="396"/>
      <c r="I67" s="396"/>
      <c r="J67" s="396"/>
      <c r="K67" s="396"/>
      <c r="L67" s="396"/>
      <c r="M67" s="396"/>
      <c r="N67" s="396"/>
      <c r="O67" s="396"/>
      <c r="P67" s="396"/>
      <c r="Q67" s="396"/>
      <c r="R67" s="396"/>
      <c r="S67" s="396"/>
      <c r="T67" s="396"/>
      <c r="U67" s="396"/>
      <c r="V67" s="396"/>
      <c r="W67" s="396"/>
      <c r="X67" s="396"/>
      <c r="Y67" s="396"/>
      <c r="Z67" s="396"/>
      <c r="AA67" s="396"/>
      <c r="AB67" s="396"/>
      <c r="AC67" s="396"/>
      <c r="AD67" s="396"/>
      <c r="AE67" s="396"/>
      <c r="AF67" s="396"/>
      <c r="AG67" s="396"/>
      <c r="AH67" s="396"/>
      <c r="AI67" s="396"/>
      <c r="AJ67" s="396"/>
      <c r="AK67" s="396"/>
      <c r="AL67" s="396"/>
      <c r="AM67" s="397"/>
    </row>
    <row r="68" spans="1:77" s="88" customFormat="1" ht="16.5" customHeight="1" thickBot="1">
      <c r="A68" s="85"/>
      <c r="B68" s="398" t="s">
        <v>379</v>
      </c>
      <c r="C68" s="399"/>
      <c r="D68" s="399"/>
      <c r="E68" s="399"/>
      <c r="F68" s="399"/>
      <c r="G68" s="399"/>
      <c r="H68" s="400"/>
      <c r="I68" s="401" t="s">
        <v>380</v>
      </c>
      <c r="J68" s="401"/>
      <c r="K68" s="401"/>
      <c r="L68" s="401"/>
      <c r="M68" s="401"/>
      <c r="N68" s="401"/>
      <c r="O68" s="401"/>
      <c r="P68" s="401"/>
      <c r="Q68" s="401"/>
      <c r="R68" s="401"/>
      <c r="S68" s="401"/>
      <c r="T68" s="401"/>
      <c r="U68" s="401"/>
      <c r="V68" s="401"/>
      <c r="W68" s="401"/>
      <c r="X68" s="401"/>
      <c r="Y68" s="401"/>
      <c r="Z68" s="401"/>
      <c r="AA68" s="401"/>
      <c r="AB68" s="401"/>
      <c r="AC68" s="401"/>
      <c r="AD68" s="398" t="s">
        <v>381</v>
      </c>
      <c r="AE68" s="399"/>
      <c r="AF68" s="399"/>
      <c r="AG68" s="399"/>
      <c r="AH68" s="400"/>
      <c r="AI68" s="398" t="s">
        <v>32</v>
      </c>
      <c r="AJ68" s="399"/>
      <c r="AK68" s="399"/>
      <c r="AL68" s="399"/>
      <c r="AM68" s="400"/>
    </row>
    <row r="69" spans="1:77" s="88" customFormat="1" ht="16.5" customHeight="1" thickBot="1">
      <c r="A69" s="85"/>
      <c r="B69" s="425" t="s">
        <v>382</v>
      </c>
      <c r="C69" s="426"/>
      <c r="D69" s="426"/>
      <c r="E69" s="426"/>
      <c r="F69" s="426"/>
      <c r="G69" s="426"/>
      <c r="H69" s="427"/>
      <c r="I69" s="428" t="s">
        <v>383</v>
      </c>
      <c r="J69" s="428"/>
      <c r="K69" s="428"/>
      <c r="L69" s="428"/>
      <c r="M69" s="428"/>
      <c r="N69" s="428"/>
      <c r="O69" s="428"/>
      <c r="P69" s="428" t="s">
        <v>384</v>
      </c>
      <c r="Q69" s="428"/>
      <c r="R69" s="428"/>
      <c r="S69" s="428"/>
      <c r="T69" s="428"/>
      <c r="U69" s="428"/>
      <c r="V69" s="428"/>
      <c r="W69" s="428" t="s">
        <v>79</v>
      </c>
      <c r="X69" s="428"/>
      <c r="Y69" s="428"/>
      <c r="Z69" s="428"/>
      <c r="AA69" s="428"/>
      <c r="AB69" s="428"/>
      <c r="AC69" s="428"/>
      <c r="AD69" s="408" t="s">
        <v>523</v>
      </c>
      <c r="AE69" s="409"/>
      <c r="AF69" s="409"/>
      <c r="AG69" s="409"/>
      <c r="AH69" s="410"/>
      <c r="AI69" s="408" t="s">
        <v>524</v>
      </c>
      <c r="AJ69" s="409"/>
      <c r="AK69" s="409"/>
      <c r="AL69" s="409"/>
      <c r="AM69" s="410"/>
    </row>
    <row r="70" spans="1:77" s="88" customFormat="1" ht="16.5" customHeight="1">
      <c r="A70" s="85"/>
      <c r="B70" s="393" t="str">
        <f>'Cal 1'!$F$21</f>
        <v/>
      </c>
      <c r="C70" s="393"/>
      <c r="D70" s="393"/>
      <c r="E70" s="393"/>
      <c r="F70" s="393"/>
      <c r="G70" s="393"/>
      <c r="H70" s="393"/>
      <c r="I70" s="389" t="str">
        <f>'Cal Ref'!$J$34</f>
        <v>P1</v>
      </c>
      <c r="J70" s="389"/>
      <c r="K70" s="389"/>
      <c r="L70" s="389"/>
      <c r="M70" s="389"/>
      <c r="N70" s="389"/>
      <c r="O70" s="389"/>
      <c r="P70" s="436" t="s">
        <v>444</v>
      </c>
      <c r="Q70" s="436"/>
      <c r="R70" s="436"/>
      <c r="S70" s="436"/>
      <c r="T70" s="436"/>
      <c r="U70" s="436"/>
      <c r="V70" s="436"/>
      <c r="W70" s="394" t="str">
        <f>'Cal 1'!$J$21</f>
        <v/>
      </c>
      <c r="X70" s="394"/>
      <c r="Y70" s="394"/>
      <c r="Z70" s="394"/>
      <c r="AA70" s="394"/>
      <c r="AB70" s="394"/>
      <c r="AC70" s="394"/>
      <c r="AD70" s="393" t="e">
        <f>B70-W70</f>
        <v>#VALUE!</v>
      </c>
      <c r="AE70" s="393"/>
      <c r="AF70" s="393"/>
      <c r="AG70" s="393"/>
      <c r="AH70" s="393"/>
      <c r="AI70" s="393" t="str">
        <f>'Cal 1'!$J$25</f>
        <v>-</v>
      </c>
      <c r="AJ70" s="393"/>
      <c r="AK70" s="393"/>
      <c r="AL70" s="393"/>
      <c r="AM70" s="393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</row>
    <row r="71" spans="1:77" s="88" customFormat="1" ht="16.5" customHeight="1">
      <c r="A71" s="85"/>
      <c r="B71" s="434" t="str">
        <f>'Cal 1'!$F$21</f>
        <v/>
      </c>
      <c r="C71" s="434"/>
      <c r="D71" s="434"/>
      <c r="E71" s="434"/>
      <c r="F71" s="434"/>
      <c r="G71" s="434"/>
      <c r="H71" s="434"/>
      <c r="I71" s="435" t="str">
        <f>'Cal Ref'!$N$34</f>
        <v>P2</v>
      </c>
      <c r="J71" s="435"/>
      <c r="K71" s="435"/>
      <c r="L71" s="435"/>
      <c r="M71" s="435"/>
      <c r="N71" s="435"/>
      <c r="O71" s="435"/>
      <c r="P71" s="389" t="s">
        <v>445</v>
      </c>
      <c r="Q71" s="389"/>
      <c r="R71" s="389"/>
      <c r="S71" s="389"/>
      <c r="T71" s="389"/>
      <c r="U71" s="389"/>
      <c r="V71" s="389"/>
      <c r="W71" s="390" t="str">
        <f>'Cal 1'!$N$21</f>
        <v/>
      </c>
      <c r="X71" s="391"/>
      <c r="Y71" s="391"/>
      <c r="Z71" s="391"/>
      <c r="AA71" s="391"/>
      <c r="AB71" s="391"/>
      <c r="AC71" s="392"/>
      <c r="AD71" s="434" t="e">
        <f>B71-W71</f>
        <v>#VALUE!</v>
      </c>
      <c r="AE71" s="434"/>
      <c r="AF71" s="434"/>
      <c r="AG71" s="434"/>
      <c r="AH71" s="434"/>
      <c r="AI71" s="434" t="str">
        <f>'Cal 1'!$N$25</f>
        <v>-</v>
      </c>
      <c r="AJ71" s="434"/>
      <c r="AK71" s="434"/>
      <c r="AL71" s="434"/>
      <c r="AM71" s="434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</row>
    <row r="72" spans="1:77" s="88" customFormat="1" ht="16.5" customHeight="1">
      <c r="A72" s="85"/>
      <c r="B72" s="434" t="str">
        <f>'Cal 1'!$F$21</f>
        <v/>
      </c>
      <c r="C72" s="434"/>
      <c r="D72" s="434"/>
      <c r="E72" s="434"/>
      <c r="F72" s="434"/>
      <c r="G72" s="434"/>
      <c r="H72" s="434"/>
      <c r="I72" s="435" t="str">
        <f>'Cal Ref'!$R$34</f>
        <v>P3</v>
      </c>
      <c r="J72" s="435"/>
      <c r="K72" s="435"/>
      <c r="L72" s="435"/>
      <c r="M72" s="435"/>
      <c r="N72" s="435"/>
      <c r="O72" s="435"/>
      <c r="P72" s="389" t="s">
        <v>446</v>
      </c>
      <c r="Q72" s="389"/>
      <c r="R72" s="389"/>
      <c r="S72" s="389"/>
      <c r="T72" s="389"/>
      <c r="U72" s="389"/>
      <c r="V72" s="389"/>
      <c r="W72" s="390" t="str">
        <f>'Cal 1'!$R$21</f>
        <v/>
      </c>
      <c r="X72" s="391"/>
      <c r="Y72" s="391"/>
      <c r="Z72" s="391"/>
      <c r="AA72" s="391"/>
      <c r="AB72" s="391"/>
      <c r="AC72" s="392"/>
      <c r="AD72" s="434" t="e">
        <f t="shared" ref="AD72:AD78" si="0">B72-W72</f>
        <v>#VALUE!</v>
      </c>
      <c r="AE72" s="434"/>
      <c r="AF72" s="434"/>
      <c r="AG72" s="434"/>
      <c r="AH72" s="434"/>
      <c r="AI72" s="434" t="str">
        <f>'Cal 1'!$R$25</f>
        <v>-</v>
      </c>
      <c r="AJ72" s="434"/>
      <c r="AK72" s="434"/>
      <c r="AL72" s="434"/>
      <c r="AM72" s="434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</row>
    <row r="73" spans="1:77" s="88" customFormat="1" ht="16.5" customHeight="1">
      <c r="A73" s="85"/>
      <c r="B73" s="434" t="str">
        <f>'Cal 1'!$F$21</f>
        <v/>
      </c>
      <c r="C73" s="434"/>
      <c r="D73" s="434"/>
      <c r="E73" s="434"/>
      <c r="F73" s="434"/>
      <c r="G73" s="434"/>
      <c r="H73" s="434"/>
      <c r="I73" s="435" t="str">
        <f>'Cal Ref'!$V$34</f>
        <v>P4</v>
      </c>
      <c r="J73" s="435"/>
      <c r="K73" s="435"/>
      <c r="L73" s="435"/>
      <c r="M73" s="435"/>
      <c r="N73" s="435"/>
      <c r="O73" s="435"/>
      <c r="P73" s="389" t="s">
        <v>447</v>
      </c>
      <c r="Q73" s="389"/>
      <c r="R73" s="389"/>
      <c r="S73" s="389"/>
      <c r="T73" s="389"/>
      <c r="U73" s="389"/>
      <c r="V73" s="389"/>
      <c r="W73" s="390" t="str">
        <f>'Cal 1'!$V$21</f>
        <v/>
      </c>
      <c r="X73" s="391"/>
      <c r="Y73" s="391"/>
      <c r="Z73" s="391"/>
      <c r="AA73" s="391"/>
      <c r="AB73" s="391"/>
      <c r="AC73" s="392"/>
      <c r="AD73" s="434" t="e">
        <f t="shared" si="0"/>
        <v>#VALUE!</v>
      </c>
      <c r="AE73" s="434"/>
      <c r="AF73" s="434"/>
      <c r="AG73" s="434"/>
      <c r="AH73" s="434"/>
      <c r="AI73" s="434" t="str">
        <f>'Cal 1'!$V$25</f>
        <v>-</v>
      </c>
      <c r="AJ73" s="434"/>
      <c r="AK73" s="434"/>
      <c r="AL73" s="434"/>
      <c r="AM73" s="434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</row>
    <row r="74" spans="1:77" s="88" customFormat="1" ht="16.5" customHeight="1">
      <c r="A74" s="85"/>
      <c r="B74" s="434" t="str">
        <f>'Cal 1'!$F$21</f>
        <v/>
      </c>
      <c r="C74" s="434"/>
      <c r="D74" s="434"/>
      <c r="E74" s="434"/>
      <c r="F74" s="434"/>
      <c r="G74" s="434"/>
      <c r="H74" s="434"/>
      <c r="I74" s="435" t="str">
        <f>'Cal Ref'!$Z$34</f>
        <v>P5</v>
      </c>
      <c r="J74" s="435"/>
      <c r="K74" s="435"/>
      <c r="L74" s="435"/>
      <c r="M74" s="435"/>
      <c r="N74" s="435"/>
      <c r="O74" s="435"/>
      <c r="P74" s="389" t="s">
        <v>448</v>
      </c>
      <c r="Q74" s="389"/>
      <c r="R74" s="389"/>
      <c r="S74" s="389"/>
      <c r="T74" s="389"/>
      <c r="U74" s="389"/>
      <c r="V74" s="389"/>
      <c r="W74" s="390" t="str">
        <f>'Cal 1'!$Z$21</f>
        <v/>
      </c>
      <c r="X74" s="391"/>
      <c r="Y74" s="391"/>
      <c r="Z74" s="391"/>
      <c r="AA74" s="391"/>
      <c r="AB74" s="391"/>
      <c r="AC74" s="392"/>
      <c r="AD74" s="434" t="e">
        <f t="shared" si="0"/>
        <v>#VALUE!</v>
      </c>
      <c r="AE74" s="434"/>
      <c r="AF74" s="434"/>
      <c r="AG74" s="434"/>
      <c r="AH74" s="434"/>
      <c r="AI74" s="434" t="str">
        <f>'Cal 1'!$Z$25</f>
        <v>-</v>
      </c>
      <c r="AJ74" s="434"/>
      <c r="AK74" s="434"/>
      <c r="AL74" s="434"/>
      <c r="AM74" s="434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</row>
    <row r="75" spans="1:77" s="88" customFormat="1" ht="16.5" customHeight="1">
      <c r="A75" s="85"/>
      <c r="B75" s="434" t="str">
        <f>'Cal 1'!$F$21</f>
        <v/>
      </c>
      <c r="C75" s="434"/>
      <c r="D75" s="434"/>
      <c r="E75" s="434"/>
      <c r="F75" s="434"/>
      <c r="G75" s="434"/>
      <c r="H75" s="434"/>
      <c r="I75" s="435" t="str">
        <f>'Cal Ref'!$AD$34</f>
        <v>P6</v>
      </c>
      <c r="J75" s="435"/>
      <c r="K75" s="435"/>
      <c r="L75" s="435"/>
      <c r="M75" s="435"/>
      <c r="N75" s="435"/>
      <c r="O75" s="435"/>
      <c r="P75" s="389" t="s">
        <v>449</v>
      </c>
      <c r="Q75" s="389"/>
      <c r="R75" s="389"/>
      <c r="S75" s="389"/>
      <c r="T75" s="389"/>
      <c r="U75" s="389"/>
      <c r="V75" s="389"/>
      <c r="W75" s="390" t="str">
        <f>'Cal 1'!$AD$21</f>
        <v/>
      </c>
      <c r="X75" s="391"/>
      <c r="Y75" s="391"/>
      <c r="Z75" s="391"/>
      <c r="AA75" s="391"/>
      <c r="AB75" s="391"/>
      <c r="AC75" s="392"/>
      <c r="AD75" s="434" t="e">
        <f t="shared" si="0"/>
        <v>#VALUE!</v>
      </c>
      <c r="AE75" s="434"/>
      <c r="AF75" s="434"/>
      <c r="AG75" s="434"/>
      <c r="AH75" s="434"/>
      <c r="AI75" s="434" t="str">
        <f>'Cal 1'!$AD$25</f>
        <v>-</v>
      </c>
      <c r="AJ75" s="434"/>
      <c r="AK75" s="434"/>
      <c r="AL75" s="434"/>
      <c r="AM75" s="434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</row>
    <row r="76" spans="1:77" s="88" customFormat="1" ht="16.5" customHeight="1">
      <c r="A76" s="85"/>
      <c r="B76" s="434" t="str">
        <f>'Cal 1'!$F$21</f>
        <v/>
      </c>
      <c r="C76" s="434"/>
      <c r="D76" s="434"/>
      <c r="E76" s="434"/>
      <c r="F76" s="434"/>
      <c r="G76" s="434"/>
      <c r="H76" s="434"/>
      <c r="I76" s="435" t="str">
        <f>'Cal Ref'!$AH$34</f>
        <v>P7</v>
      </c>
      <c r="J76" s="435"/>
      <c r="K76" s="435"/>
      <c r="L76" s="435"/>
      <c r="M76" s="435"/>
      <c r="N76" s="435"/>
      <c r="O76" s="435"/>
      <c r="P76" s="389" t="s">
        <v>450</v>
      </c>
      <c r="Q76" s="389"/>
      <c r="R76" s="389"/>
      <c r="S76" s="389"/>
      <c r="T76" s="389"/>
      <c r="U76" s="389"/>
      <c r="V76" s="389"/>
      <c r="W76" s="390" t="str">
        <f>'Cal 1'!$AH$21</f>
        <v/>
      </c>
      <c r="X76" s="391"/>
      <c r="Y76" s="391"/>
      <c r="Z76" s="391"/>
      <c r="AA76" s="391"/>
      <c r="AB76" s="391"/>
      <c r="AC76" s="392"/>
      <c r="AD76" s="434" t="e">
        <f t="shared" si="0"/>
        <v>#VALUE!</v>
      </c>
      <c r="AE76" s="434"/>
      <c r="AF76" s="434"/>
      <c r="AG76" s="434"/>
      <c r="AH76" s="434"/>
      <c r="AI76" s="434" t="str">
        <f>'Cal 1'!$AH$25</f>
        <v>-</v>
      </c>
      <c r="AJ76" s="434"/>
      <c r="AK76" s="434"/>
      <c r="AL76" s="434"/>
      <c r="AM76" s="434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</row>
    <row r="77" spans="1:77" s="88" customFormat="1" ht="16.5" customHeight="1">
      <c r="A77" s="85"/>
      <c r="B77" s="434" t="str">
        <f>'Cal 1'!$F$21</f>
        <v/>
      </c>
      <c r="C77" s="434"/>
      <c r="D77" s="434"/>
      <c r="E77" s="434"/>
      <c r="F77" s="434"/>
      <c r="G77" s="434"/>
      <c r="H77" s="434"/>
      <c r="I77" s="435" t="str">
        <f>'Cal Ref'!$AL$34</f>
        <v>P8</v>
      </c>
      <c r="J77" s="435"/>
      <c r="K77" s="435"/>
      <c r="L77" s="435"/>
      <c r="M77" s="435"/>
      <c r="N77" s="435"/>
      <c r="O77" s="435"/>
      <c r="P77" s="389" t="s">
        <v>451</v>
      </c>
      <c r="Q77" s="389"/>
      <c r="R77" s="389"/>
      <c r="S77" s="389"/>
      <c r="T77" s="389"/>
      <c r="U77" s="389"/>
      <c r="V77" s="389"/>
      <c r="W77" s="390" t="str">
        <f>'Cal 1'!$AL$21</f>
        <v/>
      </c>
      <c r="X77" s="391"/>
      <c r="Y77" s="391"/>
      <c r="Z77" s="391"/>
      <c r="AA77" s="391"/>
      <c r="AB77" s="391"/>
      <c r="AC77" s="392"/>
      <c r="AD77" s="434" t="e">
        <f t="shared" si="0"/>
        <v>#VALUE!</v>
      </c>
      <c r="AE77" s="434"/>
      <c r="AF77" s="434"/>
      <c r="AG77" s="434"/>
      <c r="AH77" s="434"/>
      <c r="AI77" s="434" t="str">
        <f>'Cal 1'!$AL$25</f>
        <v>-</v>
      </c>
      <c r="AJ77" s="434"/>
      <c r="AK77" s="434"/>
      <c r="AL77" s="434"/>
      <c r="AM77" s="434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</row>
    <row r="78" spans="1:77" s="88" customFormat="1" ht="16.5" customHeight="1">
      <c r="A78" s="85"/>
      <c r="B78" s="434" t="str">
        <f>'Cal 1'!$F$21</f>
        <v/>
      </c>
      <c r="C78" s="434"/>
      <c r="D78" s="434"/>
      <c r="E78" s="434"/>
      <c r="F78" s="434"/>
      <c r="G78" s="434"/>
      <c r="H78" s="434"/>
      <c r="I78" s="435" t="str">
        <f>'Cal Ref'!$AP$34</f>
        <v>P9</v>
      </c>
      <c r="J78" s="435"/>
      <c r="K78" s="435"/>
      <c r="L78" s="435"/>
      <c r="M78" s="435"/>
      <c r="N78" s="435"/>
      <c r="O78" s="435"/>
      <c r="P78" s="389" t="s">
        <v>452</v>
      </c>
      <c r="Q78" s="389"/>
      <c r="R78" s="389"/>
      <c r="S78" s="389"/>
      <c r="T78" s="389"/>
      <c r="U78" s="389"/>
      <c r="V78" s="389"/>
      <c r="W78" s="390" t="str">
        <f>'Cal 1'!$AP$21</f>
        <v/>
      </c>
      <c r="X78" s="391"/>
      <c r="Y78" s="391"/>
      <c r="Z78" s="391"/>
      <c r="AA78" s="391"/>
      <c r="AB78" s="391"/>
      <c r="AC78" s="392"/>
      <c r="AD78" s="434" t="e">
        <f t="shared" si="0"/>
        <v>#VALUE!</v>
      </c>
      <c r="AE78" s="434"/>
      <c r="AF78" s="434"/>
      <c r="AG78" s="434"/>
      <c r="AH78" s="434"/>
      <c r="AI78" s="434" t="str">
        <f>'Cal 1'!$AP$25</f>
        <v>-</v>
      </c>
      <c r="AJ78" s="434"/>
      <c r="AK78" s="434"/>
      <c r="AL78" s="434"/>
      <c r="AM78" s="434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</row>
    <row r="79" spans="1:77" s="88" customFormat="1" ht="16.5" customHeight="1" thickBot="1">
      <c r="A79" s="85"/>
      <c r="B79" s="415" t="str">
        <f>'Cal 1'!$F$21</f>
        <v/>
      </c>
      <c r="C79" s="415"/>
      <c r="D79" s="415"/>
      <c r="E79" s="415"/>
      <c r="F79" s="415"/>
      <c r="G79" s="415"/>
      <c r="H79" s="415"/>
      <c r="I79" s="413" t="str">
        <f>'Cal Ref'!$AT$34</f>
        <v>P10</v>
      </c>
      <c r="J79" s="413"/>
      <c r="K79" s="413"/>
      <c r="L79" s="413"/>
      <c r="M79" s="413"/>
      <c r="N79" s="413"/>
      <c r="O79" s="413"/>
      <c r="P79" s="430" t="s">
        <v>453</v>
      </c>
      <c r="Q79" s="430"/>
      <c r="R79" s="430"/>
      <c r="S79" s="430"/>
      <c r="T79" s="430"/>
      <c r="U79" s="430"/>
      <c r="V79" s="430"/>
      <c r="W79" s="431" t="str">
        <f>'Cal 1'!$AT$21</f>
        <v/>
      </c>
      <c r="X79" s="432"/>
      <c r="Y79" s="432"/>
      <c r="Z79" s="432"/>
      <c r="AA79" s="432"/>
      <c r="AB79" s="432"/>
      <c r="AC79" s="433"/>
      <c r="AD79" s="415" t="e">
        <f>B79-W79</f>
        <v>#VALUE!</v>
      </c>
      <c r="AE79" s="415"/>
      <c r="AF79" s="415"/>
      <c r="AG79" s="415"/>
      <c r="AH79" s="415"/>
      <c r="AI79" s="415" t="str">
        <f>'Cal 1'!$AT$25</f>
        <v>-</v>
      </c>
      <c r="AJ79" s="415"/>
      <c r="AK79" s="415"/>
      <c r="AL79" s="415"/>
      <c r="AM79" s="415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</row>
    <row r="80" spans="1:77" ht="19.5" thickBot="1">
      <c r="B80" s="16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6"/>
      <c r="N80" s="12"/>
      <c r="O80" s="12"/>
      <c r="P80" s="12"/>
      <c r="Q80" s="12"/>
      <c r="R80" s="12"/>
      <c r="S80" s="12"/>
      <c r="T80" s="156"/>
      <c r="U80" s="156"/>
      <c r="V80" s="156"/>
      <c r="W80" s="156"/>
      <c r="X80" s="155"/>
      <c r="Y80" s="155"/>
      <c r="Z80" s="155"/>
      <c r="AA80" s="155"/>
      <c r="AB80" s="155"/>
      <c r="AC80" s="155"/>
      <c r="AD80" s="155"/>
      <c r="AE80" s="155"/>
      <c r="AF80" s="156"/>
      <c r="AG80" s="156"/>
      <c r="AH80" s="156"/>
      <c r="AI80" s="156"/>
      <c r="AJ80" s="156"/>
      <c r="AK80" s="156"/>
      <c r="AL80" s="156"/>
      <c r="AM80" s="12"/>
      <c r="AN80" s="88"/>
      <c r="AO80" s="88"/>
      <c r="AP80" s="88"/>
      <c r="AQ80" s="88"/>
      <c r="AR80" s="88"/>
      <c r="AS80" s="88"/>
      <c r="AT80" s="88"/>
      <c r="AU80" s="88"/>
      <c r="AV80" s="88"/>
      <c r="AW80" s="88"/>
      <c r="AX80" s="88"/>
      <c r="AY80" s="88"/>
      <c r="AZ80" s="88"/>
      <c r="BA80" s="88"/>
      <c r="BB80" s="88"/>
      <c r="BC80" s="88"/>
      <c r="BD80" s="88"/>
      <c r="BE80" s="88"/>
      <c r="BF80" s="88"/>
      <c r="BG80" s="88"/>
      <c r="BH80" s="88"/>
      <c r="BI80" s="88"/>
      <c r="BJ80" s="88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</row>
    <row r="81" spans="1:77" s="88" customFormat="1" ht="16.5" customHeight="1" thickBot="1">
      <c r="A81" s="85"/>
      <c r="B81" s="395" t="e">
        <f>VLOOKUP(Page1!AJ14,STD!P:S,4,0)&amp;IF(Page1!AJ14="Channel: 001",", Function: "&amp;STD!R6,", S/N: "&amp;Page1!AI15&amp;", Sensor: "&amp;IF(Page1!AJ14="1586-2586(026) PRT","PRT, S/N: "&amp;STD!T7,VLOOKUP(Page1!AE13,STD!P:S,2,0)))</f>
        <v>#N/A</v>
      </c>
      <c r="C81" s="396"/>
      <c r="D81" s="396"/>
      <c r="E81" s="396"/>
      <c r="F81" s="396"/>
      <c r="G81" s="396"/>
      <c r="H81" s="396"/>
      <c r="I81" s="396"/>
      <c r="J81" s="396"/>
      <c r="K81" s="396"/>
      <c r="L81" s="396"/>
      <c r="M81" s="396"/>
      <c r="N81" s="396"/>
      <c r="O81" s="396"/>
      <c r="P81" s="396"/>
      <c r="Q81" s="396"/>
      <c r="R81" s="396"/>
      <c r="S81" s="396"/>
      <c r="T81" s="396"/>
      <c r="U81" s="396"/>
      <c r="V81" s="396"/>
      <c r="W81" s="396"/>
      <c r="X81" s="396"/>
      <c r="Y81" s="396"/>
      <c r="Z81" s="396"/>
      <c r="AA81" s="396"/>
      <c r="AB81" s="396"/>
      <c r="AC81" s="396"/>
      <c r="AD81" s="396"/>
      <c r="AE81" s="396"/>
      <c r="AF81" s="396"/>
      <c r="AG81" s="396"/>
      <c r="AH81" s="396"/>
      <c r="AI81" s="396"/>
      <c r="AJ81" s="396"/>
      <c r="AK81" s="396"/>
      <c r="AL81" s="396"/>
      <c r="AM81" s="397"/>
    </row>
    <row r="82" spans="1:77" s="88" customFormat="1" ht="16.5" customHeight="1" thickBot="1">
      <c r="A82" s="85"/>
      <c r="B82" s="398" t="s">
        <v>379</v>
      </c>
      <c r="C82" s="399"/>
      <c r="D82" s="399"/>
      <c r="E82" s="399"/>
      <c r="F82" s="399"/>
      <c r="G82" s="399"/>
      <c r="H82" s="400"/>
      <c r="I82" s="401" t="s">
        <v>380</v>
      </c>
      <c r="J82" s="401"/>
      <c r="K82" s="401"/>
      <c r="L82" s="401"/>
      <c r="M82" s="401"/>
      <c r="N82" s="401"/>
      <c r="O82" s="401"/>
      <c r="P82" s="401"/>
      <c r="Q82" s="401"/>
      <c r="R82" s="401"/>
      <c r="S82" s="401"/>
      <c r="T82" s="401"/>
      <c r="U82" s="401"/>
      <c r="V82" s="401"/>
      <c r="W82" s="401"/>
      <c r="X82" s="401"/>
      <c r="Y82" s="401"/>
      <c r="Z82" s="401"/>
      <c r="AA82" s="401"/>
      <c r="AB82" s="401"/>
      <c r="AC82" s="401"/>
      <c r="AD82" s="398" t="s">
        <v>381</v>
      </c>
      <c r="AE82" s="399"/>
      <c r="AF82" s="399"/>
      <c r="AG82" s="399"/>
      <c r="AH82" s="400"/>
      <c r="AI82" s="398" t="s">
        <v>32</v>
      </c>
      <c r="AJ82" s="399"/>
      <c r="AK82" s="399"/>
      <c r="AL82" s="399"/>
      <c r="AM82" s="400"/>
    </row>
    <row r="83" spans="1:77" s="88" customFormat="1" ht="16.5" customHeight="1" thickBot="1">
      <c r="A83" s="85"/>
      <c r="B83" s="425" t="s">
        <v>382</v>
      </c>
      <c r="C83" s="426"/>
      <c r="D83" s="426"/>
      <c r="E83" s="426"/>
      <c r="F83" s="426"/>
      <c r="G83" s="426"/>
      <c r="H83" s="427"/>
      <c r="I83" s="428" t="s">
        <v>383</v>
      </c>
      <c r="J83" s="428"/>
      <c r="K83" s="428"/>
      <c r="L83" s="428"/>
      <c r="M83" s="428"/>
      <c r="N83" s="428"/>
      <c r="O83" s="428"/>
      <c r="P83" s="428" t="s">
        <v>384</v>
      </c>
      <c r="Q83" s="428"/>
      <c r="R83" s="428"/>
      <c r="S83" s="428"/>
      <c r="T83" s="428"/>
      <c r="U83" s="428"/>
      <c r="V83" s="428"/>
      <c r="W83" s="428" t="s">
        <v>79</v>
      </c>
      <c r="X83" s="428"/>
      <c r="Y83" s="428"/>
      <c r="Z83" s="428"/>
      <c r="AA83" s="428"/>
      <c r="AB83" s="428"/>
      <c r="AC83" s="428"/>
      <c r="AD83" s="408" t="s">
        <v>523</v>
      </c>
      <c r="AE83" s="409"/>
      <c r="AF83" s="409"/>
      <c r="AG83" s="409"/>
      <c r="AH83" s="410"/>
      <c r="AI83" s="408" t="s">
        <v>524</v>
      </c>
      <c r="AJ83" s="409"/>
      <c r="AK83" s="409"/>
      <c r="AL83" s="409"/>
      <c r="AM83" s="410"/>
    </row>
    <row r="84" spans="1:77" s="88" customFormat="1" ht="16.5" customHeight="1">
      <c r="A84" s="85"/>
      <c r="B84" s="393" t="str">
        <f>'Cal Ref'!$F$36</f>
        <v/>
      </c>
      <c r="C84" s="393"/>
      <c r="D84" s="393"/>
      <c r="E84" s="393"/>
      <c r="F84" s="393"/>
      <c r="G84" s="393"/>
      <c r="H84" s="393"/>
      <c r="I84" s="389" t="str">
        <f>'Cal Ref'!$J$34</f>
        <v>P1</v>
      </c>
      <c r="J84" s="389"/>
      <c r="K84" s="389"/>
      <c r="L84" s="389"/>
      <c r="M84" s="389"/>
      <c r="N84" s="389"/>
      <c r="O84" s="389"/>
      <c r="P84" s="436" t="s">
        <v>444</v>
      </c>
      <c r="Q84" s="436"/>
      <c r="R84" s="436"/>
      <c r="S84" s="436"/>
      <c r="T84" s="436"/>
      <c r="U84" s="436"/>
      <c r="V84" s="436"/>
      <c r="W84" s="394" t="str">
        <f>'Cal Ref'!$J$36</f>
        <v/>
      </c>
      <c r="X84" s="394"/>
      <c r="Y84" s="394"/>
      <c r="Z84" s="394"/>
      <c r="AA84" s="394"/>
      <c r="AB84" s="394"/>
      <c r="AC84" s="394"/>
      <c r="AD84" s="393" t="e">
        <f>B84-W84</f>
        <v>#VALUE!</v>
      </c>
      <c r="AE84" s="393"/>
      <c r="AF84" s="393"/>
      <c r="AG84" s="393"/>
      <c r="AH84" s="393"/>
      <c r="AI84" s="393" t="str">
        <f>'Cal Ref'!$J$40</f>
        <v>-</v>
      </c>
      <c r="AJ84" s="393"/>
      <c r="AK84" s="393"/>
      <c r="AL84" s="393"/>
      <c r="AM84" s="393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</row>
    <row r="85" spans="1:77" s="88" customFormat="1" ht="16.5" customHeight="1">
      <c r="A85" s="85"/>
      <c r="B85" s="434" t="str">
        <f>'Cal Ref'!$F$36</f>
        <v/>
      </c>
      <c r="C85" s="434"/>
      <c r="D85" s="434"/>
      <c r="E85" s="434"/>
      <c r="F85" s="434"/>
      <c r="G85" s="434"/>
      <c r="H85" s="434"/>
      <c r="I85" s="435" t="str">
        <f>'Cal Ref'!$N$34</f>
        <v>P2</v>
      </c>
      <c r="J85" s="435"/>
      <c r="K85" s="435"/>
      <c r="L85" s="435"/>
      <c r="M85" s="435"/>
      <c r="N85" s="435"/>
      <c r="O85" s="435"/>
      <c r="P85" s="389" t="s">
        <v>445</v>
      </c>
      <c r="Q85" s="389"/>
      <c r="R85" s="389"/>
      <c r="S85" s="389"/>
      <c r="T85" s="389"/>
      <c r="U85" s="389"/>
      <c r="V85" s="389"/>
      <c r="W85" s="441" t="str">
        <f>'Cal Ref'!$N$36</f>
        <v/>
      </c>
      <c r="X85" s="441"/>
      <c r="Y85" s="441"/>
      <c r="Z85" s="441"/>
      <c r="AA85" s="441"/>
      <c r="AB85" s="441"/>
      <c r="AC85" s="441"/>
      <c r="AD85" s="434" t="e">
        <f>B85-W85</f>
        <v>#VALUE!</v>
      </c>
      <c r="AE85" s="434"/>
      <c r="AF85" s="434"/>
      <c r="AG85" s="434"/>
      <c r="AH85" s="434"/>
      <c r="AI85" s="434" t="str">
        <f>'Cal Ref'!$N$40</f>
        <v>-</v>
      </c>
      <c r="AJ85" s="434"/>
      <c r="AK85" s="434"/>
      <c r="AL85" s="434"/>
      <c r="AM85" s="434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</row>
    <row r="86" spans="1:77" s="88" customFormat="1" ht="16.5" customHeight="1">
      <c r="A86" s="85"/>
      <c r="B86" s="434" t="str">
        <f>'Cal Ref'!$F$36</f>
        <v/>
      </c>
      <c r="C86" s="434"/>
      <c r="D86" s="434"/>
      <c r="E86" s="434"/>
      <c r="F86" s="434"/>
      <c r="G86" s="434"/>
      <c r="H86" s="434"/>
      <c r="I86" s="435" t="str">
        <f>'Cal Ref'!$R$34</f>
        <v>P3</v>
      </c>
      <c r="J86" s="435"/>
      <c r="K86" s="435"/>
      <c r="L86" s="435"/>
      <c r="M86" s="435"/>
      <c r="N86" s="435"/>
      <c r="O86" s="435"/>
      <c r="P86" s="389" t="s">
        <v>446</v>
      </c>
      <c r="Q86" s="389"/>
      <c r="R86" s="389"/>
      <c r="S86" s="389"/>
      <c r="T86" s="389"/>
      <c r="U86" s="389"/>
      <c r="V86" s="389"/>
      <c r="W86" s="441" t="str">
        <f>'Cal Ref'!$R$36</f>
        <v/>
      </c>
      <c r="X86" s="441"/>
      <c r="Y86" s="441"/>
      <c r="Z86" s="441"/>
      <c r="AA86" s="441"/>
      <c r="AB86" s="441"/>
      <c r="AC86" s="441"/>
      <c r="AD86" s="434" t="e">
        <f t="shared" ref="AD86:AD90" si="1">B86-W86</f>
        <v>#VALUE!</v>
      </c>
      <c r="AE86" s="434"/>
      <c r="AF86" s="434"/>
      <c r="AG86" s="434"/>
      <c r="AH86" s="434"/>
      <c r="AI86" s="434" t="str">
        <f>'Cal Ref'!$R$40</f>
        <v>-</v>
      </c>
      <c r="AJ86" s="434"/>
      <c r="AK86" s="434"/>
      <c r="AL86" s="434"/>
      <c r="AM86" s="434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</row>
    <row r="87" spans="1:77" s="88" customFormat="1" ht="16.5" customHeight="1">
      <c r="A87" s="85"/>
      <c r="B87" s="434" t="str">
        <f>'Cal Ref'!$F$36</f>
        <v/>
      </c>
      <c r="C87" s="434"/>
      <c r="D87" s="434"/>
      <c r="E87" s="434"/>
      <c r="F87" s="434"/>
      <c r="G87" s="434"/>
      <c r="H87" s="434"/>
      <c r="I87" s="435" t="str">
        <f>'Cal Ref'!$V$34</f>
        <v>P4</v>
      </c>
      <c r="J87" s="435"/>
      <c r="K87" s="435"/>
      <c r="L87" s="435"/>
      <c r="M87" s="435"/>
      <c r="N87" s="435"/>
      <c r="O87" s="435"/>
      <c r="P87" s="389" t="s">
        <v>447</v>
      </c>
      <c r="Q87" s="389"/>
      <c r="R87" s="389"/>
      <c r="S87" s="389"/>
      <c r="T87" s="389"/>
      <c r="U87" s="389"/>
      <c r="V87" s="389"/>
      <c r="W87" s="441" t="str">
        <f>'Cal Ref'!$V$36</f>
        <v/>
      </c>
      <c r="X87" s="441"/>
      <c r="Y87" s="441"/>
      <c r="Z87" s="441"/>
      <c r="AA87" s="441"/>
      <c r="AB87" s="441"/>
      <c r="AC87" s="441"/>
      <c r="AD87" s="434" t="e">
        <f t="shared" si="1"/>
        <v>#VALUE!</v>
      </c>
      <c r="AE87" s="434"/>
      <c r="AF87" s="434"/>
      <c r="AG87" s="434"/>
      <c r="AH87" s="434"/>
      <c r="AI87" s="434" t="str">
        <f>'Cal Ref'!$V$40</f>
        <v>-</v>
      </c>
      <c r="AJ87" s="434"/>
      <c r="AK87" s="434"/>
      <c r="AL87" s="434"/>
      <c r="AM87" s="434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</row>
    <row r="88" spans="1:77" s="88" customFormat="1" ht="16.5" customHeight="1">
      <c r="A88" s="85"/>
      <c r="B88" s="434" t="str">
        <f>'Cal Ref'!$F$36</f>
        <v/>
      </c>
      <c r="C88" s="434"/>
      <c r="D88" s="434"/>
      <c r="E88" s="434"/>
      <c r="F88" s="434"/>
      <c r="G88" s="434"/>
      <c r="H88" s="434"/>
      <c r="I88" s="435" t="str">
        <f>'Cal Ref'!$Z$34</f>
        <v>P5</v>
      </c>
      <c r="J88" s="435"/>
      <c r="K88" s="435"/>
      <c r="L88" s="435"/>
      <c r="M88" s="435"/>
      <c r="N88" s="435"/>
      <c r="O88" s="435"/>
      <c r="P88" s="389" t="s">
        <v>448</v>
      </c>
      <c r="Q88" s="389"/>
      <c r="R88" s="389"/>
      <c r="S88" s="389"/>
      <c r="T88" s="389"/>
      <c r="U88" s="389"/>
      <c r="V88" s="389"/>
      <c r="W88" s="441" t="str">
        <f>'Cal Ref'!$Z$36</f>
        <v/>
      </c>
      <c r="X88" s="441"/>
      <c r="Y88" s="441"/>
      <c r="Z88" s="441"/>
      <c r="AA88" s="441"/>
      <c r="AB88" s="441"/>
      <c r="AC88" s="441"/>
      <c r="AD88" s="434" t="e">
        <f t="shared" si="1"/>
        <v>#VALUE!</v>
      </c>
      <c r="AE88" s="434"/>
      <c r="AF88" s="434"/>
      <c r="AG88" s="434"/>
      <c r="AH88" s="434"/>
      <c r="AI88" s="434" t="str">
        <f>'Cal Ref'!$Z$40</f>
        <v>-</v>
      </c>
      <c r="AJ88" s="434"/>
      <c r="AK88" s="434"/>
      <c r="AL88" s="434"/>
      <c r="AM88" s="434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</row>
    <row r="89" spans="1:77" s="88" customFormat="1" ht="16.5" customHeight="1">
      <c r="A89" s="85"/>
      <c r="B89" s="434" t="str">
        <f>'Cal Ref'!$F$36</f>
        <v/>
      </c>
      <c r="C89" s="434"/>
      <c r="D89" s="434"/>
      <c r="E89" s="434"/>
      <c r="F89" s="434"/>
      <c r="G89" s="434"/>
      <c r="H89" s="434"/>
      <c r="I89" s="435" t="str">
        <f>'Cal Ref'!$AD$34</f>
        <v>P6</v>
      </c>
      <c r="J89" s="435"/>
      <c r="K89" s="435"/>
      <c r="L89" s="435"/>
      <c r="M89" s="435"/>
      <c r="N89" s="435"/>
      <c r="O89" s="435"/>
      <c r="P89" s="389" t="s">
        <v>449</v>
      </c>
      <c r="Q89" s="389"/>
      <c r="R89" s="389"/>
      <c r="S89" s="389"/>
      <c r="T89" s="389"/>
      <c r="U89" s="389"/>
      <c r="V89" s="389"/>
      <c r="W89" s="441" t="str">
        <f>'Cal Ref'!$AD$36</f>
        <v/>
      </c>
      <c r="X89" s="441"/>
      <c r="Y89" s="441"/>
      <c r="Z89" s="441"/>
      <c r="AA89" s="441"/>
      <c r="AB89" s="441"/>
      <c r="AC89" s="441"/>
      <c r="AD89" s="434" t="e">
        <f t="shared" si="1"/>
        <v>#VALUE!</v>
      </c>
      <c r="AE89" s="434"/>
      <c r="AF89" s="434"/>
      <c r="AG89" s="434"/>
      <c r="AH89" s="434"/>
      <c r="AI89" s="434" t="str">
        <f>'Cal Ref'!$AD$40</f>
        <v>-</v>
      </c>
      <c r="AJ89" s="434"/>
      <c r="AK89" s="434"/>
      <c r="AL89" s="434"/>
      <c r="AM89" s="434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</row>
    <row r="90" spans="1:77" s="88" customFormat="1" ht="16.5" customHeight="1">
      <c r="A90" s="85"/>
      <c r="B90" s="434" t="str">
        <f>'Cal Ref'!$F$36</f>
        <v/>
      </c>
      <c r="C90" s="434"/>
      <c r="D90" s="434"/>
      <c r="E90" s="434"/>
      <c r="F90" s="434"/>
      <c r="G90" s="434"/>
      <c r="H90" s="434"/>
      <c r="I90" s="435" t="str">
        <f>'Cal Ref'!$AH$34</f>
        <v>P7</v>
      </c>
      <c r="J90" s="435"/>
      <c r="K90" s="435"/>
      <c r="L90" s="435"/>
      <c r="M90" s="435"/>
      <c r="N90" s="435"/>
      <c r="O90" s="435"/>
      <c r="P90" s="389" t="s">
        <v>450</v>
      </c>
      <c r="Q90" s="389"/>
      <c r="R90" s="389"/>
      <c r="S90" s="389"/>
      <c r="T90" s="389"/>
      <c r="U90" s="389"/>
      <c r="V90" s="389"/>
      <c r="W90" s="441" t="str">
        <f>'Cal Ref'!$AH$36</f>
        <v/>
      </c>
      <c r="X90" s="441"/>
      <c r="Y90" s="441"/>
      <c r="Z90" s="441"/>
      <c r="AA90" s="441"/>
      <c r="AB90" s="441"/>
      <c r="AC90" s="441"/>
      <c r="AD90" s="434" t="e">
        <f t="shared" si="1"/>
        <v>#VALUE!</v>
      </c>
      <c r="AE90" s="434"/>
      <c r="AF90" s="434"/>
      <c r="AG90" s="434"/>
      <c r="AH90" s="434"/>
      <c r="AI90" s="434" t="str">
        <f>'Cal Ref'!$AH$40</f>
        <v>-</v>
      </c>
      <c r="AJ90" s="434"/>
      <c r="AK90" s="434"/>
      <c r="AL90" s="434"/>
      <c r="AM90" s="434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</row>
    <row r="91" spans="1:77" s="88" customFormat="1" ht="16.5" customHeight="1">
      <c r="A91" s="85"/>
      <c r="B91" s="434" t="str">
        <f>'Cal Ref'!$F$36</f>
        <v/>
      </c>
      <c r="C91" s="434"/>
      <c r="D91" s="434"/>
      <c r="E91" s="434"/>
      <c r="F91" s="434"/>
      <c r="G91" s="434"/>
      <c r="H91" s="434"/>
      <c r="I91" s="435" t="str">
        <f>'Cal Ref'!$AL$34</f>
        <v>P8</v>
      </c>
      <c r="J91" s="435"/>
      <c r="K91" s="435"/>
      <c r="L91" s="435"/>
      <c r="M91" s="435"/>
      <c r="N91" s="435"/>
      <c r="O91" s="435"/>
      <c r="P91" s="389" t="s">
        <v>451</v>
      </c>
      <c r="Q91" s="389"/>
      <c r="R91" s="389"/>
      <c r="S91" s="389"/>
      <c r="T91" s="389"/>
      <c r="U91" s="389"/>
      <c r="V91" s="389"/>
      <c r="W91" s="441" t="str">
        <f>'Cal Ref'!$AL$36</f>
        <v/>
      </c>
      <c r="X91" s="441"/>
      <c r="Y91" s="441"/>
      <c r="Z91" s="441"/>
      <c r="AA91" s="441"/>
      <c r="AB91" s="441"/>
      <c r="AC91" s="441"/>
      <c r="AD91" s="434" t="e">
        <f>B91-W91</f>
        <v>#VALUE!</v>
      </c>
      <c r="AE91" s="434"/>
      <c r="AF91" s="434"/>
      <c r="AG91" s="434"/>
      <c r="AH91" s="434"/>
      <c r="AI91" s="434" t="str">
        <f>'Cal Ref'!$AL$40</f>
        <v>-</v>
      </c>
      <c r="AJ91" s="434"/>
      <c r="AK91" s="434"/>
      <c r="AL91" s="434"/>
      <c r="AM91" s="434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</row>
    <row r="92" spans="1:77" s="88" customFormat="1" ht="16.5" customHeight="1">
      <c r="A92" s="85"/>
      <c r="B92" s="434" t="str">
        <f>'Cal Ref'!$F$36</f>
        <v/>
      </c>
      <c r="C92" s="434"/>
      <c r="D92" s="434"/>
      <c r="E92" s="434"/>
      <c r="F92" s="434"/>
      <c r="G92" s="434"/>
      <c r="H92" s="434"/>
      <c r="I92" s="435" t="str">
        <f>'Cal Ref'!$AP$34</f>
        <v>P9</v>
      </c>
      <c r="J92" s="435"/>
      <c r="K92" s="435"/>
      <c r="L92" s="435"/>
      <c r="M92" s="435"/>
      <c r="N92" s="435"/>
      <c r="O92" s="435"/>
      <c r="P92" s="389" t="s">
        <v>452</v>
      </c>
      <c r="Q92" s="389"/>
      <c r="R92" s="389"/>
      <c r="S92" s="389"/>
      <c r="T92" s="389"/>
      <c r="U92" s="389"/>
      <c r="V92" s="389"/>
      <c r="W92" s="441" t="str">
        <f>'Cal Ref'!$AP$36</f>
        <v/>
      </c>
      <c r="X92" s="441"/>
      <c r="Y92" s="441"/>
      <c r="Z92" s="441"/>
      <c r="AA92" s="441"/>
      <c r="AB92" s="441"/>
      <c r="AC92" s="441"/>
      <c r="AD92" s="434" t="e">
        <f>B92-W92</f>
        <v>#VALUE!</v>
      </c>
      <c r="AE92" s="434"/>
      <c r="AF92" s="434"/>
      <c r="AG92" s="434"/>
      <c r="AH92" s="434"/>
      <c r="AI92" s="434" t="str">
        <f>'Cal Ref'!$AP$40</f>
        <v>-</v>
      </c>
      <c r="AJ92" s="434"/>
      <c r="AK92" s="434"/>
      <c r="AL92" s="434"/>
      <c r="AM92" s="434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</row>
    <row r="93" spans="1:77" s="88" customFormat="1" ht="16.5" customHeight="1" thickBot="1">
      <c r="A93" s="85"/>
      <c r="B93" s="415" t="str">
        <f>'Cal Ref'!$F$36</f>
        <v/>
      </c>
      <c r="C93" s="415"/>
      <c r="D93" s="415"/>
      <c r="E93" s="415"/>
      <c r="F93" s="415"/>
      <c r="G93" s="415"/>
      <c r="H93" s="415"/>
      <c r="I93" s="413" t="str">
        <f>'Cal Ref'!$AT$34</f>
        <v>P10</v>
      </c>
      <c r="J93" s="413"/>
      <c r="K93" s="413"/>
      <c r="L93" s="413"/>
      <c r="M93" s="413"/>
      <c r="N93" s="413"/>
      <c r="O93" s="413"/>
      <c r="P93" s="430" t="s">
        <v>453</v>
      </c>
      <c r="Q93" s="430"/>
      <c r="R93" s="430"/>
      <c r="S93" s="430"/>
      <c r="T93" s="430"/>
      <c r="U93" s="430"/>
      <c r="V93" s="430"/>
      <c r="W93" s="440" t="str">
        <f>'Cal Ref'!$AT$36</f>
        <v/>
      </c>
      <c r="X93" s="440"/>
      <c r="Y93" s="440"/>
      <c r="Z93" s="440"/>
      <c r="AA93" s="440"/>
      <c r="AB93" s="440"/>
      <c r="AC93" s="440"/>
      <c r="AD93" s="415" t="e">
        <f>B93-W93</f>
        <v>#VALUE!</v>
      </c>
      <c r="AE93" s="415"/>
      <c r="AF93" s="415"/>
      <c r="AG93" s="415"/>
      <c r="AH93" s="415"/>
      <c r="AI93" s="415" t="str">
        <f>'Cal Ref'!$AT$40</f>
        <v>-</v>
      </c>
      <c r="AJ93" s="415"/>
      <c r="AK93" s="415"/>
      <c r="AL93" s="415"/>
      <c r="AM93" s="415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</row>
    <row r="94" spans="1:77" ht="6" customHeight="1">
      <c r="B94" s="16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6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88"/>
      <c r="AO94" s="88"/>
      <c r="AP94" s="88"/>
      <c r="AQ94" s="88"/>
      <c r="AR94" s="88"/>
      <c r="AS94" s="88"/>
      <c r="AT94" s="88"/>
      <c r="AU94" s="88"/>
      <c r="AV94" s="88"/>
      <c r="AW94" s="88"/>
      <c r="AX94" s="88"/>
      <c r="AY94" s="88"/>
      <c r="AZ94" s="88"/>
      <c r="BA94" s="88"/>
      <c r="BB94" s="88"/>
      <c r="BC94" s="88"/>
      <c r="BD94" s="88"/>
      <c r="BE94" s="88"/>
      <c r="BF94" s="88"/>
      <c r="BG94" s="88"/>
      <c r="BH94" s="88"/>
      <c r="BI94" s="88"/>
      <c r="BJ94" s="88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</row>
    <row r="95" spans="1:77" s="88" customFormat="1" ht="16.5" customHeight="1">
      <c r="A95" s="85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45"/>
      <c r="X95" s="145"/>
      <c r="Y95" s="145"/>
      <c r="Z95" s="145"/>
      <c r="AA95" s="145"/>
      <c r="AB95" s="145"/>
      <c r="AC95" s="145"/>
      <c r="AD95" s="145"/>
      <c r="AE95" s="145"/>
      <c r="AF95" s="145"/>
      <c r="AG95" s="145"/>
      <c r="AH95" s="145"/>
      <c r="AI95" s="28"/>
      <c r="AJ95" s="28"/>
      <c r="AK95" s="28"/>
      <c r="AL95" s="28"/>
      <c r="AM95" s="28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</row>
    <row r="96" spans="1:77" s="88" customFormat="1" ht="16.5" customHeight="1">
      <c r="A96" s="85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45"/>
      <c r="X96" s="145"/>
      <c r="Y96" s="145"/>
      <c r="Z96" s="145"/>
      <c r="AA96" s="145"/>
      <c r="AB96" s="145"/>
      <c r="AC96" s="145"/>
      <c r="AD96" s="145"/>
      <c r="AE96" s="145"/>
      <c r="AF96" s="145"/>
      <c r="AG96" s="145"/>
      <c r="AH96" s="145"/>
      <c r="AI96" s="28"/>
      <c r="AJ96" s="28"/>
      <c r="AK96" s="28"/>
      <c r="AL96" s="28"/>
      <c r="AM96" s="28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</row>
    <row r="97" spans="1:77" s="88" customFormat="1" ht="16.5" customHeight="1">
      <c r="A97" s="85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45"/>
      <c r="X97" s="145"/>
      <c r="Y97" s="145"/>
      <c r="Z97" s="145"/>
      <c r="AA97" s="145"/>
      <c r="AB97" s="145"/>
      <c r="AC97" s="145"/>
      <c r="AD97" s="145"/>
      <c r="AE97" s="145"/>
      <c r="AF97" s="145"/>
      <c r="AG97" s="145"/>
      <c r="AH97" s="145"/>
      <c r="AI97" s="28"/>
      <c r="AJ97" s="28"/>
      <c r="AK97" s="28"/>
      <c r="AL97" s="28"/>
      <c r="AM97" s="28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</row>
    <row r="98" spans="1:77" s="88" customFormat="1" ht="16.5" customHeight="1">
      <c r="A98" s="85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45"/>
      <c r="X98" s="145"/>
      <c r="Y98" s="145"/>
      <c r="Z98" s="145"/>
      <c r="AA98" s="145"/>
      <c r="AB98" s="145"/>
      <c r="AC98" s="145"/>
      <c r="AD98" s="145"/>
      <c r="AE98" s="145"/>
      <c r="AF98" s="145"/>
      <c r="AG98" s="145"/>
      <c r="AH98" s="145"/>
      <c r="AI98" s="28"/>
      <c r="AJ98" s="28"/>
      <c r="AK98" s="28"/>
      <c r="AL98" s="28"/>
      <c r="AM98" s="28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</row>
    <row r="99" spans="1:77" s="88" customFormat="1" ht="16.5" customHeight="1">
      <c r="A99" s="85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45"/>
      <c r="X99" s="145"/>
      <c r="Y99" s="145"/>
      <c r="Z99" s="145"/>
      <c r="AA99" s="145"/>
      <c r="AB99" s="145"/>
      <c r="AC99" s="145"/>
      <c r="AD99" s="145"/>
      <c r="AE99" s="145"/>
      <c r="AF99" s="145"/>
      <c r="AG99" s="145"/>
      <c r="AH99" s="145"/>
      <c r="AI99" s="28"/>
      <c r="AJ99" s="28"/>
      <c r="AK99" s="28"/>
      <c r="AL99" s="28"/>
      <c r="AM99" s="28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</row>
    <row r="100" spans="1:77" s="88" customFormat="1" ht="16.5" customHeight="1">
      <c r="A100" s="85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45"/>
      <c r="X100" s="145"/>
      <c r="Y100" s="145"/>
      <c r="Z100" s="145"/>
      <c r="AA100" s="145"/>
      <c r="AB100" s="145"/>
      <c r="AC100" s="145"/>
      <c r="AD100" s="145"/>
      <c r="AE100" s="145"/>
      <c r="AF100" s="145"/>
      <c r="AG100" s="145"/>
      <c r="AH100" s="145"/>
      <c r="AI100" s="28"/>
      <c r="AJ100" s="28"/>
      <c r="AK100" s="28"/>
      <c r="AL100" s="28"/>
      <c r="AM100" s="28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  <c r="BA100" s="10"/>
      <c r="BB100" s="10"/>
      <c r="BC100" s="10"/>
      <c r="BD100" s="10"/>
      <c r="BE100" s="10"/>
      <c r="BF100" s="10"/>
      <c r="BG100" s="10"/>
      <c r="BH100" s="10"/>
      <c r="BI100" s="10"/>
      <c r="BJ100" s="10"/>
      <c r="BK100" s="10"/>
      <c r="BL100" s="10"/>
      <c r="BM100" s="10"/>
      <c r="BN100" s="10"/>
      <c r="BO100" s="10"/>
      <c r="BP100" s="10"/>
      <c r="BQ100" s="10"/>
      <c r="BR100" s="10"/>
      <c r="BS100" s="10"/>
      <c r="BT100" s="10"/>
      <c r="BU100" s="10"/>
      <c r="BV100" s="10"/>
      <c r="BW100" s="10"/>
      <c r="BX100" s="10"/>
      <c r="BY100" s="10"/>
    </row>
    <row r="101" spans="1:77" s="88" customFormat="1" ht="16.5" customHeight="1">
      <c r="A101" s="85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45"/>
      <c r="X101" s="145"/>
      <c r="Y101" s="145"/>
      <c r="Z101" s="145"/>
      <c r="AA101" s="145"/>
      <c r="AB101" s="145"/>
      <c r="AC101" s="145"/>
      <c r="AD101" s="145"/>
      <c r="AE101" s="145"/>
      <c r="AF101" s="145"/>
      <c r="AG101" s="145"/>
      <c r="AH101" s="145"/>
      <c r="AI101" s="28"/>
      <c r="AJ101" s="28"/>
      <c r="AK101" s="28"/>
      <c r="AL101" s="28"/>
      <c r="AM101" s="28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0"/>
      <c r="BS101" s="10"/>
      <c r="BT101" s="10"/>
      <c r="BU101" s="10"/>
      <c r="BV101" s="10"/>
      <c r="BW101" s="10"/>
      <c r="BX101" s="10"/>
      <c r="BY101" s="10"/>
    </row>
    <row r="102" spans="1:77" s="88" customFormat="1" ht="16.5" customHeight="1">
      <c r="A102" s="85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45"/>
      <c r="X102" s="145"/>
      <c r="Y102" s="145"/>
      <c r="Z102" s="145"/>
      <c r="AA102" s="145"/>
      <c r="AB102" s="145"/>
      <c r="AC102" s="145"/>
      <c r="AD102" s="145"/>
      <c r="AE102" s="145"/>
      <c r="AF102" s="145"/>
      <c r="AG102" s="145"/>
      <c r="AH102" s="145"/>
      <c r="AI102" s="28"/>
      <c r="AJ102" s="28"/>
      <c r="AK102" s="28"/>
      <c r="AL102" s="28"/>
      <c r="AM102" s="28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  <c r="BS102" s="10"/>
      <c r="BT102" s="10"/>
      <c r="BU102" s="10"/>
      <c r="BV102" s="10"/>
      <c r="BW102" s="10"/>
      <c r="BX102" s="10"/>
      <c r="BY102" s="10"/>
    </row>
    <row r="103" spans="1:77" s="88" customFormat="1" ht="16.5" customHeight="1">
      <c r="A103" s="85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45"/>
      <c r="X103" s="145"/>
      <c r="Y103" s="145"/>
      <c r="Z103" s="145"/>
      <c r="AA103" s="145"/>
      <c r="AB103" s="145"/>
      <c r="AC103" s="145"/>
      <c r="AD103" s="145"/>
      <c r="AE103" s="145"/>
      <c r="AF103" s="145"/>
      <c r="AG103" s="145"/>
      <c r="AH103" s="145"/>
      <c r="AI103" s="28"/>
      <c r="AJ103" s="28"/>
      <c r="AK103" s="28"/>
      <c r="AL103" s="28"/>
      <c r="AM103" s="28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  <c r="BT103" s="10"/>
      <c r="BU103" s="10"/>
      <c r="BV103" s="10"/>
      <c r="BW103" s="10"/>
      <c r="BX103" s="10"/>
      <c r="BY103" s="10"/>
    </row>
    <row r="104" spans="1:77" s="88" customFormat="1" ht="16.5" customHeight="1">
      <c r="A104" s="85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45"/>
      <c r="X104" s="145"/>
      <c r="Y104" s="145"/>
      <c r="Z104" s="145"/>
      <c r="AA104" s="145"/>
      <c r="AB104" s="145"/>
      <c r="AC104" s="145"/>
      <c r="AD104" s="145"/>
      <c r="AE104" s="145"/>
      <c r="AF104" s="145"/>
      <c r="AG104" s="145"/>
      <c r="AH104" s="145"/>
      <c r="AI104" s="28"/>
      <c r="AJ104" s="28"/>
      <c r="AK104" s="28"/>
      <c r="AL104" s="28"/>
      <c r="AM104" s="28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  <c r="BS104" s="10"/>
      <c r="BT104" s="10"/>
      <c r="BU104" s="10"/>
      <c r="BV104" s="10"/>
      <c r="BW104" s="10"/>
      <c r="BX104" s="10"/>
      <c r="BY104" s="10"/>
    </row>
    <row r="105" spans="1:77" s="88" customFormat="1" ht="16.5" customHeight="1">
      <c r="A105" s="85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45"/>
      <c r="X105" s="145"/>
      <c r="Y105" s="145"/>
      <c r="Z105" s="145"/>
      <c r="AA105" s="145"/>
      <c r="AB105" s="145"/>
      <c r="AC105" s="145"/>
      <c r="AD105" s="145"/>
      <c r="AE105" s="145"/>
      <c r="AF105" s="145"/>
      <c r="AG105" s="145"/>
      <c r="AH105" s="145"/>
      <c r="AI105" s="28"/>
      <c r="AJ105" s="28"/>
      <c r="AK105" s="28"/>
      <c r="AL105" s="28"/>
      <c r="AM105" s="28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  <c r="BS105" s="10"/>
      <c r="BT105" s="10"/>
      <c r="BU105" s="10"/>
      <c r="BV105" s="10"/>
      <c r="BW105" s="10"/>
      <c r="BX105" s="10"/>
      <c r="BY105" s="10"/>
    </row>
    <row r="106" spans="1:77" s="88" customFormat="1" ht="16.5" customHeight="1">
      <c r="A106" s="85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45"/>
      <c r="X106" s="145"/>
      <c r="Y106" s="145"/>
      <c r="Z106" s="145"/>
      <c r="AA106" s="145"/>
      <c r="AB106" s="145"/>
      <c r="AC106" s="145"/>
      <c r="AD106" s="145"/>
      <c r="AE106" s="145"/>
      <c r="AF106" s="145"/>
      <c r="AG106" s="145"/>
      <c r="AH106" s="145"/>
      <c r="AI106" s="28"/>
      <c r="AJ106" s="28"/>
      <c r="AK106" s="28"/>
      <c r="AL106" s="28"/>
      <c r="AM106" s="28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  <c r="BS106" s="10"/>
      <c r="BT106" s="10"/>
      <c r="BU106" s="10"/>
      <c r="BV106" s="10"/>
      <c r="BW106" s="10"/>
      <c r="BX106" s="10"/>
      <c r="BY106" s="10"/>
    </row>
    <row r="107" spans="1:77" ht="17.25" customHeight="1"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405" t="s">
        <v>38</v>
      </c>
      <c r="AA107" s="405"/>
      <c r="AB107" s="405"/>
      <c r="AC107" s="405"/>
      <c r="AD107" s="405"/>
      <c r="AE107" s="405"/>
      <c r="AF107" s="405"/>
      <c r="AG107" s="405"/>
      <c r="AH107" s="405"/>
      <c r="AI107" s="407" t="str">
        <f>$AI$56</f>
        <v xml:space="preserve"> /69 </v>
      </c>
      <c r="AJ107" s="407"/>
      <c r="AK107" s="407"/>
      <c r="AL107" s="407"/>
      <c r="AM107" s="407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</row>
    <row r="108" spans="1:77" ht="17.25" customHeight="1"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405" t="s">
        <v>42</v>
      </c>
      <c r="AB108" s="405"/>
      <c r="AC108" s="405"/>
      <c r="AD108" s="405"/>
      <c r="AE108" s="405"/>
      <c r="AF108" s="405"/>
      <c r="AG108" s="405"/>
      <c r="AH108" s="405"/>
      <c r="AI108" s="407" t="s">
        <v>442</v>
      </c>
      <c r="AJ108" s="407"/>
      <c r="AK108" s="407"/>
      <c r="AL108" s="407"/>
      <c r="AM108" s="407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</row>
    <row r="109" spans="1:77" s="88" customFormat="1" ht="16.5" customHeight="1">
      <c r="A109" s="85"/>
      <c r="B109" s="86" t="s">
        <v>89</v>
      </c>
      <c r="C109" s="85"/>
      <c r="D109" s="85"/>
      <c r="E109" s="85"/>
      <c r="F109" s="85"/>
      <c r="G109" s="85"/>
      <c r="H109" s="85"/>
      <c r="I109" s="85"/>
      <c r="J109" s="85"/>
      <c r="K109" s="87" t="s">
        <v>29</v>
      </c>
      <c r="L109" s="85"/>
      <c r="M109" s="85"/>
      <c r="N109" s="85"/>
      <c r="O109" s="85"/>
      <c r="P109" s="85"/>
      <c r="Q109" s="85"/>
      <c r="R109" s="85"/>
      <c r="S109" s="85"/>
      <c r="T109" s="85"/>
      <c r="U109" s="85"/>
      <c r="V109" s="85"/>
      <c r="W109" s="85"/>
      <c r="X109" s="85"/>
      <c r="Y109" s="85"/>
      <c r="Z109" s="85"/>
      <c r="AA109" s="85"/>
      <c r="AB109" s="85"/>
      <c r="AC109" s="85"/>
      <c r="AD109" s="85"/>
      <c r="AE109" s="85"/>
      <c r="AF109" s="85"/>
      <c r="AG109" s="85"/>
      <c r="AH109" s="85"/>
      <c r="AI109" s="85"/>
      <c r="AJ109" s="85"/>
      <c r="AK109" s="85"/>
      <c r="AL109" s="85"/>
      <c r="AM109" s="85"/>
    </row>
    <row r="110" spans="1:77" s="88" customFormat="1" ht="16.5" customHeight="1">
      <c r="A110" s="85"/>
      <c r="B110" s="20" t="s">
        <v>378</v>
      </c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 t="str">
        <f>IF(Page1!AE13="","",Page1!AE13)</f>
        <v/>
      </c>
      <c r="P110" s="10"/>
      <c r="Q110" s="10"/>
      <c r="R110" s="10"/>
      <c r="S110" s="10"/>
      <c r="T110" s="10"/>
      <c r="U110" s="10"/>
      <c r="V110" s="10"/>
      <c r="W110" s="10"/>
      <c r="X110" s="23"/>
      <c r="Y110" s="23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</row>
    <row r="111" spans="1:77" s="88" customFormat="1" ht="16.5" customHeight="1">
      <c r="A111" s="85"/>
      <c r="B111" s="34" t="s">
        <v>377</v>
      </c>
      <c r="C111" s="10"/>
      <c r="D111" s="10"/>
      <c r="E111" s="10"/>
      <c r="F111" s="10"/>
      <c r="G111" s="10"/>
      <c r="H111" s="10"/>
      <c r="I111" s="10" t="str">
        <f>IF(Page1!AL16="","",Page1!AL16)&amp;" cm."</f>
        <v xml:space="preserve"> cm.</v>
      </c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23"/>
      <c r="Y111" s="23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</row>
    <row r="112" spans="1:77" s="88" customFormat="1" ht="16.5" customHeight="1" thickBot="1">
      <c r="A112" s="85"/>
      <c r="B112" s="11" t="s">
        <v>31</v>
      </c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23"/>
      <c r="W112" s="23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"/>
      <c r="AM112" s="1"/>
    </row>
    <row r="113" spans="1:77" s="88" customFormat="1" ht="16.5" customHeight="1" thickBot="1">
      <c r="A113" s="85"/>
      <c r="B113" s="395" t="e">
        <f>VLOOKUP(Page1!AJ14,STD!P:S,4,0)&amp;IF(Page1!AJ14="Channel: 001",", Function: "&amp;STD!R6,", S/N: "&amp;Page1!AI15&amp;", Sensor: "&amp;IF(Page1!AJ14="1586-2586(026) PRT","PRT, S/N: "&amp;STD!T7,VLOOKUP(Page1!AE13,STD!P:S,2,0)))</f>
        <v>#N/A</v>
      </c>
      <c r="C113" s="396"/>
      <c r="D113" s="396"/>
      <c r="E113" s="396"/>
      <c r="F113" s="396"/>
      <c r="G113" s="396"/>
      <c r="H113" s="396"/>
      <c r="I113" s="396"/>
      <c r="J113" s="396"/>
      <c r="K113" s="396"/>
      <c r="L113" s="396"/>
      <c r="M113" s="396"/>
      <c r="N113" s="396"/>
      <c r="O113" s="396"/>
      <c r="P113" s="396"/>
      <c r="Q113" s="396"/>
      <c r="R113" s="396"/>
      <c r="S113" s="396"/>
      <c r="T113" s="396"/>
      <c r="U113" s="396"/>
      <c r="V113" s="396"/>
      <c r="W113" s="396"/>
      <c r="X113" s="396"/>
      <c r="Y113" s="396"/>
      <c r="Z113" s="396"/>
      <c r="AA113" s="396"/>
      <c r="AB113" s="396"/>
      <c r="AC113" s="396"/>
      <c r="AD113" s="396"/>
      <c r="AE113" s="396"/>
      <c r="AF113" s="396"/>
      <c r="AG113" s="396"/>
      <c r="AH113" s="396"/>
      <c r="AI113" s="396"/>
      <c r="AJ113" s="396"/>
      <c r="AK113" s="396"/>
      <c r="AL113" s="396"/>
      <c r="AM113" s="397"/>
    </row>
    <row r="114" spans="1:77" s="88" customFormat="1" ht="16.5" customHeight="1" thickBot="1">
      <c r="A114" s="85"/>
      <c r="B114" s="398" t="s">
        <v>379</v>
      </c>
      <c r="C114" s="399"/>
      <c r="D114" s="399"/>
      <c r="E114" s="399"/>
      <c r="F114" s="399"/>
      <c r="G114" s="399"/>
      <c r="H114" s="400"/>
      <c r="I114" s="401" t="s">
        <v>380</v>
      </c>
      <c r="J114" s="401"/>
      <c r="K114" s="401"/>
      <c r="L114" s="401"/>
      <c r="M114" s="401"/>
      <c r="N114" s="401"/>
      <c r="O114" s="401"/>
      <c r="P114" s="401"/>
      <c r="Q114" s="401"/>
      <c r="R114" s="401"/>
      <c r="S114" s="401"/>
      <c r="T114" s="401"/>
      <c r="U114" s="401"/>
      <c r="V114" s="401"/>
      <c r="W114" s="401"/>
      <c r="X114" s="401"/>
      <c r="Y114" s="401"/>
      <c r="Z114" s="401"/>
      <c r="AA114" s="401"/>
      <c r="AB114" s="401"/>
      <c r="AC114" s="401"/>
      <c r="AD114" s="398" t="s">
        <v>381</v>
      </c>
      <c r="AE114" s="399"/>
      <c r="AF114" s="399"/>
      <c r="AG114" s="399"/>
      <c r="AH114" s="400"/>
      <c r="AI114" s="398" t="s">
        <v>32</v>
      </c>
      <c r="AJ114" s="399"/>
      <c r="AK114" s="399"/>
      <c r="AL114" s="399"/>
      <c r="AM114" s="400"/>
    </row>
    <row r="115" spans="1:77" s="88" customFormat="1" ht="16.5" customHeight="1" thickBot="1">
      <c r="A115" s="85"/>
      <c r="B115" s="425" t="s">
        <v>382</v>
      </c>
      <c r="C115" s="426"/>
      <c r="D115" s="426"/>
      <c r="E115" s="426"/>
      <c r="F115" s="426"/>
      <c r="G115" s="426"/>
      <c r="H115" s="427"/>
      <c r="I115" s="428" t="s">
        <v>383</v>
      </c>
      <c r="J115" s="428"/>
      <c r="K115" s="428"/>
      <c r="L115" s="428"/>
      <c r="M115" s="428"/>
      <c r="N115" s="428"/>
      <c r="O115" s="428"/>
      <c r="P115" s="428" t="s">
        <v>384</v>
      </c>
      <c r="Q115" s="428"/>
      <c r="R115" s="428"/>
      <c r="S115" s="428"/>
      <c r="T115" s="428"/>
      <c r="U115" s="428"/>
      <c r="V115" s="428"/>
      <c r="W115" s="428" t="s">
        <v>79</v>
      </c>
      <c r="X115" s="428"/>
      <c r="Y115" s="428"/>
      <c r="Z115" s="428"/>
      <c r="AA115" s="428"/>
      <c r="AB115" s="428"/>
      <c r="AC115" s="428"/>
      <c r="AD115" s="408" t="s">
        <v>523</v>
      </c>
      <c r="AE115" s="409"/>
      <c r="AF115" s="409"/>
      <c r="AG115" s="409"/>
      <c r="AH115" s="410"/>
      <c r="AI115" s="408" t="s">
        <v>524</v>
      </c>
      <c r="AJ115" s="409"/>
      <c r="AK115" s="409"/>
      <c r="AL115" s="409"/>
      <c r="AM115" s="410"/>
    </row>
    <row r="116" spans="1:77" s="88" customFormat="1" ht="16.5" customHeight="1">
      <c r="A116" s="85"/>
      <c r="B116" s="393" t="str">
        <f>'Cal 1'!$F$21</f>
        <v/>
      </c>
      <c r="C116" s="393"/>
      <c r="D116" s="393"/>
      <c r="E116" s="393"/>
      <c r="F116" s="393"/>
      <c r="G116" s="393"/>
      <c r="H116" s="393"/>
      <c r="I116" s="389" t="str">
        <f>'Cal Ref'!$J$34</f>
        <v>P1</v>
      </c>
      <c r="J116" s="389"/>
      <c r="K116" s="389"/>
      <c r="L116" s="389"/>
      <c r="M116" s="389"/>
      <c r="N116" s="389"/>
      <c r="O116" s="389"/>
      <c r="P116" s="436" t="s">
        <v>444</v>
      </c>
      <c r="Q116" s="436"/>
      <c r="R116" s="436"/>
      <c r="S116" s="436"/>
      <c r="T116" s="436"/>
      <c r="U116" s="436"/>
      <c r="V116" s="436"/>
      <c r="W116" s="394" t="str">
        <f>'Cal 1'!$J$21</f>
        <v/>
      </c>
      <c r="X116" s="394"/>
      <c r="Y116" s="394"/>
      <c r="Z116" s="394"/>
      <c r="AA116" s="394"/>
      <c r="AB116" s="394"/>
      <c r="AC116" s="394"/>
      <c r="AD116" s="393" t="e">
        <f>B116-W116</f>
        <v>#VALUE!</v>
      </c>
      <c r="AE116" s="393"/>
      <c r="AF116" s="393"/>
      <c r="AG116" s="393"/>
      <c r="AH116" s="393"/>
      <c r="AI116" s="393" t="str">
        <f>'Cal 1'!$J$25</f>
        <v>-</v>
      </c>
      <c r="AJ116" s="393"/>
      <c r="AK116" s="393"/>
      <c r="AL116" s="393"/>
      <c r="AM116" s="393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  <c r="BS116" s="10"/>
      <c r="BT116" s="10"/>
      <c r="BU116" s="10"/>
      <c r="BV116" s="10"/>
      <c r="BW116" s="10"/>
      <c r="BX116" s="10"/>
      <c r="BY116" s="10"/>
    </row>
    <row r="117" spans="1:77" s="88" customFormat="1" ht="16.5" customHeight="1">
      <c r="A117" s="85"/>
      <c r="B117" s="434" t="str">
        <f>'Cal 1'!$F$21</f>
        <v/>
      </c>
      <c r="C117" s="434"/>
      <c r="D117" s="434"/>
      <c r="E117" s="434"/>
      <c r="F117" s="434"/>
      <c r="G117" s="434"/>
      <c r="H117" s="434"/>
      <c r="I117" s="435" t="str">
        <f>'Cal Ref'!$N$34</f>
        <v>P2</v>
      </c>
      <c r="J117" s="435"/>
      <c r="K117" s="435"/>
      <c r="L117" s="435"/>
      <c r="M117" s="435"/>
      <c r="N117" s="435"/>
      <c r="O117" s="435"/>
      <c r="P117" s="389" t="s">
        <v>445</v>
      </c>
      <c r="Q117" s="389"/>
      <c r="R117" s="389"/>
      <c r="S117" s="389"/>
      <c r="T117" s="389"/>
      <c r="U117" s="389"/>
      <c r="V117" s="389"/>
      <c r="W117" s="390" t="str">
        <f>'Cal 1'!$N$21</f>
        <v/>
      </c>
      <c r="X117" s="391"/>
      <c r="Y117" s="391"/>
      <c r="Z117" s="391"/>
      <c r="AA117" s="391"/>
      <c r="AB117" s="391"/>
      <c r="AC117" s="392"/>
      <c r="AD117" s="434" t="e">
        <f>B117-W117</f>
        <v>#VALUE!</v>
      </c>
      <c r="AE117" s="434"/>
      <c r="AF117" s="434"/>
      <c r="AG117" s="434"/>
      <c r="AH117" s="434"/>
      <c r="AI117" s="434" t="str">
        <f>'Cal 1'!$N$25</f>
        <v>-</v>
      </c>
      <c r="AJ117" s="434"/>
      <c r="AK117" s="434"/>
      <c r="AL117" s="434"/>
      <c r="AM117" s="434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  <c r="BS117" s="10"/>
      <c r="BT117" s="10"/>
      <c r="BU117" s="10"/>
      <c r="BV117" s="10"/>
      <c r="BW117" s="10"/>
      <c r="BX117" s="10"/>
      <c r="BY117" s="10"/>
    </row>
    <row r="118" spans="1:77" s="88" customFormat="1" ht="16.5" customHeight="1">
      <c r="A118" s="85"/>
      <c r="B118" s="434" t="str">
        <f>'Cal 1'!$F$21</f>
        <v/>
      </c>
      <c r="C118" s="434"/>
      <c r="D118" s="434"/>
      <c r="E118" s="434"/>
      <c r="F118" s="434"/>
      <c r="G118" s="434"/>
      <c r="H118" s="434"/>
      <c r="I118" s="435" t="str">
        <f>'Cal Ref'!$R$34</f>
        <v>P3</v>
      </c>
      <c r="J118" s="435"/>
      <c r="K118" s="435"/>
      <c r="L118" s="435"/>
      <c r="M118" s="435"/>
      <c r="N118" s="435"/>
      <c r="O118" s="435"/>
      <c r="P118" s="389" t="s">
        <v>446</v>
      </c>
      <c r="Q118" s="389"/>
      <c r="R118" s="389"/>
      <c r="S118" s="389"/>
      <c r="T118" s="389"/>
      <c r="U118" s="389"/>
      <c r="V118" s="389"/>
      <c r="W118" s="390" t="str">
        <f>'Cal 1'!$R$21</f>
        <v/>
      </c>
      <c r="X118" s="391"/>
      <c r="Y118" s="391"/>
      <c r="Z118" s="391"/>
      <c r="AA118" s="391"/>
      <c r="AB118" s="391"/>
      <c r="AC118" s="392"/>
      <c r="AD118" s="434" t="e">
        <f t="shared" ref="AD118:AD124" si="2">B118-W118</f>
        <v>#VALUE!</v>
      </c>
      <c r="AE118" s="434"/>
      <c r="AF118" s="434"/>
      <c r="AG118" s="434"/>
      <c r="AH118" s="434"/>
      <c r="AI118" s="434" t="str">
        <f>'Cal 1'!$R$25</f>
        <v>-</v>
      </c>
      <c r="AJ118" s="434"/>
      <c r="AK118" s="434"/>
      <c r="AL118" s="434"/>
      <c r="AM118" s="434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  <c r="BS118" s="10"/>
      <c r="BT118" s="10"/>
      <c r="BU118" s="10"/>
      <c r="BV118" s="10"/>
      <c r="BW118" s="10"/>
      <c r="BX118" s="10"/>
      <c r="BY118" s="10"/>
    </row>
    <row r="119" spans="1:77" s="88" customFormat="1" ht="16.5" customHeight="1">
      <c r="A119" s="85"/>
      <c r="B119" s="434" t="str">
        <f>'Cal 1'!$F$21</f>
        <v/>
      </c>
      <c r="C119" s="434"/>
      <c r="D119" s="434"/>
      <c r="E119" s="434"/>
      <c r="F119" s="434"/>
      <c r="G119" s="434"/>
      <c r="H119" s="434"/>
      <c r="I119" s="435" t="str">
        <f>'Cal Ref'!$V$34</f>
        <v>P4</v>
      </c>
      <c r="J119" s="435"/>
      <c r="K119" s="435"/>
      <c r="L119" s="435"/>
      <c r="M119" s="435"/>
      <c r="N119" s="435"/>
      <c r="O119" s="435"/>
      <c r="P119" s="389" t="s">
        <v>447</v>
      </c>
      <c r="Q119" s="389"/>
      <c r="R119" s="389"/>
      <c r="S119" s="389"/>
      <c r="T119" s="389"/>
      <c r="U119" s="389"/>
      <c r="V119" s="389"/>
      <c r="W119" s="390" t="str">
        <f>'Cal 1'!$V$21</f>
        <v/>
      </c>
      <c r="X119" s="391"/>
      <c r="Y119" s="391"/>
      <c r="Z119" s="391"/>
      <c r="AA119" s="391"/>
      <c r="AB119" s="391"/>
      <c r="AC119" s="392"/>
      <c r="AD119" s="434" t="e">
        <f t="shared" si="2"/>
        <v>#VALUE!</v>
      </c>
      <c r="AE119" s="434"/>
      <c r="AF119" s="434"/>
      <c r="AG119" s="434"/>
      <c r="AH119" s="434"/>
      <c r="AI119" s="434" t="str">
        <f>'Cal 1'!$V$25</f>
        <v>-</v>
      </c>
      <c r="AJ119" s="434"/>
      <c r="AK119" s="434"/>
      <c r="AL119" s="434"/>
      <c r="AM119" s="434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  <c r="BS119" s="10"/>
      <c r="BT119" s="10"/>
      <c r="BU119" s="10"/>
      <c r="BV119" s="10"/>
      <c r="BW119" s="10"/>
      <c r="BX119" s="10"/>
      <c r="BY119" s="10"/>
    </row>
    <row r="120" spans="1:77" s="88" customFormat="1" ht="16.5" customHeight="1">
      <c r="A120" s="85"/>
      <c r="B120" s="434" t="str">
        <f>'Cal 1'!$F$21</f>
        <v/>
      </c>
      <c r="C120" s="434"/>
      <c r="D120" s="434"/>
      <c r="E120" s="434"/>
      <c r="F120" s="434"/>
      <c r="G120" s="434"/>
      <c r="H120" s="434"/>
      <c r="I120" s="435" t="str">
        <f>'Cal Ref'!$Z$34</f>
        <v>P5</v>
      </c>
      <c r="J120" s="435"/>
      <c r="K120" s="435"/>
      <c r="L120" s="435"/>
      <c r="M120" s="435"/>
      <c r="N120" s="435"/>
      <c r="O120" s="435"/>
      <c r="P120" s="389" t="s">
        <v>448</v>
      </c>
      <c r="Q120" s="389"/>
      <c r="R120" s="389"/>
      <c r="S120" s="389"/>
      <c r="T120" s="389"/>
      <c r="U120" s="389"/>
      <c r="V120" s="389"/>
      <c r="W120" s="390" t="str">
        <f>'Cal 1'!$Z$21</f>
        <v/>
      </c>
      <c r="X120" s="391"/>
      <c r="Y120" s="391"/>
      <c r="Z120" s="391"/>
      <c r="AA120" s="391"/>
      <c r="AB120" s="391"/>
      <c r="AC120" s="392"/>
      <c r="AD120" s="434" t="e">
        <f t="shared" si="2"/>
        <v>#VALUE!</v>
      </c>
      <c r="AE120" s="434"/>
      <c r="AF120" s="434"/>
      <c r="AG120" s="434"/>
      <c r="AH120" s="434"/>
      <c r="AI120" s="434" t="str">
        <f>'Cal 1'!$Z$25</f>
        <v>-</v>
      </c>
      <c r="AJ120" s="434"/>
      <c r="AK120" s="434"/>
      <c r="AL120" s="434"/>
      <c r="AM120" s="434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  <c r="BS120" s="10"/>
      <c r="BT120" s="10"/>
      <c r="BU120" s="10"/>
      <c r="BV120" s="10"/>
      <c r="BW120" s="10"/>
      <c r="BX120" s="10"/>
      <c r="BY120" s="10"/>
    </row>
    <row r="121" spans="1:77" s="88" customFormat="1" ht="16.5" customHeight="1">
      <c r="A121" s="85"/>
      <c r="B121" s="434" t="str">
        <f>'Cal 1'!$F$21</f>
        <v/>
      </c>
      <c r="C121" s="434"/>
      <c r="D121" s="434"/>
      <c r="E121" s="434"/>
      <c r="F121" s="434"/>
      <c r="G121" s="434"/>
      <c r="H121" s="434"/>
      <c r="I121" s="435" t="str">
        <f>'Cal Ref'!$AD$34</f>
        <v>P6</v>
      </c>
      <c r="J121" s="435"/>
      <c r="K121" s="435"/>
      <c r="L121" s="435"/>
      <c r="M121" s="435"/>
      <c r="N121" s="435"/>
      <c r="O121" s="435"/>
      <c r="P121" s="389" t="s">
        <v>449</v>
      </c>
      <c r="Q121" s="389"/>
      <c r="R121" s="389"/>
      <c r="S121" s="389"/>
      <c r="T121" s="389"/>
      <c r="U121" s="389"/>
      <c r="V121" s="389"/>
      <c r="W121" s="390" t="str">
        <f>'Cal 1'!$AD$21</f>
        <v/>
      </c>
      <c r="X121" s="391"/>
      <c r="Y121" s="391"/>
      <c r="Z121" s="391"/>
      <c r="AA121" s="391"/>
      <c r="AB121" s="391"/>
      <c r="AC121" s="392"/>
      <c r="AD121" s="434" t="e">
        <f t="shared" si="2"/>
        <v>#VALUE!</v>
      </c>
      <c r="AE121" s="434"/>
      <c r="AF121" s="434"/>
      <c r="AG121" s="434"/>
      <c r="AH121" s="434"/>
      <c r="AI121" s="434" t="str">
        <f>'Cal 1'!$AD$25</f>
        <v>-</v>
      </c>
      <c r="AJ121" s="434"/>
      <c r="AK121" s="434"/>
      <c r="AL121" s="434"/>
      <c r="AM121" s="434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  <c r="BS121" s="10"/>
      <c r="BT121" s="10"/>
      <c r="BU121" s="10"/>
      <c r="BV121" s="10"/>
      <c r="BW121" s="10"/>
      <c r="BX121" s="10"/>
      <c r="BY121" s="10"/>
    </row>
    <row r="122" spans="1:77" s="88" customFormat="1" ht="16.5" customHeight="1">
      <c r="A122" s="85"/>
      <c r="B122" s="434" t="str">
        <f>'Cal 1'!$F$21</f>
        <v/>
      </c>
      <c r="C122" s="434"/>
      <c r="D122" s="434"/>
      <c r="E122" s="434"/>
      <c r="F122" s="434"/>
      <c r="G122" s="434"/>
      <c r="H122" s="434"/>
      <c r="I122" s="435" t="str">
        <f>'Cal Ref'!$AH$34</f>
        <v>P7</v>
      </c>
      <c r="J122" s="435"/>
      <c r="K122" s="435"/>
      <c r="L122" s="435"/>
      <c r="M122" s="435"/>
      <c r="N122" s="435"/>
      <c r="O122" s="435"/>
      <c r="P122" s="389" t="s">
        <v>450</v>
      </c>
      <c r="Q122" s="389"/>
      <c r="R122" s="389"/>
      <c r="S122" s="389"/>
      <c r="T122" s="389"/>
      <c r="U122" s="389"/>
      <c r="V122" s="389"/>
      <c r="W122" s="390" t="str">
        <f>'Cal 1'!$AH$21</f>
        <v/>
      </c>
      <c r="X122" s="391"/>
      <c r="Y122" s="391"/>
      <c r="Z122" s="391"/>
      <c r="AA122" s="391"/>
      <c r="AB122" s="391"/>
      <c r="AC122" s="392"/>
      <c r="AD122" s="434" t="e">
        <f t="shared" si="2"/>
        <v>#VALUE!</v>
      </c>
      <c r="AE122" s="434"/>
      <c r="AF122" s="434"/>
      <c r="AG122" s="434"/>
      <c r="AH122" s="434"/>
      <c r="AI122" s="434" t="str">
        <f>'Cal 1'!$AH$25</f>
        <v>-</v>
      </c>
      <c r="AJ122" s="434"/>
      <c r="AK122" s="434"/>
      <c r="AL122" s="434"/>
      <c r="AM122" s="434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  <c r="BS122" s="10"/>
      <c r="BT122" s="10"/>
      <c r="BU122" s="10"/>
      <c r="BV122" s="10"/>
      <c r="BW122" s="10"/>
      <c r="BX122" s="10"/>
      <c r="BY122" s="10"/>
    </row>
    <row r="123" spans="1:77" s="88" customFormat="1" ht="16.5" customHeight="1">
      <c r="A123" s="85"/>
      <c r="B123" s="434" t="str">
        <f>'Cal 1'!$F$21</f>
        <v/>
      </c>
      <c r="C123" s="434"/>
      <c r="D123" s="434"/>
      <c r="E123" s="434"/>
      <c r="F123" s="434"/>
      <c r="G123" s="434"/>
      <c r="H123" s="434"/>
      <c r="I123" s="435" t="str">
        <f>'Cal Ref'!$AL$34</f>
        <v>P8</v>
      </c>
      <c r="J123" s="435"/>
      <c r="K123" s="435"/>
      <c r="L123" s="435"/>
      <c r="M123" s="435"/>
      <c r="N123" s="435"/>
      <c r="O123" s="435"/>
      <c r="P123" s="389" t="s">
        <v>451</v>
      </c>
      <c r="Q123" s="389"/>
      <c r="R123" s="389"/>
      <c r="S123" s="389"/>
      <c r="T123" s="389"/>
      <c r="U123" s="389"/>
      <c r="V123" s="389"/>
      <c r="W123" s="390" t="str">
        <f>'Cal 1'!$AL$21</f>
        <v/>
      </c>
      <c r="X123" s="391"/>
      <c r="Y123" s="391"/>
      <c r="Z123" s="391"/>
      <c r="AA123" s="391"/>
      <c r="AB123" s="391"/>
      <c r="AC123" s="392"/>
      <c r="AD123" s="434" t="e">
        <f t="shared" si="2"/>
        <v>#VALUE!</v>
      </c>
      <c r="AE123" s="434"/>
      <c r="AF123" s="434"/>
      <c r="AG123" s="434"/>
      <c r="AH123" s="434"/>
      <c r="AI123" s="434" t="str">
        <f>'Cal 1'!$AL$25</f>
        <v>-</v>
      </c>
      <c r="AJ123" s="434"/>
      <c r="AK123" s="434"/>
      <c r="AL123" s="434"/>
      <c r="AM123" s="434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  <c r="BS123" s="10"/>
      <c r="BT123" s="10"/>
      <c r="BU123" s="10"/>
      <c r="BV123" s="10"/>
      <c r="BW123" s="10"/>
      <c r="BX123" s="10"/>
      <c r="BY123" s="10"/>
    </row>
    <row r="124" spans="1:77" s="88" customFormat="1" ht="16.5" customHeight="1">
      <c r="A124" s="85"/>
      <c r="B124" s="434" t="str">
        <f>'Cal 1'!$F$21</f>
        <v/>
      </c>
      <c r="C124" s="434"/>
      <c r="D124" s="434"/>
      <c r="E124" s="434"/>
      <c r="F124" s="434"/>
      <c r="G124" s="434"/>
      <c r="H124" s="434"/>
      <c r="I124" s="435" t="str">
        <f>'Cal Ref'!$AP$34</f>
        <v>P9</v>
      </c>
      <c r="J124" s="435"/>
      <c r="K124" s="435"/>
      <c r="L124" s="435"/>
      <c r="M124" s="435"/>
      <c r="N124" s="435"/>
      <c r="O124" s="435"/>
      <c r="P124" s="389" t="s">
        <v>452</v>
      </c>
      <c r="Q124" s="389"/>
      <c r="R124" s="389"/>
      <c r="S124" s="389"/>
      <c r="T124" s="389"/>
      <c r="U124" s="389"/>
      <c r="V124" s="389"/>
      <c r="W124" s="390" t="str">
        <f>'Cal 1'!$AP$21</f>
        <v/>
      </c>
      <c r="X124" s="391"/>
      <c r="Y124" s="391"/>
      <c r="Z124" s="391"/>
      <c r="AA124" s="391"/>
      <c r="AB124" s="391"/>
      <c r="AC124" s="392"/>
      <c r="AD124" s="434" t="e">
        <f t="shared" si="2"/>
        <v>#VALUE!</v>
      </c>
      <c r="AE124" s="434"/>
      <c r="AF124" s="434"/>
      <c r="AG124" s="434"/>
      <c r="AH124" s="434"/>
      <c r="AI124" s="434" t="str">
        <f>'Cal 1'!$AP$25</f>
        <v>-</v>
      </c>
      <c r="AJ124" s="434"/>
      <c r="AK124" s="434"/>
      <c r="AL124" s="434"/>
      <c r="AM124" s="434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  <c r="BS124" s="10"/>
      <c r="BT124" s="10"/>
      <c r="BU124" s="10"/>
      <c r="BV124" s="10"/>
      <c r="BW124" s="10"/>
      <c r="BX124" s="10"/>
      <c r="BY124" s="10"/>
    </row>
    <row r="125" spans="1:77" s="88" customFormat="1" ht="16.5" customHeight="1" thickBot="1">
      <c r="A125" s="85"/>
      <c r="B125" s="415" t="str">
        <f>'Cal 1'!$F$21</f>
        <v/>
      </c>
      <c r="C125" s="415"/>
      <c r="D125" s="415"/>
      <c r="E125" s="415"/>
      <c r="F125" s="415"/>
      <c r="G125" s="415"/>
      <c r="H125" s="415"/>
      <c r="I125" s="413" t="str">
        <f>'Cal Ref'!$AT$34</f>
        <v>P10</v>
      </c>
      <c r="J125" s="413"/>
      <c r="K125" s="413"/>
      <c r="L125" s="413"/>
      <c r="M125" s="413"/>
      <c r="N125" s="413"/>
      <c r="O125" s="413"/>
      <c r="P125" s="430" t="s">
        <v>453</v>
      </c>
      <c r="Q125" s="430"/>
      <c r="R125" s="430"/>
      <c r="S125" s="430"/>
      <c r="T125" s="430"/>
      <c r="U125" s="430"/>
      <c r="V125" s="430"/>
      <c r="W125" s="431" t="str">
        <f>'Cal 1'!$AT$21</f>
        <v/>
      </c>
      <c r="X125" s="432"/>
      <c r="Y125" s="432"/>
      <c r="Z125" s="432"/>
      <c r="AA125" s="432"/>
      <c r="AB125" s="432"/>
      <c r="AC125" s="433"/>
      <c r="AD125" s="415" t="e">
        <f>B125-W125</f>
        <v>#VALUE!</v>
      </c>
      <c r="AE125" s="415"/>
      <c r="AF125" s="415"/>
      <c r="AG125" s="415"/>
      <c r="AH125" s="415"/>
      <c r="AI125" s="415" t="str">
        <f>'Cal 1'!$AT$25</f>
        <v>-</v>
      </c>
      <c r="AJ125" s="415"/>
      <c r="AK125" s="415"/>
      <c r="AL125" s="415"/>
      <c r="AM125" s="415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  <c r="BS125" s="10"/>
      <c r="BT125" s="10"/>
      <c r="BU125" s="10"/>
      <c r="BV125" s="10"/>
      <c r="BW125" s="10"/>
      <c r="BX125" s="10"/>
      <c r="BY125" s="10"/>
    </row>
    <row r="126" spans="1:77" s="88" customFormat="1" ht="16.5" customHeight="1" thickBot="1">
      <c r="A126" s="85"/>
      <c r="B126" s="148"/>
      <c r="C126" s="148"/>
      <c r="D126" s="148"/>
      <c r="E126" s="148"/>
      <c r="F126" s="148"/>
      <c r="G126" s="148"/>
      <c r="H126" s="148"/>
      <c r="I126" s="148"/>
      <c r="J126" s="148"/>
      <c r="K126" s="148"/>
      <c r="L126" s="148"/>
      <c r="M126" s="148"/>
      <c r="N126" s="148"/>
      <c r="O126" s="148"/>
      <c r="P126" s="148"/>
      <c r="Q126" s="148"/>
      <c r="R126" s="148"/>
      <c r="S126" s="148"/>
      <c r="T126" s="148"/>
      <c r="U126" s="148"/>
      <c r="V126" s="148"/>
      <c r="W126" s="149"/>
      <c r="X126" s="149"/>
      <c r="Y126" s="149"/>
      <c r="Z126" s="149"/>
      <c r="AA126" s="149"/>
      <c r="AB126" s="149"/>
      <c r="AC126" s="149"/>
      <c r="AD126" s="149"/>
      <c r="AE126" s="149"/>
      <c r="AF126" s="149"/>
      <c r="AG126" s="149"/>
      <c r="AH126" s="149"/>
      <c r="AI126" s="150"/>
      <c r="AJ126" s="150"/>
      <c r="AK126" s="150"/>
      <c r="AL126" s="150"/>
      <c r="AM126" s="15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  <c r="BS126" s="10"/>
      <c r="BT126" s="10"/>
      <c r="BU126" s="10"/>
      <c r="BV126" s="10"/>
      <c r="BW126" s="10"/>
      <c r="BX126" s="10"/>
      <c r="BY126" s="10"/>
    </row>
    <row r="127" spans="1:77" s="88" customFormat="1" ht="16.5" customHeight="1" thickBot="1">
      <c r="A127" s="85"/>
      <c r="B127" s="395" t="e">
        <f>VLOOKUP(Page1!AJ14,STD!P:S,4,0)&amp;IF(Page1!AJ14="Channel: 001",", Function: "&amp;STD!R6,", S/N: "&amp;Page1!AI15&amp;", Sensor: "&amp;IF(Page1!AJ14="1586-2586(026) PRT","PRT, S/N: "&amp;STD!T7,VLOOKUP(Page1!AE13,STD!P:S,2,0)))</f>
        <v>#N/A</v>
      </c>
      <c r="C127" s="396"/>
      <c r="D127" s="396"/>
      <c r="E127" s="396"/>
      <c r="F127" s="396"/>
      <c r="G127" s="396"/>
      <c r="H127" s="396"/>
      <c r="I127" s="396"/>
      <c r="J127" s="396"/>
      <c r="K127" s="396"/>
      <c r="L127" s="396"/>
      <c r="M127" s="396"/>
      <c r="N127" s="396"/>
      <c r="O127" s="396"/>
      <c r="P127" s="396"/>
      <c r="Q127" s="396"/>
      <c r="R127" s="396"/>
      <c r="S127" s="396"/>
      <c r="T127" s="396"/>
      <c r="U127" s="396"/>
      <c r="V127" s="396"/>
      <c r="W127" s="396"/>
      <c r="X127" s="396"/>
      <c r="Y127" s="396"/>
      <c r="Z127" s="396"/>
      <c r="AA127" s="396"/>
      <c r="AB127" s="396"/>
      <c r="AC127" s="396"/>
      <c r="AD127" s="396"/>
      <c r="AE127" s="396"/>
      <c r="AF127" s="396"/>
      <c r="AG127" s="396"/>
      <c r="AH127" s="396"/>
      <c r="AI127" s="396"/>
      <c r="AJ127" s="396"/>
      <c r="AK127" s="396"/>
      <c r="AL127" s="396"/>
      <c r="AM127" s="397"/>
    </row>
    <row r="128" spans="1:77" s="88" customFormat="1" ht="16.5" customHeight="1" thickBot="1">
      <c r="A128" s="85"/>
      <c r="B128" s="398" t="s">
        <v>379</v>
      </c>
      <c r="C128" s="399"/>
      <c r="D128" s="399"/>
      <c r="E128" s="399"/>
      <c r="F128" s="399"/>
      <c r="G128" s="399"/>
      <c r="H128" s="400"/>
      <c r="I128" s="401" t="s">
        <v>380</v>
      </c>
      <c r="J128" s="401"/>
      <c r="K128" s="401"/>
      <c r="L128" s="401"/>
      <c r="M128" s="401"/>
      <c r="N128" s="401"/>
      <c r="O128" s="401"/>
      <c r="P128" s="401"/>
      <c r="Q128" s="401"/>
      <c r="R128" s="401"/>
      <c r="S128" s="401"/>
      <c r="T128" s="401"/>
      <c r="U128" s="401"/>
      <c r="V128" s="401"/>
      <c r="W128" s="401"/>
      <c r="X128" s="401"/>
      <c r="Y128" s="401"/>
      <c r="Z128" s="401"/>
      <c r="AA128" s="401"/>
      <c r="AB128" s="401"/>
      <c r="AC128" s="401"/>
      <c r="AD128" s="398" t="s">
        <v>381</v>
      </c>
      <c r="AE128" s="399"/>
      <c r="AF128" s="399"/>
      <c r="AG128" s="399"/>
      <c r="AH128" s="400"/>
      <c r="AI128" s="398" t="s">
        <v>32</v>
      </c>
      <c r="AJ128" s="399"/>
      <c r="AK128" s="399"/>
      <c r="AL128" s="399"/>
      <c r="AM128" s="400"/>
    </row>
    <row r="129" spans="1:77" s="88" customFormat="1" ht="16.5" customHeight="1" thickBot="1">
      <c r="A129" s="85"/>
      <c r="B129" s="425" t="s">
        <v>382</v>
      </c>
      <c r="C129" s="426"/>
      <c r="D129" s="426"/>
      <c r="E129" s="426"/>
      <c r="F129" s="426"/>
      <c r="G129" s="426"/>
      <c r="H129" s="427"/>
      <c r="I129" s="428" t="s">
        <v>383</v>
      </c>
      <c r="J129" s="428"/>
      <c r="K129" s="428"/>
      <c r="L129" s="428"/>
      <c r="M129" s="428"/>
      <c r="N129" s="428"/>
      <c r="O129" s="428"/>
      <c r="P129" s="428" t="s">
        <v>384</v>
      </c>
      <c r="Q129" s="428"/>
      <c r="R129" s="428"/>
      <c r="S129" s="428"/>
      <c r="T129" s="428"/>
      <c r="U129" s="428"/>
      <c r="V129" s="428"/>
      <c r="W129" s="428" t="s">
        <v>79</v>
      </c>
      <c r="X129" s="428"/>
      <c r="Y129" s="428"/>
      <c r="Z129" s="428"/>
      <c r="AA129" s="428"/>
      <c r="AB129" s="428"/>
      <c r="AC129" s="428"/>
      <c r="AD129" s="408" t="s">
        <v>523</v>
      </c>
      <c r="AE129" s="409"/>
      <c r="AF129" s="409"/>
      <c r="AG129" s="409"/>
      <c r="AH129" s="410"/>
      <c r="AI129" s="408" t="s">
        <v>524</v>
      </c>
      <c r="AJ129" s="409"/>
      <c r="AK129" s="409"/>
      <c r="AL129" s="409"/>
      <c r="AM129" s="410"/>
    </row>
    <row r="130" spans="1:77" s="88" customFormat="1" ht="16.5" customHeight="1">
      <c r="A130" s="85"/>
      <c r="B130" s="393" t="str">
        <f>'Cal 1'!$F$21</f>
        <v/>
      </c>
      <c r="C130" s="393"/>
      <c r="D130" s="393"/>
      <c r="E130" s="393"/>
      <c r="F130" s="393"/>
      <c r="G130" s="393"/>
      <c r="H130" s="393"/>
      <c r="I130" s="389" t="str">
        <f>'Cal Ref'!$J$34</f>
        <v>P1</v>
      </c>
      <c r="J130" s="389"/>
      <c r="K130" s="389"/>
      <c r="L130" s="389"/>
      <c r="M130" s="389"/>
      <c r="N130" s="389"/>
      <c r="O130" s="389"/>
      <c r="P130" s="436" t="s">
        <v>444</v>
      </c>
      <c r="Q130" s="436"/>
      <c r="R130" s="436"/>
      <c r="S130" s="436"/>
      <c r="T130" s="436"/>
      <c r="U130" s="436"/>
      <c r="V130" s="436"/>
      <c r="W130" s="394" t="str">
        <f>'Cal 1'!$J$21</f>
        <v/>
      </c>
      <c r="X130" s="394"/>
      <c r="Y130" s="394"/>
      <c r="Z130" s="394"/>
      <c r="AA130" s="394"/>
      <c r="AB130" s="394"/>
      <c r="AC130" s="394"/>
      <c r="AD130" s="393" t="e">
        <f>B130-W130</f>
        <v>#VALUE!</v>
      </c>
      <c r="AE130" s="393"/>
      <c r="AF130" s="393"/>
      <c r="AG130" s="393"/>
      <c r="AH130" s="393"/>
      <c r="AI130" s="393" t="str">
        <f>'Cal 1'!$J$25</f>
        <v>-</v>
      </c>
      <c r="AJ130" s="393"/>
      <c r="AK130" s="393"/>
      <c r="AL130" s="393"/>
      <c r="AM130" s="393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  <c r="BS130" s="10"/>
      <c r="BT130" s="10"/>
      <c r="BU130" s="10"/>
      <c r="BV130" s="10"/>
      <c r="BW130" s="10"/>
      <c r="BX130" s="10"/>
      <c r="BY130" s="10"/>
    </row>
    <row r="131" spans="1:77" s="88" customFormat="1" ht="16.5" customHeight="1">
      <c r="A131" s="85"/>
      <c r="B131" s="434" t="str">
        <f>'Cal 1'!$F$21</f>
        <v/>
      </c>
      <c r="C131" s="434"/>
      <c r="D131" s="434"/>
      <c r="E131" s="434"/>
      <c r="F131" s="434"/>
      <c r="G131" s="434"/>
      <c r="H131" s="434"/>
      <c r="I131" s="435" t="str">
        <f>'Cal Ref'!$N$34</f>
        <v>P2</v>
      </c>
      <c r="J131" s="435"/>
      <c r="K131" s="435"/>
      <c r="L131" s="435"/>
      <c r="M131" s="435"/>
      <c r="N131" s="435"/>
      <c r="O131" s="435"/>
      <c r="P131" s="389" t="s">
        <v>445</v>
      </c>
      <c r="Q131" s="389"/>
      <c r="R131" s="389"/>
      <c r="S131" s="389"/>
      <c r="T131" s="389"/>
      <c r="U131" s="389"/>
      <c r="V131" s="389"/>
      <c r="W131" s="390" t="str">
        <f>'Cal 1'!$N$21</f>
        <v/>
      </c>
      <c r="X131" s="391"/>
      <c r="Y131" s="391"/>
      <c r="Z131" s="391"/>
      <c r="AA131" s="391"/>
      <c r="AB131" s="391"/>
      <c r="AC131" s="392"/>
      <c r="AD131" s="434" t="e">
        <f>B131-W131</f>
        <v>#VALUE!</v>
      </c>
      <c r="AE131" s="434"/>
      <c r="AF131" s="434"/>
      <c r="AG131" s="434"/>
      <c r="AH131" s="434"/>
      <c r="AI131" s="434" t="str">
        <f>'Cal 1'!$N$25</f>
        <v>-</v>
      </c>
      <c r="AJ131" s="434"/>
      <c r="AK131" s="434"/>
      <c r="AL131" s="434"/>
      <c r="AM131" s="434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  <c r="BS131" s="10"/>
      <c r="BT131" s="10"/>
      <c r="BU131" s="10"/>
      <c r="BV131" s="10"/>
      <c r="BW131" s="10"/>
      <c r="BX131" s="10"/>
      <c r="BY131" s="10"/>
    </row>
    <row r="132" spans="1:77" s="88" customFormat="1" ht="16.5" customHeight="1">
      <c r="A132" s="85"/>
      <c r="B132" s="434" t="str">
        <f>'Cal 1'!$F$21</f>
        <v/>
      </c>
      <c r="C132" s="434"/>
      <c r="D132" s="434"/>
      <c r="E132" s="434"/>
      <c r="F132" s="434"/>
      <c r="G132" s="434"/>
      <c r="H132" s="434"/>
      <c r="I132" s="435" t="str">
        <f>'Cal Ref'!$R$34</f>
        <v>P3</v>
      </c>
      <c r="J132" s="435"/>
      <c r="K132" s="435"/>
      <c r="L132" s="435"/>
      <c r="M132" s="435"/>
      <c r="N132" s="435"/>
      <c r="O132" s="435"/>
      <c r="P132" s="389" t="s">
        <v>446</v>
      </c>
      <c r="Q132" s="389"/>
      <c r="R132" s="389"/>
      <c r="S132" s="389"/>
      <c r="T132" s="389"/>
      <c r="U132" s="389"/>
      <c r="V132" s="389"/>
      <c r="W132" s="390" t="str">
        <f>'Cal 1'!$R$21</f>
        <v/>
      </c>
      <c r="X132" s="391"/>
      <c r="Y132" s="391"/>
      <c r="Z132" s="391"/>
      <c r="AA132" s="391"/>
      <c r="AB132" s="391"/>
      <c r="AC132" s="392"/>
      <c r="AD132" s="434" t="e">
        <f t="shared" ref="AD132:AD138" si="3">B132-W132</f>
        <v>#VALUE!</v>
      </c>
      <c r="AE132" s="434"/>
      <c r="AF132" s="434"/>
      <c r="AG132" s="434"/>
      <c r="AH132" s="434"/>
      <c r="AI132" s="434" t="str">
        <f>'Cal 1'!$R$25</f>
        <v>-</v>
      </c>
      <c r="AJ132" s="434"/>
      <c r="AK132" s="434"/>
      <c r="AL132" s="434"/>
      <c r="AM132" s="434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  <c r="BS132" s="10"/>
      <c r="BT132" s="10"/>
      <c r="BU132" s="10"/>
      <c r="BV132" s="10"/>
      <c r="BW132" s="10"/>
      <c r="BX132" s="10"/>
      <c r="BY132" s="10"/>
    </row>
    <row r="133" spans="1:77" s="88" customFormat="1" ht="16.5" customHeight="1">
      <c r="A133" s="85"/>
      <c r="B133" s="434" t="str">
        <f>'Cal 1'!$F$21</f>
        <v/>
      </c>
      <c r="C133" s="434"/>
      <c r="D133" s="434"/>
      <c r="E133" s="434"/>
      <c r="F133" s="434"/>
      <c r="G133" s="434"/>
      <c r="H133" s="434"/>
      <c r="I133" s="435" t="str">
        <f>'Cal Ref'!$V$34</f>
        <v>P4</v>
      </c>
      <c r="J133" s="435"/>
      <c r="K133" s="435"/>
      <c r="L133" s="435"/>
      <c r="M133" s="435"/>
      <c r="N133" s="435"/>
      <c r="O133" s="435"/>
      <c r="P133" s="389" t="s">
        <v>447</v>
      </c>
      <c r="Q133" s="389"/>
      <c r="R133" s="389"/>
      <c r="S133" s="389"/>
      <c r="T133" s="389"/>
      <c r="U133" s="389"/>
      <c r="V133" s="389"/>
      <c r="W133" s="390" t="str">
        <f>'Cal 1'!$V$21</f>
        <v/>
      </c>
      <c r="X133" s="391"/>
      <c r="Y133" s="391"/>
      <c r="Z133" s="391"/>
      <c r="AA133" s="391"/>
      <c r="AB133" s="391"/>
      <c r="AC133" s="392"/>
      <c r="AD133" s="434" t="e">
        <f t="shared" si="3"/>
        <v>#VALUE!</v>
      </c>
      <c r="AE133" s="434"/>
      <c r="AF133" s="434"/>
      <c r="AG133" s="434"/>
      <c r="AH133" s="434"/>
      <c r="AI133" s="434" t="str">
        <f>'Cal 1'!$V$25</f>
        <v>-</v>
      </c>
      <c r="AJ133" s="434"/>
      <c r="AK133" s="434"/>
      <c r="AL133" s="434"/>
      <c r="AM133" s="434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  <c r="BS133" s="10"/>
      <c r="BT133" s="10"/>
      <c r="BU133" s="10"/>
      <c r="BV133" s="10"/>
      <c r="BW133" s="10"/>
      <c r="BX133" s="10"/>
      <c r="BY133" s="10"/>
    </row>
    <row r="134" spans="1:77" s="88" customFormat="1" ht="16.5" customHeight="1">
      <c r="A134" s="85"/>
      <c r="B134" s="434" t="str">
        <f>'Cal 1'!$F$21</f>
        <v/>
      </c>
      <c r="C134" s="434"/>
      <c r="D134" s="434"/>
      <c r="E134" s="434"/>
      <c r="F134" s="434"/>
      <c r="G134" s="434"/>
      <c r="H134" s="434"/>
      <c r="I134" s="435" t="str">
        <f>'Cal Ref'!$Z$34</f>
        <v>P5</v>
      </c>
      <c r="J134" s="435"/>
      <c r="K134" s="435"/>
      <c r="L134" s="435"/>
      <c r="M134" s="435"/>
      <c r="N134" s="435"/>
      <c r="O134" s="435"/>
      <c r="P134" s="389" t="s">
        <v>448</v>
      </c>
      <c r="Q134" s="389"/>
      <c r="R134" s="389"/>
      <c r="S134" s="389"/>
      <c r="T134" s="389"/>
      <c r="U134" s="389"/>
      <c r="V134" s="389"/>
      <c r="W134" s="390" t="str">
        <f>'Cal 1'!$Z$21</f>
        <v/>
      </c>
      <c r="X134" s="391"/>
      <c r="Y134" s="391"/>
      <c r="Z134" s="391"/>
      <c r="AA134" s="391"/>
      <c r="AB134" s="391"/>
      <c r="AC134" s="392"/>
      <c r="AD134" s="434" t="e">
        <f t="shared" si="3"/>
        <v>#VALUE!</v>
      </c>
      <c r="AE134" s="434"/>
      <c r="AF134" s="434"/>
      <c r="AG134" s="434"/>
      <c r="AH134" s="434"/>
      <c r="AI134" s="434" t="str">
        <f>'Cal 1'!$Z$25</f>
        <v>-</v>
      </c>
      <c r="AJ134" s="434"/>
      <c r="AK134" s="434"/>
      <c r="AL134" s="434"/>
      <c r="AM134" s="434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  <c r="BS134" s="10"/>
      <c r="BT134" s="10"/>
      <c r="BU134" s="10"/>
      <c r="BV134" s="10"/>
      <c r="BW134" s="10"/>
      <c r="BX134" s="10"/>
      <c r="BY134" s="10"/>
    </row>
    <row r="135" spans="1:77" s="88" customFormat="1" ht="16.5" customHeight="1">
      <c r="A135" s="85"/>
      <c r="B135" s="434" t="str">
        <f>'Cal 1'!$F$21</f>
        <v/>
      </c>
      <c r="C135" s="434"/>
      <c r="D135" s="434"/>
      <c r="E135" s="434"/>
      <c r="F135" s="434"/>
      <c r="G135" s="434"/>
      <c r="H135" s="434"/>
      <c r="I135" s="435" t="str">
        <f>'Cal Ref'!$AD$34</f>
        <v>P6</v>
      </c>
      <c r="J135" s="435"/>
      <c r="K135" s="435"/>
      <c r="L135" s="435"/>
      <c r="M135" s="435"/>
      <c r="N135" s="435"/>
      <c r="O135" s="435"/>
      <c r="P135" s="389" t="s">
        <v>449</v>
      </c>
      <c r="Q135" s="389"/>
      <c r="R135" s="389"/>
      <c r="S135" s="389"/>
      <c r="T135" s="389"/>
      <c r="U135" s="389"/>
      <c r="V135" s="389"/>
      <c r="W135" s="390" t="str">
        <f>'Cal 1'!$AD$21</f>
        <v/>
      </c>
      <c r="X135" s="391"/>
      <c r="Y135" s="391"/>
      <c r="Z135" s="391"/>
      <c r="AA135" s="391"/>
      <c r="AB135" s="391"/>
      <c r="AC135" s="392"/>
      <c r="AD135" s="434" t="e">
        <f t="shared" si="3"/>
        <v>#VALUE!</v>
      </c>
      <c r="AE135" s="434"/>
      <c r="AF135" s="434"/>
      <c r="AG135" s="434"/>
      <c r="AH135" s="434"/>
      <c r="AI135" s="434" t="str">
        <f>'Cal 1'!$AD$25</f>
        <v>-</v>
      </c>
      <c r="AJ135" s="434"/>
      <c r="AK135" s="434"/>
      <c r="AL135" s="434"/>
      <c r="AM135" s="434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  <c r="BS135" s="10"/>
      <c r="BT135" s="10"/>
      <c r="BU135" s="10"/>
      <c r="BV135" s="10"/>
      <c r="BW135" s="10"/>
      <c r="BX135" s="10"/>
      <c r="BY135" s="10"/>
    </row>
    <row r="136" spans="1:77" s="88" customFormat="1" ht="16.5" customHeight="1">
      <c r="A136" s="85"/>
      <c r="B136" s="434" t="str">
        <f>'Cal 1'!$F$21</f>
        <v/>
      </c>
      <c r="C136" s="434"/>
      <c r="D136" s="434"/>
      <c r="E136" s="434"/>
      <c r="F136" s="434"/>
      <c r="G136" s="434"/>
      <c r="H136" s="434"/>
      <c r="I136" s="435" t="str">
        <f>'Cal Ref'!$AH$34</f>
        <v>P7</v>
      </c>
      <c r="J136" s="435"/>
      <c r="K136" s="435"/>
      <c r="L136" s="435"/>
      <c r="M136" s="435"/>
      <c r="N136" s="435"/>
      <c r="O136" s="435"/>
      <c r="P136" s="389" t="s">
        <v>450</v>
      </c>
      <c r="Q136" s="389"/>
      <c r="R136" s="389"/>
      <c r="S136" s="389"/>
      <c r="T136" s="389"/>
      <c r="U136" s="389"/>
      <c r="V136" s="389"/>
      <c r="W136" s="390" t="str">
        <f>'Cal 1'!$AH$21</f>
        <v/>
      </c>
      <c r="X136" s="391"/>
      <c r="Y136" s="391"/>
      <c r="Z136" s="391"/>
      <c r="AA136" s="391"/>
      <c r="AB136" s="391"/>
      <c r="AC136" s="392"/>
      <c r="AD136" s="434" t="e">
        <f t="shared" si="3"/>
        <v>#VALUE!</v>
      </c>
      <c r="AE136" s="434"/>
      <c r="AF136" s="434"/>
      <c r="AG136" s="434"/>
      <c r="AH136" s="434"/>
      <c r="AI136" s="434" t="str">
        <f>'Cal 1'!$AH$25</f>
        <v>-</v>
      </c>
      <c r="AJ136" s="434"/>
      <c r="AK136" s="434"/>
      <c r="AL136" s="434"/>
      <c r="AM136" s="434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  <c r="BS136" s="10"/>
      <c r="BT136" s="10"/>
      <c r="BU136" s="10"/>
      <c r="BV136" s="10"/>
      <c r="BW136" s="10"/>
      <c r="BX136" s="10"/>
      <c r="BY136" s="10"/>
    </row>
    <row r="137" spans="1:77" s="88" customFormat="1" ht="16.5" customHeight="1">
      <c r="A137" s="85"/>
      <c r="B137" s="434" t="str">
        <f>'Cal 1'!$F$21</f>
        <v/>
      </c>
      <c r="C137" s="434"/>
      <c r="D137" s="434"/>
      <c r="E137" s="434"/>
      <c r="F137" s="434"/>
      <c r="G137" s="434"/>
      <c r="H137" s="434"/>
      <c r="I137" s="435" t="str">
        <f>'Cal Ref'!$AL$34</f>
        <v>P8</v>
      </c>
      <c r="J137" s="435"/>
      <c r="K137" s="435"/>
      <c r="L137" s="435"/>
      <c r="M137" s="435"/>
      <c r="N137" s="435"/>
      <c r="O137" s="435"/>
      <c r="P137" s="389" t="s">
        <v>451</v>
      </c>
      <c r="Q137" s="389"/>
      <c r="R137" s="389"/>
      <c r="S137" s="389"/>
      <c r="T137" s="389"/>
      <c r="U137" s="389"/>
      <c r="V137" s="389"/>
      <c r="W137" s="390" t="str">
        <f>'Cal 1'!$AL$21</f>
        <v/>
      </c>
      <c r="X137" s="391"/>
      <c r="Y137" s="391"/>
      <c r="Z137" s="391"/>
      <c r="AA137" s="391"/>
      <c r="AB137" s="391"/>
      <c r="AC137" s="392"/>
      <c r="AD137" s="434" t="e">
        <f t="shared" si="3"/>
        <v>#VALUE!</v>
      </c>
      <c r="AE137" s="434"/>
      <c r="AF137" s="434"/>
      <c r="AG137" s="434"/>
      <c r="AH137" s="434"/>
      <c r="AI137" s="434" t="str">
        <f>'Cal 1'!$AL$25</f>
        <v>-</v>
      </c>
      <c r="AJ137" s="434"/>
      <c r="AK137" s="434"/>
      <c r="AL137" s="434"/>
      <c r="AM137" s="434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  <c r="BS137" s="10"/>
      <c r="BT137" s="10"/>
      <c r="BU137" s="10"/>
      <c r="BV137" s="10"/>
      <c r="BW137" s="10"/>
      <c r="BX137" s="10"/>
      <c r="BY137" s="10"/>
    </row>
    <row r="138" spans="1:77" s="88" customFormat="1" ht="16.5" customHeight="1">
      <c r="A138" s="85"/>
      <c r="B138" s="434" t="str">
        <f>'Cal 1'!$F$21</f>
        <v/>
      </c>
      <c r="C138" s="434"/>
      <c r="D138" s="434"/>
      <c r="E138" s="434"/>
      <c r="F138" s="434"/>
      <c r="G138" s="434"/>
      <c r="H138" s="434"/>
      <c r="I138" s="435" t="str">
        <f>'Cal Ref'!$AP$34</f>
        <v>P9</v>
      </c>
      <c r="J138" s="435"/>
      <c r="K138" s="435"/>
      <c r="L138" s="435"/>
      <c r="M138" s="435"/>
      <c r="N138" s="435"/>
      <c r="O138" s="435"/>
      <c r="P138" s="389" t="s">
        <v>452</v>
      </c>
      <c r="Q138" s="389"/>
      <c r="R138" s="389"/>
      <c r="S138" s="389"/>
      <c r="T138" s="389"/>
      <c r="U138" s="389"/>
      <c r="V138" s="389"/>
      <c r="W138" s="390" t="str">
        <f>'Cal 1'!$AP$21</f>
        <v/>
      </c>
      <c r="X138" s="391"/>
      <c r="Y138" s="391"/>
      <c r="Z138" s="391"/>
      <c r="AA138" s="391"/>
      <c r="AB138" s="391"/>
      <c r="AC138" s="392"/>
      <c r="AD138" s="434" t="e">
        <f t="shared" si="3"/>
        <v>#VALUE!</v>
      </c>
      <c r="AE138" s="434"/>
      <c r="AF138" s="434"/>
      <c r="AG138" s="434"/>
      <c r="AH138" s="434"/>
      <c r="AI138" s="434" t="str">
        <f>'Cal 1'!$AP$25</f>
        <v>-</v>
      </c>
      <c r="AJ138" s="434"/>
      <c r="AK138" s="434"/>
      <c r="AL138" s="434"/>
      <c r="AM138" s="434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  <c r="BS138" s="10"/>
      <c r="BT138" s="10"/>
      <c r="BU138" s="10"/>
      <c r="BV138" s="10"/>
      <c r="BW138" s="10"/>
      <c r="BX138" s="10"/>
      <c r="BY138" s="10"/>
    </row>
    <row r="139" spans="1:77" s="88" customFormat="1" ht="16.5" customHeight="1" thickBot="1">
      <c r="A139" s="85"/>
      <c r="B139" s="415" t="str">
        <f>'Cal 1'!$F$21</f>
        <v/>
      </c>
      <c r="C139" s="415"/>
      <c r="D139" s="415"/>
      <c r="E139" s="415"/>
      <c r="F139" s="415"/>
      <c r="G139" s="415"/>
      <c r="H139" s="415"/>
      <c r="I139" s="413" t="str">
        <f>'Cal Ref'!$AT$34</f>
        <v>P10</v>
      </c>
      <c r="J139" s="413"/>
      <c r="K139" s="413"/>
      <c r="L139" s="413"/>
      <c r="M139" s="413"/>
      <c r="N139" s="413"/>
      <c r="O139" s="413"/>
      <c r="P139" s="430" t="s">
        <v>453</v>
      </c>
      <c r="Q139" s="430"/>
      <c r="R139" s="430"/>
      <c r="S139" s="430"/>
      <c r="T139" s="430"/>
      <c r="U139" s="430"/>
      <c r="V139" s="430"/>
      <c r="W139" s="431" t="str">
        <f>'Cal 1'!$AT$21</f>
        <v/>
      </c>
      <c r="X139" s="432"/>
      <c r="Y139" s="432"/>
      <c r="Z139" s="432"/>
      <c r="AA139" s="432"/>
      <c r="AB139" s="432"/>
      <c r="AC139" s="433"/>
      <c r="AD139" s="415" t="e">
        <f>B139-W139</f>
        <v>#VALUE!</v>
      </c>
      <c r="AE139" s="415"/>
      <c r="AF139" s="415"/>
      <c r="AG139" s="415"/>
      <c r="AH139" s="415"/>
      <c r="AI139" s="415" t="str">
        <f>'Cal 1'!$AT$25</f>
        <v>-</v>
      </c>
      <c r="AJ139" s="415"/>
      <c r="AK139" s="415"/>
      <c r="AL139" s="415"/>
      <c r="AM139" s="415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  <c r="BS139" s="10"/>
      <c r="BT139" s="10"/>
      <c r="BU139" s="10"/>
      <c r="BV139" s="10"/>
      <c r="BW139" s="10"/>
      <c r="BX139" s="10"/>
      <c r="BY139" s="10"/>
    </row>
    <row r="140" spans="1:77" s="88" customFormat="1" ht="16.5" customHeight="1" thickBot="1">
      <c r="A140" s="85"/>
      <c r="B140" s="148"/>
      <c r="C140" s="148"/>
      <c r="D140" s="148"/>
      <c r="E140" s="148"/>
      <c r="F140" s="148"/>
      <c r="G140" s="148"/>
      <c r="H140" s="148"/>
      <c r="I140" s="148"/>
      <c r="J140" s="148"/>
      <c r="K140" s="148"/>
      <c r="L140" s="148"/>
      <c r="M140" s="148"/>
      <c r="N140" s="148"/>
      <c r="O140" s="148"/>
      <c r="P140" s="148"/>
      <c r="Q140" s="148"/>
      <c r="R140" s="148"/>
      <c r="S140" s="148"/>
      <c r="T140" s="148"/>
      <c r="U140" s="148"/>
      <c r="V140" s="148"/>
      <c r="W140" s="149"/>
      <c r="X140" s="149"/>
      <c r="Y140" s="149"/>
      <c r="Z140" s="149"/>
      <c r="AA140" s="149"/>
      <c r="AB140" s="149"/>
      <c r="AC140" s="149"/>
      <c r="AD140" s="149"/>
      <c r="AE140" s="149"/>
      <c r="AF140" s="149"/>
      <c r="AG140" s="149"/>
      <c r="AH140" s="149"/>
      <c r="AI140" s="150"/>
      <c r="AJ140" s="150"/>
      <c r="AK140" s="150"/>
      <c r="AL140" s="150"/>
      <c r="AM140" s="150"/>
      <c r="AN140" s="10"/>
      <c r="AO140" s="10"/>
      <c r="AP140" s="10"/>
      <c r="AQ140" s="10"/>
      <c r="AR140" s="10"/>
      <c r="AS140" s="10"/>
      <c r="AT140" s="10"/>
      <c r="AU140" s="10"/>
      <c r="AV140" s="10"/>
      <c r="AW140" s="10"/>
      <c r="AX140" s="10"/>
      <c r="AY140" s="10"/>
      <c r="AZ140" s="10"/>
      <c r="BA140" s="10"/>
      <c r="BB140" s="10"/>
      <c r="BC140" s="10"/>
      <c r="BD140" s="10"/>
      <c r="BE140" s="10"/>
      <c r="BF140" s="10"/>
      <c r="BG140" s="10"/>
      <c r="BH140" s="10"/>
      <c r="BI140" s="10"/>
      <c r="BJ140" s="10"/>
      <c r="BK140" s="10"/>
      <c r="BL140" s="10"/>
      <c r="BM140" s="10"/>
      <c r="BN140" s="10"/>
      <c r="BO140" s="10"/>
      <c r="BP140" s="10"/>
      <c r="BQ140" s="10"/>
      <c r="BR140" s="10"/>
      <c r="BS140" s="10"/>
      <c r="BT140" s="10"/>
      <c r="BU140" s="10"/>
      <c r="BV140" s="10"/>
      <c r="BW140" s="10"/>
      <c r="BX140" s="10"/>
      <c r="BY140" s="10"/>
    </row>
    <row r="141" spans="1:77" s="88" customFormat="1" ht="16.5" customHeight="1" thickBot="1">
      <c r="A141" s="85"/>
      <c r="B141" s="395" t="e">
        <f>VLOOKUP(Page1!AJ14,STD!P:S,4,0)&amp;IF(Page1!AJ14="Channel: 001",", Function: "&amp;STD!R6,", S/N: "&amp;Page1!AI15&amp;", Sensor: "&amp;IF(Page1!AJ14="1586-2586(026) PRT","PRT, S/N: "&amp;STD!T7,VLOOKUP(Page1!AE13,STD!P:S,2,0)))</f>
        <v>#N/A</v>
      </c>
      <c r="C141" s="396"/>
      <c r="D141" s="396"/>
      <c r="E141" s="396"/>
      <c r="F141" s="396"/>
      <c r="G141" s="396"/>
      <c r="H141" s="396"/>
      <c r="I141" s="396"/>
      <c r="J141" s="396"/>
      <c r="K141" s="396"/>
      <c r="L141" s="396"/>
      <c r="M141" s="396"/>
      <c r="N141" s="396"/>
      <c r="O141" s="396"/>
      <c r="P141" s="396"/>
      <c r="Q141" s="396"/>
      <c r="R141" s="396"/>
      <c r="S141" s="396"/>
      <c r="T141" s="396"/>
      <c r="U141" s="396"/>
      <c r="V141" s="396"/>
      <c r="W141" s="396"/>
      <c r="X141" s="396"/>
      <c r="Y141" s="396"/>
      <c r="Z141" s="396"/>
      <c r="AA141" s="396"/>
      <c r="AB141" s="396"/>
      <c r="AC141" s="396"/>
      <c r="AD141" s="396"/>
      <c r="AE141" s="396"/>
      <c r="AF141" s="396"/>
      <c r="AG141" s="396"/>
      <c r="AH141" s="396"/>
      <c r="AI141" s="396"/>
      <c r="AJ141" s="396"/>
      <c r="AK141" s="396"/>
      <c r="AL141" s="396"/>
      <c r="AM141" s="397"/>
    </row>
    <row r="142" spans="1:77" s="88" customFormat="1" ht="16.5" customHeight="1" thickBot="1">
      <c r="A142" s="85"/>
      <c r="B142" s="398" t="s">
        <v>379</v>
      </c>
      <c r="C142" s="399"/>
      <c r="D142" s="399"/>
      <c r="E142" s="399"/>
      <c r="F142" s="399"/>
      <c r="G142" s="399"/>
      <c r="H142" s="400"/>
      <c r="I142" s="395" t="s">
        <v>380</v>
      </c>
      <c r="J142" s="396"/>
      <c r="K142" s="396"/>
      <c r="L142" s="396"/>
      <c r="M142" s="396"/>
      <c r="N142" s="396"/>
      <c r="O142" s="396"/>
      <c r="P142" s="396"/>
      <c r="Q142" s="396"/>
      <c r="R142" s="396"/>
      <c r="S142" s="396"/>
      <c r="T142" s="396"/>
      <c r="U142" s="396"/>
      <c r="V142" s="396"/>
      <c r="W142" s="396"/>
      <c r="X142" s="396"/>
      <c r="Y142" s="396"/>
      <c r="Z142" s="396"/>
      <c r="AA142" s="396"/>
      <c r="AB142" s="396"/>
      <c r="AC142" s="397"/>
      <c r="AD142" s="398" t="s">
        <v>381</v>
      </c>
      <c r="AE142" s="399"/>
      <c r="AF142" s="399"/>
      <c r="AG142" s="399"/>
      <c r="AH142" s="400"/>
      <c r="AI142" s="398" t="s">
        <v>32</v>
      </c>
      <c r="AJ142" s="399"/>
      <c r="AK142" s="399"/>
      <c r="AL142" s="399"/>
      <c r="AM142" s="400"/>
    </row>
    <row r="143" spans="1:77" s="88" customFormat="1" ht="16.5" customHeight="1" thickBot="1">
      <c r="A143" s="85"/>
      <c r="B143" s="425" t="s">
        <v>382</v>
      </c>
      <c r="C143" s="426"/>
      <c r="D143" s="426"/>
      <c r="E143" s="426"/>
      <c r="F143" s="426"/>
      <c r="G143" s="426"/>
      <c r="H143" s="427"/>
      <c r="I143" s="437" t="s">
        <v>383</v>
      </c>
      <c r="J143" s="438"/>
      <c r="K143" s="438"/>
      <c r="L143" s="438"/>
      <c r="M143" s="438"/>
      <c r="N143" s="438"/>
      <c r="O143" s="439"/>
      <c r="P143" s="437" t="s">
        <v>384</v>
      </c>
      <c r="Q143" s="438"/>
      <c r="R143" s="438"/>
      <c r="S143" s="438"/>
      <c r="T143" s="438"/>
      <c r="U143" s="438"/>
      <c r="V143" s="439"/>
      <c r="W143" s="437" t="s">
        <v>79</v>
      </c>
      <c r="X143" s="438"/>
      <c r="Y143" s="438"/>
      <c r="Z143" s="438"/>
      <c r="AA143" s="438"/>
      <c r="AB143" s="438"/>
      <c r="AC143" s="439"/>
      <c r="AD143" s="408" t="s">
        <v>523</v>
      </c>
      <c r="AE143" s="409"/>
      <c r="AF143" s="409"/>
      <c r="AG143" s="409"/>
      <c r="AH143" s="410"/>
      <c r="AI143" s="408" t="s">
        <v>524</v>
      </c>
      <c r="AJ143" s="409"/>
      <c r="AK143" s="409"/>
      <c r="AL143" s="409"/>
      <c r="AM143" s="410"/>
    </row>
    <row r="144" spans="1:77" s="88" customFormat="1" ht="16.5" customHeight="1">
      <c r="A144" s="85"/>
      <c r="B144" s="393" t="str">
        <f>'Cal 1'!$F$21</f>
        <v/>
      </c>
      <c r="C144" s="393"/>
      <c r="D144" s="393"/>
      <c r="E144" s="393"/>
      <c r="F144" s="393"/>
      <c r="G144" s="393"/>
      <c r="H144" s="393"/>
      <c r="I144" s="389" t="str">
        <f>'Cal Ref'!$J$34</f>
        <v>P1</v>
      </c>
      <c r="J144" s="389"/>
      <c r="K144" s="389"/>
      <c r="L144" s="389"/>
      <c r="M144" s="389"/>
      <c r="N144" s="389"/>
      <c r="O144" s="389"/>
      <c r="P144" s="436" t="s">
        <v>444</v>
      </c>
      <c r="Q144" s="436"/>
      <c r="R144" s="436"/>
      <c r="S144" s="436"/>
      <c r="T144" s="436"/>
      <c r="U144" s="436"/>
      <c r="V144" s="436"/>
      <c r="W144" s="394" t="str">
        <f>'Cal 1'!$J$21</f>
        <v/>
      </c>
      <c r="X144" s="394"/>
      <c r="Y144" s="394"/>
      <c r="Z144" s="394"/>
      <c r="AA144" s="394"/>
      <c r="AB144" s="394"/>
      <c r="AC144" s="394"/>
      <c r="AD144" s="393" t="e">
        <f>B144-W144</f>
        <v>#VALUE!</v>
      </c>
      <c r="AE144" s="393"/>
      <c r="AF144" s="393"/>
      <c r="AG144" s="393"/>
      <c r="AH144" s="393"/>
      <c r="AI144" s="393" t="str">
        <f>'Cal 1'!$J$25</f>
        <v>-</v>
      </c>
      <c r="AJ144" s="393"/>
      <c r="AK144" s="393"/>
      <c r="AL144" s="393"/>
      <c r="AM144" s="393"/>
      <c r="AN144" s="10"/>
      <c r="AO144" s="10"/>
      <c r="AP144" s="10"/>
      <c r="AQ144" s="10"/>
      <c r="AR144" s="10"/>
      <c r="AS144" s="10"/>
      <c r="AT144" s="10"/>
      <c r="AU144" s="10"/>
      <c r="AV144" s="10"/>
      <c r="AW144" s="10"/>
      <c r="AX144" s="10"/>
      <c r="AY144" s="10"/>
      <c r="AZ144" s="10"/>
      <c r="BA144" s="10"/>
      <c r="BB144" s="10"/>
      <c r="BC144" s="10"/>
      <c r="BD144" s="10"/>
      <c r="BE144" s="10"/>
      <c r="BF144" s="10"/>
      <c r="BG144" s="10"/>
      <c r="BH144" s="10"/>
      <c r="BI144" s="10"/>
      <c r="BJ144" s="10"/>
      <c r="BK144" s="10"/>
      <c r="BL144" s="10"/>
      <c r="BM144" s="10"/>
      <c r="BN144" s="10"/>
      <c r="BO144" s="10"/>
      <c r="BP144" s="10"/>
      <c r="BQ144" s="10"/>
      <c r="BR144" s="10"/>
      <c r="BS144" s="10"/>
      <c r="BT144" s="10"/>
      <c r="BU144" s="10"/>
      <c r="BV144" s="10"/>
      <c r="BW144" s="10"/>
      <c r="BX144" s="10"/>
      <c r="BY144" s="10"/>
    </row>
    <row r="145" spans="1:77" s="88" customFormat="1" ht="16.5" customHeight="1">
      <c r="A145" s="85"/>
      <c r="B145" s="434" t="str">
        <f>'Cal 1'!$F$21</f>
        <v/>
      </c>
      <c r="C145" s="434"/>
      <c r="D145" s="434"/>
      <c r="E145" s="434"/>
      <c r="F145" s="434"/>
      <c r="G145" s="434"/>
      <c r="H145" s="434"/>
      <c r="I145" s="435" t="str">
        <f>'Cal Ref'!$N$34</f>
        <v>P2</v>
      </c>
      <c r="J145" s="435"/>
      <c r="K145" s="435"/>
      <c r="L145" s="435"/>
      <c r="M145" s="435"/>
      <c r="N145" s="435"/>
      <c r="O145" s="435"/>
      <c r="P145" s="389" t="s">
        <v>445</v>
      </c>
      <c r="Q145" s="389"/>
      <c r="R145" s="389"/>
      <c r="S145" s="389"/>
      <c r="T145" s="389"/>
      <c r="U145" s="389"/>
      <c r="V145" s="389"/>
      <c r="W145" s="390" t="str">
        <f>'Cal 1'!$N$21</f>
        <v/>
      </c>
      <c r="X145" s="391"/>
      <c r="Y145" s="391"/>
      <c r="Z145" s="391"/>
      <c r="AA145" s="391"/>
      <c r="AB145" s="391"/>
      <c r="AC145" s="392"/>
      <c r="AD145" s="434" t="e">
        <f>B145-W145</f>
        <v>#VALUE!</v>
      </c>
      <c r="AE145" s="434"/>
      <c r="AF145" s="434"/>
      <c r="AG145" s="434"/>
      <c r="AH145" s="434"/>
      <c r="AI145" s="434" t="str">
        <f>'Cal 1'!$N$25</f>
        <v>-</v>
      </c>
      <c r="AJ145" s="434"/>
      <c r="AK145" s="434"/>
      <c r="AL145" s="434"/>
      <c r="AM145" s="434"/>
      <c r="AN145" s="10"/>
      <c r="AO145" s="10"/>
      <c r="AP145" s="10"/>
      <c r="AQ145" s="10"/>
      <c r="AR145" s="10"/>
      <c r="AS145" s="10"/>
      <c r="AT145" s="10"/>
      <c r="AU145" s="10"/>
      <c r="AV145" s="10"/>
      <c r="AW145" s="10"/>
      <c r="AX145" s="10"/>
      <c r="AY145" s="10"/>
      <c r="AZ145" s="10"/>
      <c r="BA145" s="10"/>
      <c r="BB145" s="10"/>
      <c r="BC145" s="10"/>
      <c r="BD145" s="10"/>
      <c r="BE145" s="10"/>
      <c r="BF145" s="10"/>
      <c r="BG145" s="10"/>
      <c r="BH145" s="10"/>
      <c r="BI145" s="10"/>
      <c r="BJ145" s="10"/>
      <c r="BK145" s="10"/>
      <c r="BL145" s="10"/>
      <c r="BM145" s="10"/>
      <c r="BN145" s="10"/>
      <c r="BO145" s="10"/>
      <c r="BP145" s="10"/>
      <c r="BQ145" s="10"/>
      <c r="BR145" s="10"/>
      <c r="BS145" s="10"/>
      <c r="BT145" s="10"/>
      <c r="BU145" s="10"/>
      <c r="BV145" s="10"/>
      <c r="BW145" s="10"/>
      <c r="BX145" s="10"/>
      <c r="BY145" s="10"/>
    </row>
    <row r="146" spans="1:77" s="88" customFormat="1" ht="16.5" customHeight="1">
      <c r="A146" s="85"/>
      <c r="B146" s="434" t="str">
        <f>'Cal 1'!$F$21</f>
        <v/>
      </c>
      <c r="C146" s="434"/>
      <c r="D146" s="434"/>
      <c r="E146" s="434"/>
      <c r="F146" s="434"/>
      <c r="G146" s="434"/>
      <c r="H146" s="434"/>
      <c r="I146" s="435" t="str">
        <f>'Cal Ref'!$R$34</f>
        <v>P3</v>
      </c>
      <c r="J146" s="435"/>
      <c r="K146" s="435"/>
      <c r="L146" s="435"/>
      <c r="M146" s="435"/>
      <c r="N146" s="435"/>
      <c r="O146" s="435"/>
      <c r="P146" s="389" t="s">
        <v>446</v>
      </c>
      <c r="Q146" s="389"/>
      <c r="R146" s="389"/>
      <c r="S146" s="389"/>
      <c r="T146" s="389"/>
      <c r="U146" s="389"/>
      <c r="V146" s="389"/>
      <c r="W146" s="390" t="str">
        <f>'Cal 1'!$R$21</f>
        <v/>
      </c>
      <c r="X146" s="391"/>
      <c r="Y146" s="391"/>
      <c r="Z146" s="391"/>
      <c r="AA146" s="391"/>
      <c r="AB146" s="391"/>
      <c r="AC146" s="392"/>
      <c r="AD146" s="434" t="e">
        <f t="shared" ref="AD146:AD152" si="4">B146-W146</f>
        <v>#VALUE!</v>
      </c>
      <c r="AE146" s="434"/>
      <c r="AF146" s="434"/>
      <c r="AG146" s="434"/>
      <c r="AH146" s="434"/>
      <c r="AI146" s="434" t="str">
        <f>'Cal 1'!$R$25</f>
        <v>-</v>
      </c>
      <c r="AJ146" s="434"/>
      <c r="AK146" s="434"/>
      <c r="AL146" s="434"/>
      <c r="AM146" s="434"/>
      <c r="AN146" s="10"/>
      <c r="AO146" s="10"/>
      <c r="AP146" s="10"/>
      <c r="AQ146" s="10"/>
      <c r="AR146" s="10"/>
      <c r="AS146" s="10"/>
      <c r="AT146" s="10"/>
      <c r="AU146" s="10"/>
      <c r="AV146" s="10"/>
      <c r="AW146" s="10"/>
      <c r="AX146" s="10"/>
      <c r="AY146" s="10"/>
      <c r="AZ146" s="10"/>
      <c r="BA146" s="10"/>
      <c r="BB146" s="10"/>
      <c r="BC146" s="10"/>
      <c r="BD146" s="10"/>
      <c r="BE146" s="10"/>
      <c r="BF146" s="10"/>
      <c r="BG146" s="10"/>
      <c r="BH146" s="10"/>
      <c r="BI146" s="10"/>
      <c r="BJ146" s="10"/>
      <c r="BK146" s="10"/>
      <c r="BL146" s="10"/>
      <c r="BM146" s="10"/>
      <c r="BN146" s="10"/>
      <c r="BO146" s="10"/>
      <c r="BP146" s="10"/>
      <c r="BQ146" s="10"/>
      <c r="BR146" s="10"/>
      <c r="BS146" s="10"/>
      <c r="BT146" s="10"/>
      <c r="BU146" s="10"/>
      <c r="BV146" s="10"/>
      <c r="BW146" s="10"/>
      <c r="BX146" s="10"/>
      <c r="BY146" s="10"/>
    </row>
    <row r="147" spans="1:77" s="88" customFormat="1" ht="16.5" customHeight="1">
      <c r="A147" s="85"/>
      <c r="B147" s="434" t="str">
        <f>'Cal 1'!$F$21</f>
        <v/>
      </c>
      <c r="C147" s="434"/>
      <c r="D147" s="434"/>
      <c r="E147" s="434"/>
      <c r="F147" s="434"/>
      <c r="G147" s="434"/>
      <c r="H147" s="434"/>
      <c r="I147" s="435" t="str">
        <f>'Cal Ref'!$V$34</f>
        <v>P4</v>
      </c>
      <c r="J147" s="435"/>
      <c r="K147" s="435"/>
      <c r="L147" s="435"/>
      <c r="M147" s="435"/>
      <c r="N147" s="435"/>
      <c r="O147" s="435"/>
      <c r="P147" s="389" t="s">
        <v>447</v>
      </c>
      <c r="Q147" s="389"/>
      <c r="R147" s="389"/>
      <c r="S147" s="389"/>
      <c r="T147" s="389"/>
      <c r="U147" s="389"/>
      <c r="V147" s="389"/>
      <c r="W147" s="390" t="str">
        <f>'Cal 1'!$V$21</f>
        <v/>
      </c>
      <c r="X147" s="391"/>
      <c r="Y147" s="391"/>
      <c r="Z147" s="391"/>
      <c r="AA147" s="391"/>
      <c r="AB147" s="391"/>
      <c r="AC147" s="392"/>
      <c r="AD147" s="434" t="e">
        <f t="shared" si="4"/>
        <v>#VALUE!</v>
      </c>
      <c r="AE147" s="434"/>
      <c r="AF147" s="434"/>
      <c r="AG147" s="434"/>
      <c r="AH147" s="434"/>
      <c r="AI147" s="434" t="str">
        <f>'Cal 1'!$V$25</f>
        <v>-</v>
      </c>
      <c r="AJ147" s="434"/>
      <c r="AK147" s="434"/>
      <c r="AL147" s="434"/>
      <c r="AM147" s="434"/>
      <c r="AN147" s="10"/>
      <c r="AO147" s="10"/>
      <c r="AP147" s="10"/>
      <c r="AQ147" s="10"/>
      <c r="AR147" s="10"/>
      <c r="AS147" s="10"/>
      <c r="AT147" s="10"/>
      <c r="AU147" s="10"/>
      <c r="AV147" s="10"/>
      <c r="AW147" s="10"/>
      <c r="AX147" s="10"/>
      <c r="AY147" s="10"/>
      <c r="AZ147" s="10"/>
      <c r="BA147" s="10"/>
      <c r="BB147" s="10"/>
      <c r="BC147" s="10"/>
      <c r="BD147" s="10"/>
      <c r="BE147" s="10"/>
      <c r="BF147" s="10"/>
      <c r="BG147" s="10"/>
      <c r="BH147" s="10"/>
      <c r="BI147" s="10"/>
      <c r="BJ147" s="10"/>
      <c r="BK147" s="10"/>
      <c r="BL147" s="10"/>
      <c r="BM147" s="10"/>
      <c r="BN147" s="10"/>
      <c r="BO147" s="10"/>
      <c r="BP147" s="10"/>
      <c r="BQ147" s="10"/>
      <c r="BR147" s="10"/>
      <c r="BS147" s="10"/>
      <c r="BT147" s="10"/>
      <c r="BU147" s="10"/>
      <c r="BV147" s="10"/>
      <c r="BW147" s="10"/>
      <c r="BX147" s="10"/>
      <c r="BY147" s="10"/>
    </row>
    <row r="148" spans="1:77" s="88" customFormat="1" ht="16.5" customHeight="1">
      <c r="A148" s="85"/>
      <c r="B148" s="434" t="str">
        <f>'Cal 1'!$F$21</f>
        <v/>
      </c>
      <c r="C148" s="434"/>
      <c r="D148" s="434"/>
      <c r="E148" s="434"/>
      <c r="F148" s="434"/>
      <c r="G148" s="434"/>
      <c r="H148" s="434"/>
      <c r="I148" s="435" t="str">
        <f>'Cal Ref'!$Z$34</f>
        <v>P5</v>
      </c>
      <c r="J148" s="435"/>
      <c r="K148" s="435"/>
      <c r="L148" s="435"/>
      <c r="M148" s="435"/>
      <c r="N148" s="435"/>
      <c r="O148" s="435"/>
      <c r="P148" s="389" t="s">
        <v>448</v>
      </c>
      <c r="Q148" s="389"/>
      <c r="R148" s="389"/>
      <c r="S148" s="389"/>
      <c r="T148" s="389"/>
      <c r="U148" s="389"/>
      <c r="V148" s="389"/>
      <c r="W148" s="390" t="str">
        <f>'Cal 1'!$Z$21</f>
        <v/>
      </c>
      <c r="X148" s="391"/>
      <c r="Y148" s="391"/>
      <c r="Z148" s="391"/>
      <c r="AA148" s="391"/>
      <c r="AB148" s="391"/>
      <c r="AC148" s="392"/>
      <c r="AD148" s="434" t="e">
        <f t="shared" si="4"/>
        <v>#VALUE!</v>
      </c>
      <c r="AE148" s="434"/>
      <c r="AF148" s="434"/>
      <c r="AG148" s="434"/>
      <c r="AH148" s="434"/>
      <c r="AI148" s="434" t="str">
        <f>'Cal 1'!$Z$25</f>
        <v>-</v>
      </c>
      <c r="AJ148" s="434"/>
      <c r="AK148" s="434"/>
      <c r="AL148" s="434"/>
      <c r="AM148" s="434"/>
      <c r="AN148" s="10"/>
      <c r="AO148" s="10"/>
      <c r="AP148" s="10"/>
      <c r="AQ148" s="10"/>
      <c r="AR148" s="10"/>
      <c r="AS148" s="10"/>
      <c r="AT148" s="10"/>
      <c r="AU148" s="10"/>
      <c r="AV148" s="10"/>
      <c r="AW148" s="10"/>
      <c r="AX148" s="10"/>
      <c r="AY148" s="10"/>
      <c r="AZ148" s="10"/>
      <c r="BA148" s="10"/>
      <c r="BB148" s="10"/>
      <c r="BC148" s="10"/>
      <c r="BD148" s="10"/>
      <c r="BE148" s="10"/>
      <c r="BF148" s="10"/>
      <c r="BG148" s="10"/>
      <c r="BH148" s="10"/>
      <c r="BI148" s="10"/>
      <c r="BJ148" s="10"/>
      <c r="BK148" s="10"/>
      <c r="BL148" s="10"/>
      <c r="BM148" s="10"/>
      <c r="BN148" s="10"/>
      <c r="BO148" s="10"/>
      <c r="BP148" s="10"/>
      <c r="BQ148" s="10"/>
      <c r="BR148" s="10"/>
      <c r="BS148" s="10"/>
      <c r="BT148" s="10"/>
      <c r="BU148" s="10"/>
      <c r="BV148" s="10"/>
      <c r="BW148" s="10"/>
      <c r="BX148" s="10"/>
      <c r="BY148" s="10"/>
    </row>
    <row r="149" spans="1:77" s="88" customFormat="1" ht="16.5" customHeight="1">
      <c r="A149" s="85"/>
      <c r="B149" s="434" t="str">
        <f>'Cal 1'!$F$21</f>
        <v/>
      </c>
      <c r="C149" s="434"/>
      <c r="D149" s="434"/>
      <c r="E149" s="434"/>
      <c r="F149" s="434"/>
      <c r="G149" s="434"/>
      <c r="H149" s="434"/>
      <c r="I149" s="435" t="str">
        <f>'Cal Ref'!$AD$34</f>
        <v>P6</v>
      </c>
      <c r="J149" s="435"/>
      <c r="K149" s="435"/>
      <c r="L149" s="435"/>
      <c r="M149" s="435"/>
      <c r="N149" s="435"/>
      <c r="O149" s="435"/>
      <c r="P149" s="389" t="s">
        <v>449</v>
      </c>
      <c r="Q149" s="389"/>
      <c r="R149" s="389"/>
      <c r="S149" s="389"/>
      <c r="T149" s="389"/>
      <c r="U149" s="389"/>
      <c r="V149" s="389"/>
      <c r="W149" s="390" t="str">
        <f>'Cal 1'!$AD$21</f>
        <v/>
      </c>
      <c r="X149" s="391"/>
      <c r="Y149" s="391"/>
      <c r="Z149" s="391"/>
      <c r="AA149" s="391"/>
      <c r="AB149" s="391"/>
      <c r="AC149" s="392"/>
      <c r="AD149" s="434" t="e">
        <f t="shared" si="4"/>
        <v>#VALUE!</v>
      </c>
      <c r="AE149" s="434"/>
      <c r="AF149" s="434"/>
      <c r="AG149" s="434"/>
      <c r="AH149" s="434"/>
      <c r="AI149" s="434" t="str">
        <f>'Cal 1'!$AD$25</f>
        <v>-</v>
      </c>
      <c r="AJ149" s="434"/>
      <c r="AK149" s="434"/>
      <c r="AL149" s="434"/>
      <c r="AM149" s="434"/>
      <c r="AN149" s="10"/>
      <c r="AO149" s="10"/>
      <c r="AP149" s="10"/>
      <c r="AQ149" s="10"/>
      <c r="AR149" s="10"/>
      <c r="AS149" s="10"/>
      <c r="AT149" s="10"/>
      <c r="AU149" s="10"/>
      <c r="AV149" s="10"/>
      <c r="AW149" s="10"/>
      <c r="AX149" s="10"/>
      <c r="AY149" s="10"/>
      <c r="AZ149" s="10"/>
      <c r="BA149" s="10"/>
      <c r="BB149" s="10"/>
      <c r="BC149" s="10"/>
      <c r="BD149" s="10"/>
      <c r="BE149" s="10"/>
      <c r="BF149" s="10"/>
      <c r="BG149" s="10"/>
      <c r="BH149" s="10"/>
      <c r="BI149" s="10"/>
      <c r="BJ149" s="10"/>
      <c r="BK149" s="10"/>
      <c r="BL149" s="10"/>
      <c r="BM149" s="10"/>
      <c r="BN149" s="10"/>
      <c r="BO149" s="10"/>
      <c r="BP149" s="10"/>
      <c r="BQ149" s="10"/>
      <c r="BR149" s="10"/>
      <c r="BS149" s="10"/>
      <c r="BT149" s="10"/>
      <c r="BU149" s="10"/>
      <c r="BV149" s="10"/>
      <c r="BW149" s="10"/>
      <c r="BX149" s="10"/>
      <c r="BY149" s="10"/>
    </row>
    <row r="150" spans="1:77" s="88" customFormat="1" ht="16.5" customHeight="1">
      <c r="A150" s="85"/>
      <c r="B150" s="434" t="str">
        <f>'Cal 1'!$F$21</f>
        <v/>
      </c>
      <c r="C150" s="434"/>
      <c r="D150" s="434"/>
      <c r="E150" s="434"/>
      <c r="F150" s="434"/>
      <c r="G150" s="434"/>
      <c r="H150" s="434"/>
      <c r="I150" s="435" t="str">
        <f>'Cal Ref'!$AH$34</f>
        <v>P7</v>
      </c>
      <c r="J150" s="435"/>
      <c r="K150" s="435"/>
      <c r="L150" s="435"/>
      <c r="M150" s="435"/>
      <c r="N150" s="435"/>
      <c r="O150" s="435"/>
      <c r="P150" s="389" t="s">
        <v>450</v>
      </c>
      <c r="Q150" s="389"/>
      <c r="R150" s="389"/>
      <c r="S150" s="389"/>
      <c r="T150" s="389"/>
      <c r="U150" s="389"/>
      <c r="V150" s="389"/>
      <c r="W150" s="390" t="str">
        <f>'Cal 1'!$AH$21</f>
        <v/>
      </c>
      <c r="X150" s="391"/>
      <c r="Y150" s="391"/>
      <c r="Z150" s="391"/>
      <c r="AA150" s="391"/>
      <c r="AB150" s="391"/>
      <c r="AC150" s="392"/>
      <c r="AD150" s="434" t="e">
        <f t="shared" si="4"/>
        <v>#VALUE!</v>
      </c>
      <c r="AE150" s="434"/>
      <c r="AF150" s="434"/>
      <c r="AG150" s="434"/>
      <c r="AH150" s="434"/>
      <c r="AI150" s="434" t="str">
        <f>'Cal 1'!$AH$25</f>
        <v>-</v>
      </c>
      <c r="AJ150" s="434"/>
      <c r="AK150" s="434"/>
      <c r="AL150" s="434"/>
      <c r="AM150" s="434"/>
      <c r="AN150" s="10"/>
      <c r="AO150" s="10"/>
      <c r="AP150" s="10"/>
      <c r="AQ150" s="10"/>
      <c r="AR150" s="10"/>
      <c r="AS150" s="10"/>
      <c r="AT150" s="10"/>
      <c r="AU150" s="10"/>
      <c r="AV150" s="10"/>
      <c r="AW150" s="10"/>
      <c r="AX150" s="10"/>
      <c r="AY150" s="10"/>
      <c r="AZ150" s="10"/>
      <c r="BA150" s="10"/>
      <c r="BB150" s="10"/>
      <c r="BC150" s="10"/>
      <c r="BD150" s="10"/>
      <c r="BE150" s="10"/>
      <c r="BF150" s="10"/>
      <c r="BG150" s="10"/>
      <c r="BH150" s="10"/>
      <c r="BI150" s="10"/>
      <c r="BJ150" s="10"/>
      <c r="BK150" s="10"/>
      <c r="BL150" s="10"/>
      <c r="BM150" s="10"/>
      <c r="BN150" s="10"/>
      <c r="BO150" s="10"/>
      <c r="BP150" s="10"/>
      <c r="BQ150" s="10"/>
      <c r="BR150" s="10"/>
      <c r="BS150" s="10"/>
      <c r="BT150" s="10"/>
      <c r="BU150" s="10"/>
      <c r="BV150" s="10"/>
      <c r="BW150" s="10"/>
      <c r="BX150" s="10"/>
      <c r="BY150" s="10"/>
    </row>
    <row r="151" spans="1:77" s="88" customFormat="1" ht="16.5" customHeight="1">
      <c r="A151" s="85"/>
      <c r="B151" s="434" t="str">
        <f>'Cal 1'!$F$21</f>
        <v/>
      </c>
      <c r="C151" s="434"/>
      <c r="D151" s="434"/>
      <c r="E151" s="434"/>
      <c r="F151" s="434"/>
      <c r="G151" s="434"/>
      <c r="H151" s="434"/>
      <c r="I151" s="435" t="str">
        <f>'Cal Ref'!$AL$34</f>
        <v>P8</v>
      </c>
      <c r="J151" s="435"/>
      <c r="K151" s="435"/>
      <c r="L151" s="435"/>
      <c r="M151" s="435"/>
      <c r="N151" s="435"/>
      <c r="O151" s="435"/>
      <c r="P151" s="389" t="s">
        <v>451</v>
      </c>
      <c r="Q151" s="389"/>
      <c r="R151" s="389"/>
      <c r="S151" s="389"/>
      <c r="T151" s="389"/>
      <c r="U151" s="389"/>
      <c r="V151" s="389"/>
      <c r="W151" s="390" t="str">
        <f>'Cal 1'!$AL$21</f>
        <v/>
      </c>
      <c r="X151" s="391"/>
      <c r="Y151" s="391"/>
      <c r="Z151" s="391"/>
      <c r="AA151" s="391"/>
      <c r="AB151" s="391"/>
      <c r="AC151" s="392"/>
      <c r="AD151" s="434" t="e">
        <f t="shared" si="4"/>
        <v>#VALUE!</v>
      </c>
      <c r="AE151" s="434"/>
      <c r="AF151" s="434"/>
      <c r="AG151" s="434"/>
      <c r="AH151" s="434"/>
      <c r="AI151" s="434" t="str">
        <f>'Cal 1'!$AL$25</f>
        <v>-</v>
      </c>
      <c r="AJ151" s="434"/>
      <c r="AK151" s="434"/>
      <c r="AL151" s="434"/>
      <c r="AM151" s="434"/>
      <c r="AN151" s="10"/>
      <c r="AO151" s="10"/>
      <c r="AP151" s="10"/>
      <c r="AQ151" s="10"/>
      <c r="AR151" s="10"/>
      <c r="AS151" s="10"/>
      <c r="AT151" s="10"/>
      <c r="AU151" s="10"/>
      <c r="AV151" s="10"/>
      <c r="AW151" s="10"/>
      <c r="AX151" s="10"/>
      <c r="AY151" s="10"/>
      <c r="AZ151" s="10"/>
      <c r="BA151" s="10"/>
      <c r="BB151" s="10"/>
      <c r="BC151" s="10"/>
      <c r="BD151" s="10"/>
      <c r="BE151" s="10"/>
      <c r="BF151" s="10"/>
      <c r="BG151" s="10"/>
      <c r="BH151" s="10"/>
      <c r="BI151" s="10"/>
      <c r="BJ151" s="10"/>
      <c r="BK151" s="10"/>
      <c r="BL151" s="10"/>
      <c r="BM151" s="10"/>
      <c r="BN151" s="10"/>
      <c r="BO151" s="10"/>
      <c r="BP151" s="10"/>
      <c r="BQ151" s="10"/>
      <c r="BR151" s="10"/>
      <c r="BS151" s="10"/>
      <c r="BT151" s="10"/>
      <c r="BU151" s="10"/>
      <c r="BV151" s="10"/>
      <c r="BW151" s="10"/>
      <c r="BX151" s="10"/>
      <c r="BY151" s="10"/>
    </row>
    <row r="152" spans="1:77" s="88" customFormat="1" ht="16.5" customHeight="1">
      <c r="A152" s="85"/>
      <c r="B152" s="434" t="str">
        <f>'Cal 1'!$F$21</f>
        <v/>
      </c>
      <c r="C152" s="434"/>
      <c r="D152" s="434"/>
      <c r="E152" s="434"/>
      <c r="F152" s="434"/>
      <c r="G152" s="434"/>
      <c r="H152" s="434"/>
      <c r="I152" s="435" t="str">
        <f>'Cal Ref'!$AP$34</f>
        <v>P9</v>
      </c>
      <c r="J152" s="435"/>
      <c r="K152" s="435"/>
      <c r="L152" s="435"/>
      <c r="M152" s="435"/>
      <c r="N152" s="435"/>
      <c r="O152" s="435"/>
      <c r="P152" s="389" t="s">
        <v>452</v>
      </c>
      <c r="Q152" s="389"/>
      <c r="R152" s="389"/>
      <c r="S152" s="389"/>
      <c r="T152" s="389"/>
      <c r="U152" s="389"/>
      <c r="V152" s="389"/>
      <c r="W152" s="390" t="str">
        <f>'Cal 1'!$AP$21</f>
        <v/>
      </c>
      <c r="X152" s="391"/>
      <c r="Y152" s="391"/>
      <c r="Z152" s="391"/>
      <c r="AA152" s="391"/>
      <c r="AB152" s="391"/>
      <c r="AC152" s="392"/>
      <c r="AD152" s="434" t="e">
        <f t="shared" si="4"/>
        <v>#VALUE!</v>
      </c>
      <c r="AE152" s="434"/>
      <c r="AF152" s="434"/>
      <c r="AG152" s="434"/>
      <c r="AH152" s="434"/>
      <c r="AI152" s="434" t="str">
        <f>'Cal 1'!$AP$25</f>
        <v>-</v>
      </c>
      <c r="AJ152" s="434"/>
      <c r="AK152" s="434"/>
      <c r="AL152" s="434"/>
      <c r="AM152" s="434"/>
      <c r="AN152" s="10"/>
      <c r="AO152" s="10"/>
      <c r="AP152" s="10"/>
      <c r="AQ152" s="10"/>
      <c r="AR152" s="10"/>
      <c r="AS152" s="10"/>
      <c r="AT152" s="10"/>
      <c r="AU152" s="10"/>
      <c r="AV152" s="10"/>
      <c r="AW152" s="10"/>
      <c r="AX152" s="10"/>
      <c r="AY152" s="10"/>
      <c r="AZ152" s="10"/>
      <c r="BA152" s="10"/>
      <c r="BB152" s="10"/>
      <c r="BC152" s="10"/>
      <c r="BD152" s="10"/>
      <c r="BE152" s="10"/>
      <c r="BF152" s="10"/>
      <c r="BG152" s="10"/>
      <c r="BH152" s="10"/>
      <c r="BI152" s="10"/>
      <c r="BJ152" s="10"/>
      <c r="BK152" s="10"/>
      <c r="BL152" s="10"/>
      <c r="BM152" s="10"/>
      <c r="BN152" s="10"/>
      <c r="BO152" s="10"/>
      <c r="BP152" s="10"/>
      <c r="BQ152" s="10"/>
      <c r="BR152" s="10"/>
      <c r="BS152" s="10"/>
      <c r="BT152" s="10"/>
      <c r="BU152" s="10"/>
      <c r="BV152" s="10"/>
      <c r="BW152" s="10"/>
      <c r="BX152" s="10"/>
      <c r="BY152" s="10"/>
    </row>
    <row r="153" spans="1:77" s="88" customFormat="1" ht="16.5" customHeight="1" thickBot="1">
      <c r="A153" s="85"/>
      <c r="B153" s="415" t="str">
        <f>'Cal 1'!$F$21</f>
        <v/>
      </c>
      <c r="C153" s="415"/>
      <c r="D153" s="415"/>
      <c r="E153" s="415"/>
      <c r="F153" s="415"/>
      <c r="G153" s="415"/>
      <c r="H153" s="415"/>
      <c r="I153" s="413" t="str">
        <f>'Cal Ref'!$AT$34</f>
        <v>P10</v>
      </c>
      <c r="J153" s="413"/>
      <c r="K153" s="413"/>
      <c r="L153" s="413"/>
      <c r="M153" s="413"/>
      <c r="N153" s="413"/>
      <c r="O153" s="413"/>
      <c r="P153" s="430" t="s">
        <v>453</v>
      </c>
      <c r="Q153" s="430"/>
      <c r="R153" s="430"/>
      <c r="S153" s="430"/>
      <c r="T153" s="430"/>
      <c r="U153" s="430"/>
      <c r="V153" s="430"/>
      <c r="W153" s="431" t="str">
        <f>'Cal 1'!$AT$21</f>
        <v/>
      </c>
      <c r="X153" s="432"/>
      <c r="Y153" s="432"/>
      <c r="Z153" s="432"/>
      <c r="AA153" s="432"/>
      <c r="AB153" s="432"/>
      <c r="AC153" s="433"/>
      <c r="AD153" s="415" t="e">
        <f>B153-W153</f>
        <v>#VALUE!</v>
      </c>
      <c r="AE153" s="415"/>
      <c r="AF153" s="415"/>
      <c r="AG153" s="415"/>
      <c r="AH153" s="415"/>
      <c r="AI153" s="415" t="str">
        <f>'Cal 1'!$AT$25</f>
        <v>-</v>
      </c>
      <c r="AJ153" s="415"/>
      <c r="AK153" s="415"/>
      <c r="AL153" s="415"/>
      <c r="AM153" s="415"/>
      <c r="AN153" s="10"/>
      <c r="AO153" s="10"/>
      <c r="AP153" s="10"/>
      <c r="AQ153" s="10"/>
      <c r="AR153" s="10"/>
      <c r="AS153" s="10"/>
      <c r="AT153" s="10"/>
      <c r="AU153" s="10"/>
      <c r="AV153" s="10"/>
      <c r="AW153" s="10"/>
      <c r="AX153" s="10"/>
      <c r="AY153" s="10"/>
      <c r="AZ153" s="10"/>
      <c r="BA153" s="10"/>
      <c r="BB153" s="10"/>
      <c r="BC153" s="10"/>
      <c r="BD153" s="10"/>
      <c r="BE153" s="10"/>
      <c r="BF153" s="10"/>
      <c r="BG153" s="10"/>
      <c r="BH153" s="10"/>
      <c r="BI153" s="10"/>
      <c r="BJ153" s="10"/>
      <c r="BK153" s="10"/>
      <c r="BL153" s="10"/>
      <c r="BM153" s="10"/>
      <c r="BN153" s="10"/>
      <c r="BO153" s="10"/>
      <c r="BP153" s="10"/>
      <c r="BQ153" s="10"/>
      <c r="BR153" s="10"/>
      <c r="BS153" s="10"/>
      <c r="BT153" s="10"/>
      <c r="BU153" s="10"/>
      <c r="BV153" s="10"/>
      <c r="BW153" s="10"/>
      <c r="BX153" s="10"/>
      <c r="BY153" s="10"/>
    </row>
    <row r="154" spans="1:77" s="88" customFormat="1" ht="16.5" customHeight="1">
      <c r="A154" s="85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45"/>
      <c r="X154" s="145"/>
      <c r="Y154" s="145"/>
      <c r="Z154" s="145"/>
      <c r="AA154" s="145"/>
      <c r="AB154" s="145"/>
      <c r="AC154" s="145"/>
      <c r="AD154" s="145"/>
      <c r="AE154" s="145"/>
      <c r="AF154" s="145"/>
      <c r="AG154" s="145"/>
      <c r="AH154" s="145"/>
      <c r="AI154" s="28"/>
      <c r="AJ154" s="28"/>
      <c r="AK154" s="28"/>
      <c r="AL154" s="28"/>
      <c r="AM154" s="28"/>
      <c r="AN154" s="10"/>
      <c r="AO154" s="10"/>
      <c r="AP154" s="10"/>
      <c r="AQ154" s="10"/>
      <c r="AR154" s="10"/>
      <c r="AS154" s="10"/>
      <c r="AT154" s="10"/>
      <c r="AU154" s="10"/>
      <c r="AV154" s="10"/>
      <c r="AW154" s="10"/>
      <c r="AX154" s="10"/>
      <c r="AY154" s="10"/>
      <c r="AZ154" s="10"/>
      <c r="BA154" s="10"/>
      <c r="BB154" s="10"/>
      <c r="BC154" s="10"/>
      <c r="BD154" s="10"/>
      <c r="BE154" s="10"/>
      <c r="BF154" s="10"/>
      <c r="BG154" s="10"/>
      <c r="BH154" s="10"/>
      <c r="BI154" s="10"/>
      <c r="BJ154" s="10"/>
      <c r="BK154" s="10"/>
      <c r="BL154" s="10"/>
      <c r="BM154" s="10"/>
      <c r="BN154" s="10"/>
      <c r="BO154" s="10"/>
      <c r="BP154" s="10"/>
      <c r="BQ154" s="10"/>
      <c r="BR154" s="10"/>
      <c r="BS154" s="10"/>
      <c r="BT154" s="10"/>
      <c r="BU154" s="10"/>
      <c r="BV154" s="10"/>
      <c r="BW154" s="10"/>
      <c r="BX154" s="10"/>
      <c r="BY154" s="10"/>
    </row>
    <row r="155" spans="1:77" s="88" customFormat="1" ht="16.5" customHeight="1">
      <c r="A155" s="85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45"/>
      <c r="X155" s="145"/>
      <c r="Y155" s="145"/>
      <c r="Z155" s="145"/>
      <c r="AA155" s="145"/>
      <c r="AB155" s="145"/>
      <c r="AC155" s="145"/>
      <c r="AD155" s="145"/>
      <c r="AE155" s="145"/>
      <c r="AF155" s="145"/>
      <c r="AG155" s="145"/>
      <c r="AH155" s="145"/>
      <c r="AI155" s="28"/>
      <c r="AJ155" s="28"/>
      <c r="AK155" s="28"/>
      <c r="AL155" s="28"/>
      <c r="AM155" s="28"/>
      <c r="AN155" s="10"/>
      <c r="AO155" s="10"/>
      <c r="AP155" s="10"/>
      <c r="AQ155" s="10"/>
      <c r="AR155" s="10"/>
      <c r="AS155" s="10"/>
      <c r="AT155" s="10"/>
      <c r="AU155" s="10"/>
      <c r="AV155" s="10"/>
      <c r="AW155" s="10"/>
      <c r="AX155" s="10"/>
      <c r="AY155" s="10"/>
      <c r="AZ155" s="10"/>
      <c r="BA155" s="10"/>
      <c r="BB155" s="10"/>
      <c r="BC155" s="10"/>
      <c r="BD155" s="10"/>
      <c r="BE155" s="10"/>
      <c r="BF155" s="10"/>
      <c r="BG155" s="10"/>
      <c r="BH155" s="10"/>
      <c r="BI155" s="10"/>
      <c r="BJ155" s="10"/>
      <c r="BK155" s="10"/>
      <c r="BL155" s="10"/>
      <c r="BM155" s="10"/>
      <c r="BN155" s="10"/>
      <c r="BO155" s="10"/>
      <c r="BP155" s="10"/>
      <c r="BQ155" s="10"/>
      <c r="BR155" s="10"/>
      <c r="BS155" s="10"/>
      <c r="BT155" s="10"/>
      <c r="BU155" s="10"/>
      <c r="BV155" s="10"/>
      <c r="BW155" s="10"/>
      <c r="BX155" s="10"/>
      <c r="BY155" s="10"/>
    </row>
    <row r="156" spans="1:77" s="88" customFormat="1" ht="16.5" customHeight="1">
      <c r="A156" s="85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45"/>
      <c r="X156" s="145"/>
      <c r="Y156" s="145"/>
      <c r="Z156" s="145"/>
      <c r="AA156" s="145"/>
      <c r="AB156" s="145"/>
      <c r="AC156" s="145"/>
      <c r="AD156" s="145"/>
      <c r="AE156" s="145"/>
      <c r="AF156" s="145"/>
      <c r="AG156" s="145"/>
      <c r="AH156" s="145"/>
      <c r="AI156" s="28"/>
      <c r="AJ156" s="28"/>
      <c r="AK156" s="28"/>
      <c r="AL156" s="28"/>
      <c r="AM156" s="28"/>
      <c r="AN156" s="10"/>
      <c r="AO156" s="10"/>
      <c r="AP156" s="10"/>
      <c r="AQ156" s="10"/>
      <c r="AR156" s="10"/>
      <c r="AS156" s="10"/>
      <c r="AT156" s="10"/>
      <c r="AU156" s="10"/>
      <c r="AV156" s="10"/>
      <c r="AW156" s="10"/>
      <c r="AX156" s="10"/>
      <c r="AY156" s="10"/>
      <c r="AZ156" s="10"/>
      <c r="BA156" s="10"/>
      <c r="BB156" s="10"/>
      <c r="BC156" s="10"/>
      <c r="BD156" s="10"/>
      <c r="BE156" s="10"/>
      <c r="BF156" s="10"/>
      <c r="BG156" s="10"/>
      <c r="BH156" s="10"/>
      <c r="BI156" s="10"/>
      <c r="BJ156" s="10"/>
      <c r="BK156" s="10"/>
      <c r="BL156" s="10"/>
      <c r="BM156" s="10"/>
      <c r="BN156" s="10"/>
      <c r="BO156" s="10"/>
      <c r="BP156" s="10"/>
      <c r="BQ156" s="10"/>
      <c r="BR156" s="10"/>
      <c r="BS156" s="10"/>
      <c r="BT156" s="10"/>
      <c r="BU156" s="10"/>
      <c r="BV156" s="10"/>
      <c r="BW156" s="10"/>
      <c r="BX156" s="10"/>
      <c r="BY156" s="10"/>
    </row>
    <row r="157" spans="1:77" ht="17.25" customHeight="1"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405" t="s">
        <v>38</v>
      </c>
      <c r="AA157" s="405"/>
      <c r="AB157" s="405"/>
      <c r="AC157" s="405"/>
      <c r="AD157" s="405"/>
      <c r="AE157" s="405"/>
      <c r="AF157" s="405"/>
      <c r="AG157" s="405"/>
      <c r="AH157" s="405"/>
      <c r="AI157" s="407" t="str">
        <f>$AI$56</f>
        <v xml:space="preserve"> /69 </v>
      </c>
      <c r="AJ157" s="407"/>
      <c r="AK157" s="407"/>
      <c r="AL157" s="407"/>
      <c r="AM157" s="407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</row>
    <row r="158" spans="1:77" ht="17.25" customHeight="1"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405" t="s">
        <v>42</v>
      </c>
      <c r="AB158" s="405"/>
      <c r="AC158" s="405"/>
      <c r="AD158" s="405"/>
      <c r="AE158" s="405"/>
      <c r="AF158" s="405"/>
      <c r="AG158" s="405"/>
      <c r="AH158" s="405"/>
      <c r="AI158" s="407" t="s">
        <v>443</v>
      </c>
      <c r="AJ158" s="407"/>
      <c r="AK158" s="407"/>
      <c r="AL158" s="407"/>
      <c r="AM158" s="407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</row>
    <row r="159" spans="1:77" s="88" customFormat="1" ht="16.5" customHeight="1">
      <c r="A159" s="85"/>
      <c r="B159" s="86" t="s">
        <v>89</v>
      </c>
      <c r="C159" s="85"/>
      <c r="D159" s="85"/>
      <c r="E159" s="85"/>
      <c r="F159" s="85"/>
      <c r="G159" s="85"/>
      <c r="H159" s="85"/>
      <c r="I159" s="85"/>
      <c r="J159" s="85"/>
      <c r="K159" s="87" t="s">
        <v>29</v>
      </c>
      <c r="L159" s="85"/>
      <c r="M159" s="85"/>
      <c r="N159" s="85"/>
      <c r="O159" s="85"/>
      <c r="P159" s="85"/>
      <c r="Q159" s="85"/>
      <c r="R159" s="85"/>
      <c r="S159" s="85"/>
      <c r="T159" s="85"/>
      <c r="U159" s="85"/>
      <c r="V159" s="85"/>
      <c r="W159" s="85"/>
      <c r="X159" s="85"/>
      <c r="Y159" s="85"/>
      <c r="Z159" s="85"/>
      <c r="AA159" s="85"/>
      <c r="AB159" s="85"/>
      <c r="AC159" s="85"/>
      <c r="AD159" s="85"/>
      <c r="AE159" s="85"/>
      <c r="AF159" s="85"/>
      <c r="AG159" s="85"/>
      <c r="AH159" s="85"/>
      <c r="AI159" s="85"/>
      <c r="AJ159" s="85"/>
      <c r="AK159" s="85"/>
      <c r="AL159" s="85"/>
      <c r="AM159" s="85"/>
    </row>
    <row r="160" spans="1:77" s="88" customFormat="1" ht="16.5" customHeight="1">
      <c r="A160" s="85"/>
      <c r="B160" s="20" t="s">
        <v>378</v>
      </c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 t="str">
        <f>IF(Page1!$AE$13="","",Page1!$AE$13)</f>
        <v/>
      </c>
      <c r="P160" s="10"/>
      <c r="Q160" s="10"/>
      <c r="R160" s="10"/>
      <c r="S160" s="10"/>
      <c r="T160" s="10"/>
      <c r="U160" s="10"/>
      <c r="V160" s="10"/>
      <c r="W160" s="10"/>
      <c r="X160" s="23"/>
      <c r="Y160" s="23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0"/>
      <c r="AM160" s="10"/>
    </row>
    <row r="161" spans="1:77" s="88" customFormat="1" ht="16.5" customHeight="1">
      <c r="A161" s="85"/>
      <c r="B161" s="34" t="s">
        <v>377</v>
      </c>
      <c r="C161" s="10"/>
      <c r="D161" s="10"/>
      <c r="E161" s="10"/>
      <c r="F161" s="10"/>
      <c r="G161" s="10"/>
      <c r="H161" s="10"/>
      <c r="I161" s="10" t="str">
        <f>IF(Page1!$AL$16="","",Page1!$AL$16)&amp;" cm."</f>
        <v xml:space="preserve"> cm.</v>
      </c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23"/>
      <c r="Y161" s="23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0"/>
      <c r="AM161" s="10"/>
    </row>
    <row r="162" spans="1:77" s="88" customFormat="1" ht="16.5" customHeight="1" thickBot="1">
      <c r="A162" s="85"/>
      <c r="B162" s="11" t="s">
        <v>31</v>
      </c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23"/>
      <c r="W162" s="23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"/>
      <c r="AM162" s="1"/>
    </row>
    <row r="163" spans="1:77" s="88" customFormat="1" ht="16.5" customHeight="1" thickBot="1">
      <c r="A163" s="85"/>
      <c r="B163" s="395" t="e">
        <f>VLOOKUP(Page1!AJ14,STD!P:S,4,0)&amp;IF(Page1!AJ14="Channel: 001",", Function: "&amp;STD!R6,", S/N: "&amp;Page1!AI15&amp;", Sensor: "&amp;IF(Page1!AJ14="1586-2586(026) PRT","PRT, S/N: "&amp;STD!T7,VLOOKUP(Page1!AE13,STD!P:S,2,0)))</f>
        <v>#N/A</v>
      </c>
      <c r="C163" s="396"/>
      <c r="D163" s="396"/>
      <c r="E163" s="396"/>
      <c r="F163" s="396"/>
      <c r="G163" s="396"/>
      <c r="H163" s="396"/>
      <c r="I163" s="396"/>
      <c r="J163" s="396"/>
      <c r="K163" s="396"/>
      <c r="L163" s="396"/>
      <c r="M163" s="396"/>
      <c r="N163" s="396"/>
      <c r="O163" s="396"/>
      <c r="P163" s="396"/>
      <c r="Q163" s="396"/>
      <c r="R163" s="396"/>
      <c r="S163" s="396"/>
      <c r="T163" s="396"/>
      <c r="U163" s="396"/>
      <c r="V163" s="396"/>
      <c r="W163" s="396"/>
      <c r="X163" s="396"/>
      <c r="Y163" s="396"/>
      <c r="Z163" s="396"/>
      <c r="AA163" s="396"/>
      <c r="AB163" s="396"/>
      <c r="AC163" s="396"/>
      <c r="AD163" s="396"/>
      <c r="AE163" s="396"/>
      <c r="AF163" s="396"/>
      <c r="AG163" s="396"/>
      <c r="AH163" s="396"/>
      <c r="AI163" s="396"/>
      <c r="AJ163" s="396"/>
      <c r="AK163" s="396"/>
      <c r="AL163" s="396"/>
      <c r="AM163" s="397"/>
    </row>
    <row r="164" spans="1:77" s="88" customFormat="1" ht="16.5" customHeight="1" thickBot="1">
      <c r="A164" s="85"/>
      <c r="B164" s="398" t="s">
        <v>379</v>
      </c>
      <c r="C164" s="399"/>
      <c r="D164" s="399"/>
      <c r="E164" s="399"/>
      <c r="F164" s="399"/>
      <c r="G164" s="399"/>
      <c r="H164" s="400"/>
      <c r="I164" s="401" t="s">
        <v>380</v>
      </c>
      <c r="J164" s="401"/>
      <c r="K164" s="401"/>
      <c r="L164" s="401"/>
      <c r="M164" s="401"/>
      <c r="N164" s="401"/>
      <c r="O164" s="401"/>
      <c r="P164" s="401"/>
      <c r="Q164" s="401"/>
      <c r="R164" s="401"/>
      <c r="S164" s="401"/>
      <c r="T164" s="401"/>
      <c r="U164" s="401"/>
      <c r="V164" s="401"/>
      <c r="W164" s="401"/>
      <c r="X164" s="401"/>
      <c r="Y164" s="401"/>
      <c r="Z164" s="401"/>
      <c r="AA164" s="401"/>
      <c r="AB164" s="401"/>
      <c r="AC164" s="401"/>
      <c r="AD164" s="398" t="s">
        <v>381</v>
      </c>
      <c r="AE164" s="399"/>
      <c r="AF164" s="399"/>
      <c r="AG164" s="399"/>
      <c r="AH164" s="400"/>
      <c r="AI164" s="398" t="s">
        <v>32</v>
      </c>
      <c r="AJ164" s="399"/>
      <c r="AK164" s="399"/>
      <c r="AL164" s="399"/>
      <c r="AM164" s="400"/>
    </row>
    <row r="165" spans="1:77" s="88" customFormat="1" ht="16.5" customHeight="1" thickBot="1">
      <c r="A165" s="85"/>
      <c r="B165" s="425" t="s">
        <v>382</v>
      </c>
      <c r="C165" s="426"/>
      <c r="D165" s="426"/>
      <c r="E165" s="426"/>
      <c r="F165" s="426"/>
      <c r="G165" s="426"/>
      <c r="H165" s="427"/>
      <c r="I165" s="428" t="s">
        <v>383</v>
      </c>
      <c r="J165" s="428"/>
      <c r="K165" s="428"/>
      <c r="L165" s="428"/>
      <c r="M165" s="428"/>
      <c r="N165" s="428"/>
      <c r="O165" s="428"/>
      <c r="P165" s="428" t="s">
        <v>384</v>
      </c>
      <c r="Q165" s="428"/>
      <c r="R165" s="428"/>
      <c r="S165" s="428"/>
      <c r="T165" s="428"/>
      <c r="U165" s="428"/>
      <c r="V165" s="428"/>
      <c r="W165" s="428" t="s">
        <v>79</v>
      </c>
      <c r="X165" s="428"/>
      <c r="Y165" s="428"/>
      <c r="Z165" s="428"/>
      <c r="AA165" s="428"/>
      <c r="AB165" s="428"/>
      <c r="AC165" s="428"/>
      <c r="AD165" s="408" t="s">
        <v>523</v>
      </c>
      <c r="AE165" s="409"/>
      <c r="AF165" s="409"/>
      <c r="AG165" s="409"/>
      <c r="AH165" s="410"/>
      <c r="AI165" s="408" t="s">
        <v>524</v>
      </c>
      <c r="AJ165" s="409"/>
      <c r="AK165" s="409"/>
      <c r="AL165" s="409"/>
      <c r="AM165" s="410"/>
    </row>
    <row r="166" spans="1:77" s="88" customFormat="1" ht="16.5" customHeight="1">
      <c r="A166" s="85"/>
      <c r="B166" s="393" t="str">
        <f>'Cal 1'!$F$21</f>
        <v/>
      </c>
      <c r="C166" s="393"/>
      <c r="D166" s="393"/>
      <c r="E166" s="393"/>
      <c r="F166" s="393"/>
      <c r="G166" s="393"/>
      <c r="H166" s="393"/>
      <c r="I166" s="389" t="str">
        <f>'Cal Ref'!$J$34</f>
        <v>P1</v>
      </c>
      <c r="J166" s="389"/>
      <c r="K166" s="389"/>
      <c r="L166" s="389"/>
      <c r="M166" s="389"/>
      <c r="N166" s="389"/>
      <c r="O166" s="389"/>
      <c r="P166" s="436" t="s">
        <v>444</v>
      </c>
      <c r="Q166" s="436"/>
      <c r="R166" s="436"/>
      <c r="S166" s="436"/>
      <c r="T166" s="436"/>
      <c r="U166" s="436"/>
      <c r="V166" s="436"/>
      <c r="W166" s="394" t="str">
        <f>'Cal 1'!$J$21</f>
        <v/>
      </c>
      <c r="X166" s="394"/>
      <c r="Y166" s="394"/>
      <c r="Z166" s="394"/>
      <c r="AA166" s="394"/>
      <c r="AB166" s="394"/>
      <c r="AC166" s="394"/>
      <c r="AD166" s="393" t="e">
        <f>B166-W166</f>
        <v>#VALUE!</v>
      </c>
      <c r="AE166" s="393"/>
      <c r="AF166" s="393"/>
      <c r="AG166" s="393"/>
      <c r="AH166" s="393"/>
      <c r="AI166" s="393" t="str">
        <f>'Cal 1'!$J$25</f>
        <v>-</v>
      </c>
      <c r="AJ166" s="393"/>
      <c r="AK166" s="393"/>
      <c r="AL166" s="393"/>
      <c r="AM166" s="393"/>
      <c r="AN166" s="10"/>
      <c r="AO166" s="10"/>
      <c r="AP166" s="10"/>
      <c r="AQ166" s="10"/>
      <c r="AR166" s="10"/>
      <c r="AS166" s="10"/>
      <c r="AT166" s="10"/>
      <c r="AU166" s="10"/>
      <c r="AV166" s="10"/>
      <c r="AW166" s="10"/>
      <c r="AX166" s="10"/>
      <c r="AY166" s="10"/>
      <c r="AZ166" s="10"/>
      <c r="BA166" s="10"/>
      <c r="BB166" s="10"/>
      <c r="BC166" s="10"/>
      <c r="BD166" s="10"/>
      <c r="BE166" s="10"/>
      <c r="BF166" s="10"/>
      <c r="BG166" s="10"/>
      <c r="BH166" s="10"/>
      <c r="BI166" s="10"/>
      <c r="BJ166" s="10"/>
      <c r="BK166" s="10"/>
      <c r="BL166" s="10"/>
      <c r="BM166" s="10"/>
      <c r="BN166" s="10"/>
      <c r="BO166" s="10"/>
      <c r="BP166" s="10"/>
      <c r="BQ166" s="10"/>
      <c r="BR166" s="10"/>
      <c r="BS166" s="10"/>
      <c r="BT166" s="10"/>
      <c r="BU166" s="10"/>
      <c r="BV166" s="10"/>
      <c r="BW166" s="10"/>
      <c r="BX166" s="10"/>
      <c r="BY166" s="10"/>
    </row>
    <row r="167" spans="1:77" s="88" customFormat="1" ht="16.5" customHeight="1">
      <c r="A167" s="85"/>
      <c r="B167" s="434" t="str">
        <f>'Cal 1'!$F$21</f>
        <v/>
      </c>
      <c r="C167" s="434"/>
      <c r="D167" s="434"/>
      <c r="E167" s="434"/>
      <c r="F167" s="434"/>
      <c r="G167" s="434"/>
      <c r="H167" s="434"/>
      <c r="I167" s="435" t="str">
        <f>'Cal Ref'!$N$34</f>
        <v>P2</v>
      </c>
      <c r="J167" s="435"/>
      <c r="K167" s="435"/>
      <c r="L167" s="435"/>
      <c r="M167" s="435"/>
      <c r="N167" s="435"/>
      <c r="O167" s="435"/>
      <c r="P167" s="389" t="s">
        <v>445</v>
      </c>
      <c r="Q167" s="389"/>
      <c r="R167" s="389"/>
      <c r="S167" s="389"/>
      <c r="T167" s="389"/>
      <c r="U167" s="389"/>
      <c r="V167" s="389"/>
      <c r="W167" s="390" t="str">
        <f>'Cal 1'!$N$21</f>
        <v/>
      </c>
      <c r="X167" s="391"/>
      <c r="Y167" s="391"/>
      <c r="Z167" s="391"/>
      <c r="AA167" s="391"/>
      <c r="AB167" s="391"/>
      <c r="AC167" s="392"/>
      <c r="AD167" s="434" t="e">
        <f>B167-W167</f>
        <v>#VALUE!</v>
      </c>
      <c r="AE167" s="434"/>
      <c r="AF167" s="434"/>
      <c r="AG167" s="434"/>
      <c r="AH167" s="434"/>
      <c r="AI167" s="434" t="str">
        <f>'Cal 1'!$N$25</f>
        <v>-</v>
      </c>
      <c r="AJ167" s="434"/>
      <c r="AK167" s="434"/>
      <c r="AL167" s="434"/>
      <c r="AM167" s="434"/>
      <c r="AN167" s="10"/>
      <c r="AO167" s="10"/>
      <c r="AP167" s="10"/>
      <c r="AQ167" s="10"/>
      <c r="AR167" s="10"/>
      <c r="AS167" s="10"/>
      <c r="AT167" s="10"/>
      <c r="AU167" s="10"/>
      <c r="AV167" s="10"/>
      <c r="AW167" s="10"/>
      <c r="AX167" s="10"/>
      <c r="AY167" s="10"/>
      <c r="AZ167" s="10"/>
      <c r="BA167" s="10"/>
      <c r="BB167" s="10"/>
      <c r="BC167" s="10"/>
      <c r="BD167" s="10"/>
      <c r="BE167" s="10"/>
      <c r="BF167" s="10"/>
      <c r="BG167" s="10"/>
      <c r="BH167" s="10"/>
      <c r="BI167" s="10"/>
      <c r="BJ167" s="10"/>
      <c r="BK167" s="10"/>
      <c r="BL167" s="10"/>
      <c r="BM167" s="10"/>
      <c r="BN167" s="10"/>
      <c r="BO167" s="10"/>
      <c r="BP167" s="10"/>
      <c r="BQ167" s="10"/>
      <c r="BR167" s="10"/>
      <c r="BS167" s="10"/>
      <c r="BT167" s="10"/>
      <c r="BU167" s="10"/>
      <c r="BV167" s="10"/>
      <c r="BW167" s="10"/>
      <c r="BX167" s="10"/>
      <c r="BY167" s="10"/>
    </row>
    <row r="168" spans="1:77" s="88" customFormat="1" ht="16.5" customHeight="1">
      <c r="A168" s="85"/>
      <c r="B168" s="434" t="str">
        <f>'Cal 1'!$F$21</f>
        <v/>
      </c>
      <c r="C168" s="434"/>
      <c r="D168" s="434"/>
      <c r="E168" s="434"/>
      <c r="F168" s="434"/>
      <c r="G168" s="434"/>
      <c r="H168" s="434"/>
      <c r="I168" s="435" t="str">
        <f>'Cal Ref'!$R$34</f>
        <v>P3</v>
      </c>
      <c r="J168" s="435"/>
      <c r="K168" s="435"/>
      <c r="L168" s="435"/>
      <c r="M168" s="435"/>
      <c r="N168" s="435"/>
      <c r="O168" s="435"/>
      <c r="P168" s="389" t="s">
        <v>446</v>
      </c>
      <c r="Q168" s="389"/>
      <c r="R168" s="389"/>
      <c r="S168" s="389"/>
      <c r="T168" s="389"/>
      <c r="U168" s="389"/>
      <c r="V168" s="389"/>
      <c r="W168" s="390" t="str">
        <f>'Cal 1'!$R$21</f>
        <v/>
      </c>
      <c r="X168" s="391"/>
      <c r="Y168" s="391"/>
      <c r="Z168" s="391"/>
      <c r="AA168" s="391"/>
      <c r="AB168" s="391"/>
      <c r="AC168" s="392"/>
      <c r="AD168" s="434" t="e">
        <f t="shared" ref="AD168:AD174" si="5">B168-W168</f>
        <v>#VALUE!</v>
      </c>
      <c r="AE168" s="434"/>
      <c r="AF168" s="434"/>
      <c r="AG168" s="434"/>
      <c r="AH168" s="434"/>
      <c r="AI168" s="434" t="str">
        <f>'Cal 1'!$R$25</f>
        <v>-</v>
      </c>
      <c r="AJ168" s="434"/>
      <c r="AK168" s="434"/>
      <c r="AL168" s="434"/>
      <c r="AM168" s="434"/>
      <c r="AN168" s="10"/>
      <c r="AO168" s="10"/>
      <c r="AP168" s="10"/>
      <c r="AQ168" s="10"/>
      <c r="AR168" s="10"/>
      <c r="AS168" s="10"/>
      <c r="AT168" s="10"/>
      <c r="AU168" s="10"/>
      <c r="AV168" s="10"/>
      <c r="AW168" s="10"/>
      <c r="AX168" s="10"/>
      <c r="AY168" s="10"/>
      <c r="AZ168" s="10"/>
      <c r="BA168" s="10"/>
      <c r="BB168" s="10"/>
      <c r="BC168" s="10"/>
      <c r="BD168" s="10"/>
      <c r="BE168" s="10"/>
      <c r="BF168" s="10"/>
      <c r="BG168" s="10"/>
      <c r="BH168" s="10"/>
      <c r="BI168" s="10"/>
      <c r="BJ168" s="10"/>
      <c r="BK168" s="10"/>
      <c r="BL168" s="10"/>
      <c r="BM168" s="10"/>
      <c r="BN168" s="10"/>
      <c r="BO168" s="10"/>
      <c r="BP168" s="10"/>
      <c r="BQ168" s="10"/>
      <c r="BR168" s="10"/>
      <c r="BS168" s="10"/>
      <c r="BT168" s="10"/>
      <c r="BU168" s="10"/>
      <c r="BV168" s="10"/>
      <c r="BW168" s="10"/>
      <c r="BX168" s="10"/>
      <c r="BY168" s="10"/>
    </row>
    <row r="169" spans="1:77" s="88" customFormat="1" ht="16.5" customHeight="1">
      <c r="A169" s="85"/>
      <c r="B169" s="434" t="str">
        <f>'Cal 1'!$F$21</f>
        <v/>
      </c>
      <c r="C169" s="434"/>
      <c r="D169" s="434"/>
      <c r="E169" s="434"/>
      <c r="F169" s="434"/>
      <c r="G169" s="434"/>
      <c r="H169" s="434"/>
      <c r="I169" s="435" t="str">
        <f>'Cal Ref'!$V$34</f>
        <v>P4</v>
      </c>
      <c r="J169" s="435"/>
      <c r="K169" s="435"/>
      <c r="L169" s="435"/>
      <c r="M169" s="435"/>
      <c r="N169" s="435"/>
      <c r="O169" s="435"/>
      <c r="P169" s="389" t="s">
        <v>447</v>
      </c>
      <c r="Q169" s="389"/>
      <c r="R169" s="389"/>
      <c r="S169" s="389"/>
      <c r="T169" s="389"/>
      <c r="U169" s="389"/>
      <c r="V169" s="389"/>
      <c r="W169" s="390" t="str">
        <f>'Cal 1'!$V$21</f>
        <v/>
      </c>
      <c r="X169" s="391"/>
      <c r="Y169" s="391"/>
      <c r="Z169" s="391"/>
      <c r="AA169" s="391"/>
      <c r="AB169" s="391"/>
      <c r="AC169" s="392"/>
      <c r="AD169" s="434" t="e">
        <f t="shared" si="5"/>
        <v>#VALUE!</v>
      </c>
      <c r="AE169" s="434"/>
      <c r="AF169" s="434"/>
      <c r="AG169" s="434"/>
      <c r="AH169" s="434"/>
      <c r="AI169" s="434" t="str">
        <f>'Cal 1'!$V$25</f>
        <v>-</v>
      </c>
      <c r="AJ169" s="434"/>
      <c r="AK169" s="434"/>
      <c r="AL169" s="434"/>
      <c r="AM169" s="434"/>
      <c r="AN169" s="10"/>
      <c r="AO169" s="10"/>
      <c r="AP169" s="10"/>
      <c r="AQ169" s="10"/>
      <c r="AR169" s="10"/>
      <c r="AS169" s="10"/>
      <c r="AT169" s="10"/>
      <c r="AU169" s="10"/>
      <c r="AV169" s="10"/>
      <c r="AW169" s="10"/>
      <c r="AX169" s="10"/>
      <c r="AY169" s="10"/>
      <c r="AZ169" s="10"/>
      <c r="BA169" s="10"/>
      <c r="BB169" s="10"/>
      <c r="BC169" s="10"/>
      <c r="BD169" s="10"/>
      <c r="BE169" s="10"/>
      <c r="BF169" s="10"/>
      <c r="BG169" s="10"/>
      <c r="BH169" s="10"/>
      <c r="BI169" s="10"/>
      <c r="BJ169" s="10"/>
      <c r="BK169" s="10"/>
      <c r="BL169" s="10"/>
      <c r="BM169" s="10"/>
      <c r="BN169" s="10"/>
      <c r="BO169" s="10"/>
      <c r="BP169" s="10"/>
      <c r="BQ169" s="10"/>
      <c r="BR169" s="10"/>
      <c r="BS169" s="10"/>
      <c r="BT169" s="10"/>
      <c r="BU169" s="10"/>
      <c r="BV169" s="10"/>
      <c r="BW169" s="10"/>
      <c r="BX169" s="10"/>
      <c r="BY169" s="10"/>
    </row>
    <row r="170" spans="1:77" s="88" customFormat="1" ht="16.5" customHeight="1">
      <c r="A170" s="85"/>
      <c r="B170" s="434" t="str">
        <f>'Cal 1'!$F$21</f>
        <v/>
      </c>
      <c r="C170" s="434"/>
      <c r="D170" s="434"/>
      <c r="E170" s="434"/>
      <c r="F170" s="434"/>
      <c r="G170" s="434"/>
      <c r="H170" s="434"/>
      <c r="I170" s="435" t="str">
        <f>'Cal Ref'!$Z$34</f>
        <v>P5</v>
      </c>
      <c r="J170" s="435"/>
      <c r="K170" s="435"/>
      <c r="L170" s="435"/>
      <c r="M170" s="435"/>
      <c r="N170" s="435"/>
      <c r="O170" s="435"/>
      <c r="P170" s="389" t="s">
        <v>448</v>
      </c>
      <c r="Q170" s="389"/>
      <c r="R170" s="389"/>
      <c r="S170" s="389"/>
      <c r="T170" s="389"/>
      <c r="U170" s="389"/>
      <c r="V170" s="389"/>
      <c r="W170" s="390" t="str">
        <f>'Cal 1'!$Z$21</f>
        <v/>
      </c>
      <c r="X170" s="391"/>
      <c r="Y170" s="391"/>
      <c r="Z170" s="391"/>
      <c r="AA170" s="391"/>
      <c r="AB170" s="391"/>
      <c r="AC170" s="392"/>
      <c r="AD170" s="434" t="e">
        <f t="shared" si="5"/>
        <v>#VALUE!</v>
      </c>
      <c r="AE170" s="434"/>
      <c r="AF170" s="434"/>
      <c r="AG170" s="434"/>
      <c r="AH170" s="434"/>
      <c r="AI170" s="434" t="str">
        <f>'Cal 1'!$Z$25</f>
        <v>-</v>
      </c>
      <c r="AJ170" s="434"/>
      <c r="AK170" s="434"/>
      <c r="AL170" s="434"/>
      <c r="AM170" s="434"/>
      <c r="AN170" s="10"/>
      <c r="AO170" s="10"/>
      <c r="AP170" s="10"/>
      <c r="AQ170" s="10"/>
      <c r="AR170" s="10"/>
      <c r="AS170" s="10"/>
      <c r="AT170" s="10"/>
      <c r="AU170" s="10"/>
      <c r="AV170" s="10"/>
      <c r="AW170" s="10"/>
      <c r="AX170" s="10"/>
      <c r="AY170" s="10"/>
      <c r="AZ170" s="10"/>
      <c r="BA170" s="10"/>
      <c r="BB170" s="10"/>
      <c r="BC170" s="10"/>
      <c r="BD170" s="10"/>
      <c r="BE170" s="10"/>
      <c r="BF170" s="10"/>
      <c r="BG170" s="10"/>
      <c r="BH170" s="10"/>
      <c r="BI170" s="10"/>
      <c r="BJ170" s="10"/>
      <c r="BK170" s="10"/>
      <c r="BL170" s="10"/>
      <c r="BM170" s="10"/>
      <c r="BN170" s="10"/>
      <c r="BO170" s="10"/>
      <c r="BP170" s="10"/>
      <c r="BQ170" s="10"/>
      <c r="BR170" s="10"/>
      <c r="BS170" s="10"/>
      <c r="BT170" s="10"/>
      <c r="BU170" s="10"/>
      <c r="BV170" s="10"/>
      <c r="BW170" s="10"/>
      <c r="BX170" s="10"/>
      <c r="BY170" s="10"/>
    </row>
    <row r="171" spans="1:77" s="88" customFormat="1" ht="16.5" customHeight="1">
      <c r="A171" s="85"/>
      <c r="B171" s="434" t="str">
        <f>'Cal 1'!$F$21</f>
        <v/>
      </c>
      <c r="C171" s="434"/>
      <c r="D171" s="434"/>
      <c r="E171" s="434"/>
      <c r="F171" s="434"/>
      <c r="G171" s="434"/>
      <c r="H171" s="434"/>
      <c r="I171" s="435" t="str">
        <f>'Cal Ref'!$AD$34</f>
        <v>P6</v>
      </c>
      <c r="J171" s="435"/>
      <c r="K171" s="435"/>
      <c r="L171" s="435"/>
      <c r="M171" s="435"/>
      <c r="N171" s="435"/>
      <c r="O171" s="435"/>
      <c r="P171" s="389" t="s">
        <v>449</v>
      </c>
      <c r="Q171" s="389"/>
      <c r="R171" s="389"/>
      <c r="S171" s="389"/>
      <c r="T171" s="389"/>
      <c r="U171" s="389"/>
      <c r="V171" s="389"/>
      <c r="W171" s="390" t="str">
        <f>'Cal 1'!$AD$21</f>
        <v/>
      </c>
      <c r="X171" s="391"/>
      <c r="Y171" s="391"/>
      <c r="Z171" s="391"/>
      <c r="AA171" s="391"/>
      <c r="AB171" s="391"/>
      <c r="AC171" s="392"/>
      <c r="AD171" s="434" t="e">
        <f t="shared" si="5"/>
        <v>#VALUE!</v>
      </c>
      <c r="AE171" s="434"/>
      <c r="AF171" s="434"/>
      <c r="AG171" s="434"/>
      <c r="AH171" s="434"/>
      <c r="AI171" s="434" t="str">
        <f>'Cal 1'!$AD$25</f>
        <v>-</v>
      </c>
      <c r="AJ171" s="434"/>
      <c r="AK171" s="434"/>
      <c r="AL171" s="434"/>
      <c r="AM171" s="434"/>
      <c r="AN171" s="10"/>
      <c r="AO171" s="10"/>
      <c r="AP171" s="10"/>
      <c r="AQ171" s="10"/>
      <c r="AR171" s="10"/>
      <c r="AS171" s="10"/>
      <c r="AT171" s="10"/>
      <c r="AU171" s="10"/>
      <c r="AV171" s="10"/>
      <c r="AW171" s="10"/>
      <c r="AX171" s="10"/>
      <c r="AY171" s="10"/>
      <c r="AZ171" s="10"/>
      <c r="BA171" s="10"/>
      <c r="BB171" s="10"/>
      <c r="BC171" s="10"/>
      <c r="BD171" s="10"/>
      <c r="BE171" s="10"/>
      <c r="BF171" s="10"/>
      <c r="BG171" s="10"/>
      <c r="BH171" s="10"/>
      <c r="BI171" s="10"/>
      <c r="BJ171" s="10"/>
      <c r="BK171" s="10"/>
      <c r="BL171" s="10"/>
      <c r="BM171" s="10"/>
      <c r="BN171" s="10"/>
      <c r="BO171" s="10"/>
      <c r="BP171" s="10"/>
      <c r="BQ171" s="10"/>
      <c r="BR171" s="10"/>
      <c r="BS171" s="10"/>
      <c r="BT171" s="10"/>
      <c r="BU171" s="10"/>
      <c r="BV171" s="10"/>
      <c r="BW171" s="10"/>
      <c r="BX171" s="10"/>
      <c r="BY171" s="10"/>
    </row>
    <row r="172" spans="1:77" s="88" customFormat="1" ht="16.5" customHeight="1">
      <c r="A172" s="85"/>
      <c r="B172" s="434" t="str">
        <f>'Cal 1'!$F$21</f>
        <v/>
      </c>
      <c r="C172" s="434"/>
      <c r="D172" s="434"/>
      <c r="E172" s="434"/>
      <c r="F172" s="434"/>
      <c r="G172" s="434"/>
      <c r="H172" s="434"/>
      <c r="I172" s="435" t="str">
        <f>'Cal Ref'!$AH$34</f>
        <v>P7</v>
      </c>
      <c r="J172" s="435"/>
      <c r="K172" s="435"/>
      <c r="L172" s="435"/>
      <c r="M172" s="435"/>
      <c r="N172" s="435"/>
      <c r="O172" s="435"/>
      <c r="P172" s="389" t="s">
        <v>450</v>
      </c>
      <c r="Q172" s="389"/>
      <c r="R172" s="389"/>
      <c r="S172" s="389"/>
      <c r="T172" s="389"/>
      <c r="U172" s="389"/>
      <c r="V172" s="389"/>
      <c r="W172" s="390" t="str">
        <f>'Cal 1'!$AH$21</f>
        <v/>
      </c>
      <c r="X172" s="391"/>
      <c r="Y172" s="391"/>
      <c r="Z172" s="391"/>
      <c r="AA172" s="391"/>
      <c r="AB172" s="391"/>
      <c r="AC172" s="392"/>
      <c r="AD172" s="434" t="e">
        <f t="shared" si="5"/>
        <v>#VALUE!</v>
      </c>
      <c r="AE172" s="434"/>
      <c r="AF172" s="434"/>
      <c r="AG172" s="434"/>
      <c r="AH172" s="434"/>
      <c r="AI172" s="434" t="str">
        <f>'Cal 1'!$AH$25</f>
        <v>-</v>
      </c>
      <c r="AJ172" s="434"/>
      <c r="AK172" s="434"/>
      <c r="AL172" s="434"/>
      <c r="AM172" s="434"/>
      <c r="AN172" s="10"/>
      <c r="AO172" s="10"/>
      <c r="AP172" s="10"/>
      <c r="AQ172" s="10"/>
      <c r="AR172" s="10"/>
      <c r="AS172" s="10"/>
      <c r="AT172" s="10"/>
      <c r="AU172" s="10"/>
      <c r="AV172" s="10"/>
      <c r="AW172" s="10"/>
      <c r="AX172" s="10"/>
      <c r="AY172" s="10"/>
      <c r="AZ172" s="10"/>
      <c r="BA172" s="10"/>
      <c r="BB172" s="10"/>
      <c r="BC172" s="10"/>
      <c r="BD172" s="10"/>
      <c r="BE172" s="10"/>
      <c r="BF172" s="10"/>
      <c r="BG172" s="10"/>
      <c r="BH172" s="10"/>
      <c r="BI172" s="10"/>
      <c r="BJ172" s="10"/>
      <c r="BK172" s="10"/>
      <c r="BL172" s="10"/>
      <c r="BM172" s="10"/>
      <c r="BN172" s="10"/>
      <c r="BO172" s="10"/>
      <c r="BP172" s="10"/>
      <c r="BQ172" s="10"/>
      <c r="BR172" s="10"/>
      <c r="BS172" s="10"/>
      <c r="BT172" s="10"/>
      <c r="BU172" s="10"/>
      <c r="BV172" s="10"/>
      <c r="BW172" s="10"/>
      <c r="BX172" s="10"/>
      <c r="BY172" s="10"/>
    </row>
    <row r="173" spans="1:77" s="88" customFormat="1" ht="16.5" customHeight="1">
      <c r="A173" s="85"/>
      <c r="B173" s="434" t="str">
        <f>'Cal 1'!$F$21</f>
        <v/>
      </c>
      <c r="C173" s="434"/>
      <c r="D173" s="434"/>
      <c r="E173" s="434"/>
      <c r="F173" s="434"/>
      <c r="G173" s="434"/>
      <c r="H173" s="434"/>
      <c r="I173" s="435" t="str">
        <f>'Cal Ref'!$AL$34</f>
        <v>P8</v>
      </c>
      <c r="J173" s="435"/>
      <c r="K173" s="435"/>
      <c r="L173" s="435"/>
      <c r="M173" s="435"/>
      <c r="N173" s="435"/>
      <c r="O173" s="435"/>
      <c r="P173" s="389" t="s">
        <v>451</v>
      </c>
      <c r="Q173" s="389"/>
      <c r="R173" s="389"/>
      <c r="S173" s="389"/>
      <c r="T173" s="389"/>
      <c r="U173" s="389"/>
      <c r="V173" s="389"/>
      <c r="W173" s="390" t="str">
        <f>'Cal 1'!$AL$21</f>
        <v/>
      </c>
      <c r="X173" s="391"/>
      <c r="Y173" s="391"/>
      <c r="Z173" s="391"/>
      <c r="AA173" s="391"/>
      <c r="AB173" s="391"/>
      <c r="AC173" s="392"/>
      <c r="AD173" s="434" t="e">
        <f t="shared" si="5"/>
        <v>#VALUE!</v>
      </c>
      <c r="AE173" s="434"/>
      <c r="AF173" s="434"/>
      <c r="AG173" s="434"/>
      <c r="AH173" s="434"/>
      <c r="AI173" s="434" t="str">
        <f>'Cal 1'!$AL$25</f>
        <v>-</v>
      </c>
      <c r="AJ173" s="434"/>
      <c r="AK173" s="434"/>
      <c r="AL173" s="434"/>
      <c r="AM173" s="434"/>
      <c r="AN173" s="10"/>
      <c r="AO173" s="10"/>
      <c r="AP173" s="10"/>
      <c r="AQ173" s="10"/>
      <c r="AR173" s="10"/>
      <c r="AS173" s="10"/>
      <c r="AT173" s="10"/>
      <c r="AU173" s="10"/>
      <c r="AV173" s="10"/>
      <c r="AW173" s="10"/>
      <c r="AX173" s="10"/>
      <c r="AY173" s="10"/>
      <c r="AZ173" s="10"/>
      <c r="BA173" s="10"/>
      <c r="BB173" s="10"/>
      <c r="BC173" s="10"/>
      <c r="BD173" s="10"/>
      <c r="BE173" s="10"/>
      <c r="BF173" s="10"/>
      <c r="BG173" s="10"/>
      <c r="BH173" s="10"/>
      <c r="BI173" s="10"/>
      <c r="BJ173" s="10"/>
      <c r="BK173" s="10"/>
      <c r="BL173" s="10"/>
      <c r="BM173" s="10"/>
      <c r="BN173" s="10"/>
      <c r="BO173" s="10"/>
      <c r="BP173" s="10"/>
      <c r="BQ173" s="10"/>
      <c r="BR173" s="10"/>
      <c r="BS173" s="10"/>
      <c r="BT173" s="10"/>
      <c r="BU173" s="10"/>
      <c r="BV173" s="10"/>
      <c r="BW173" s="10"/>
      <c r="BX173" s="10"/>
      <c r="BY173" s="10"/>
    </row>
    <row r="174" spans="1:77" s="88" customFormat="1" ht="16.5" customHeight="1">
      <c r="A174" s="85"/>
      <c r="B174" s="434" t="str">
        <f>'Cal 1'!$F$21</f>
        <v/>
      </c>
      <c r="C174" s="434"/>
      <c r="D174" s="434"/>
      <c r="E174" s="434"/>
      <c r="F174" s="434"/>
      <c r="G174" s="434"/>
      <c r="H174" s="434"/>
      <c r="I174" s="435" t="str">
        <f>'Cal Ref'!$AP$34</f>
        <v>P9</v>
      </c>
      <c r="J174" s="435"/>
      <c r="K174" s="435"/>
      <c r="L174" s="435"/>
      <c r="M174" s="435"/>
      <c r="N174" s="435"/>
      <c r="O174" s="435"/>
      <c r="P174" s="389" t="s">
        <v>452</v>
      </c>
      <c r="Q174" s="389"/>
      <c r="R174" s="389"/>
      <c r="S174" s="389"/>
      <c r="T174" s="389"/>
      <c r="U174" s="389"/>
      <c r="V174" s="389"/>
      <c r="W174" s="390" t="str">
        <f>'Cal 1'!$AP$21</f>
        <v/>
      </c>
      <c r="X174" s="391"/>
      <c r="Y174" s="391"/>
      <c r="Z174" s="391"/>
      <c r="AA174" s="391"/>
      <c r="AB174" s="391"/>
      <c r="AC174" s="392"/>
      <c r="AD174" s="434" t="e">
        <f t="shared" si="5"/>
        <v>#VALUE!</v>
      </c>
      <c r="AE174" s="434"/>
      <c r="AF174" s="434"/>
      <c r="AG174" s="434"/>
      <c r="AH174" s="434"/>
      <c r="AI174" s="434" t="str">
        <f>'Cal 1'!$AP$25</f>
        <v>-</v>
      </c>
      <c r="AJ174" s="434"/>
      <c r="AK174" s="434"/>
      <c r="AL174" s="434"/>
      <c r="AM174" s="434"/>
      <c r="AN174" s="10"/>
      <c r="AO174" s="10"/>
      <c r="AP174" s="10"/>
      <c r="AQ174" s="10"/>
      <c r="AR174" s="10"/>
      <c r="AS174" s="10"/>
      <c r="AT174" s="10"/>
      <c r="AU174" s="10"/>
      <c r="AV174" s="10"/>
      <c r="AW174" s="10"/>
      <c r="AX174" s="10"/>
      <c r="AY174" s="10"/>
      <c r="AZ174" s="10"/>
      <c r="BA174" s="10"/>
      <c r="BB174" s="10"/>
      <c r="BC174" s="10"/>
      <c r="BD174" s="10"/>
      <c r="BE174" s="10"/>
      <c r="BF174" s="10"/>
      <c r="BG174" s="10"/>
      <c r="BH174" s="10"/>
      <c r="BI174" s="10"/>
      <c r="BJ174" s="10"/>
      <c r="BK174" s="10"/>
      <c r="BL174" s="10"/>
      <c r="BM174" s="10"/>
      <c r="BN174" s="10"/>
      <c r="BO174" s="10"/>
      <c r="BP174" s="10"/>
      <c r="BQ174" s="10"/>
      <c r="BR174" s="10"/>
      <c r="BS174" s="10"/>
      <c r="BT174" s="10"/>
      <c r="BU174" s="10"/>
      <c r="BV174" s="10"/>
      <c r="BW174" s="10"/>
      <c r="BX174" s="10"/>
      <c r="BY174" s="10"/>
    </row>
    <row r="175" spans="1:77" s="88" customFormat="1" ht="16.5" customHeight="1" thickBot="1">
      <c r="A175" s="85"/>
      <c r="B175" s="415" t="str">
        <f>'Cal 1'!$F$21</f>
        <v/>
      </c>
      <c r="C175" s="415"/>
      <c r="D175" s="415"/>
      <c r="E175" s="415"/>
      <c r="F175" s="415"/>
      <c r="G175" s="415"/>
      <c r="H175" s="415"/>
      <c r="I175" s="413" t="str">
        <f>'Cal Ref'!$AT$34</f>
        <v>P10</v>
      </c>
      <c r="J175" s="413"/>
      <c r="K175" s="413"/>
      <c r="L175" s="413"/>
      <c r="M175" s="413"/>
      <c r="N175" s="413"/>
      <c r="O175" s="413"/>
      <c r="P175" s="430" t="s">
        <v>453</v>
      </c>
      <c r="Q175" s="430"/>
      <c r="R175" s="430"/>
      <c r="S175" s="430"/>
      <c r="T175" s="430"/>
      <c r="U175" s="430"/>
      <c r="V175" s="430"/>
      <c r="W175" s="431" t="str">
        <f>'Cal 1'!$AT$21</f>
        <v/>
      </c>
      <c r="X175" s="432"/>
      <c r="Y175" s="432"/>
      <c r="Z175" s="432"/>
      <c r="AA175" s="432"/>
      <c r="AB175" s="432"/>
      <c r="AC175" s="433"/>
      <c r="AD175" s="415" t="e">
        <f>B175-W175</f>
        <v>#VALUE!</v>
      </c>
      <c r="AE175" s="415"/>
      <c r="AF175" s="415"/>
      <c r="AG175" s="415"/>
      <c r="AH175" s="415"/>
      <c r="AI175" s="415" t="str">
        <f>'Cal 1'!$AT$25</f>
        <v>-</v>
      </c>
      <c r="AJ175" s="415"/>
      <c r="AK175" s="415"/>
      <c r="AL175" s="415"/>
      <c r="AM175" s="415"/>
      <c r="AN175" s="10"/>
      <c r="AO175" s="10"/>
      <c r="AP175" s="10"/>
      <c r="AQ175" s="10"/>
      <c r="AR175" s="10"/>
      <c r="AS175" s="10"/>
      <c r="AT175" s="10"/>
      <c r="AU175" s="10"/>
      <c r="AV175" s="10"/>
      <c r="AW175" s="10"/>
      <c r="AX175" s="10"/>
      <c r="AY175" s="10"/>
      <c r="AZ175" s="10"/>
      <c r="BA175" s="10"/>
      <c r="BB175" s="10"/>
      <c r="BC175" s="10"/>
      <c r="BD175" s="10"/>
      <c r="BE175" s="10"/>
      <c r="BF175" s="10"/>
      <c r="BG175" s="10"/>
      <c r="BH175" s="10"/>
      <c r="BI175" s="10"/>
      <c r="BJ175" s="10"/>
      <c r="BK175" s="10"/>
      <c r="BL175" s="10"/>
      <c r="BM175" s="10"/>
      <c r="BN175" s="10"/>
      <c r="BO175" s="10"/>
      <c r="BP175" s="10"/>
      <c r="BQ175" s="10"/>
      <c r="BR175" s="10"/>
      <c r="BS175" s="10"/>
      <c r="BT175" s="10"/>
      <c r="BU175" s="10"/>
      <c r="BV175" s="10"/>
      <c r="BW175" s="10"/>
      <c r="BX175" s="10"/>
      <c r="BY175" s="10"/>
    </row>
    <row r="176" spans="1:77" s="88" customFormat="1" ht="16.5" customHeight="1" thickBot="1">
      <c r="A176" s="85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45"/>
      <c r="X176" s="145"/>
      <c r="Y176" s="145"/>
      <c r="Z176" s="145"/>
      <c r="AA176" s="145"/>
      <c r="AB176" s="145"/>
      <c r="AC176" s="145"/>
      <c r="AD176" s="145"/>
      <c r="AE176" s="145"/>
      <c r="AF176" s="145"/>
      <c r="AG176" s="145"/>
      <c r="AH176" s="145"/>
      <c r="AI176" s="28"/>
      <c r="AJ176" s="28"/>
      <c r="AK176" s="28"/>
      <c r="AL176" s="28"/>
      <c r="AM176" s="28"/>
      <c r="AN176" s="10"/>
      <c r="AO176" s="10"/>
      <c r="AP176" s="10"/>
      <c r="AQ176" s="10"/>
      <c r="AR176" s="10"/>
      <c r="AS176" s="10"/>
      <c r="AT176" s="10"/>
      <c r="AU176" s="10"/>
      <c r="AV176" s="10"/>
      <c r="AW176" s="10"/>
      <c r="AX176" s="10"/>
      <c r="AY176" s="10"/>
      <c r="AZ176" s="10"/>
      <c r="BA176" s="10"/>
      <c r="BB176" s="10"/>
      <c r="BC176" s="10"/>
      <c r="BD176" s="10"/>
      <c r="BE176" s="10"/>
      <c r="BF176" s="10"/>
      <c r="BG176" s="10"/>
      <c r="BH176" s="10"/>
      <c r="BI176" s="10"/>
      <c r="BJ176" s="10"/>
      <c r="BK176" s="10"/>
      <c r="BL176" s="10"/>
      <c r="BM176" s="10"/>
      <c r="BN176" s="10"/>
      <c r="BO176" s="10"/>
      <c r="BP176" s="10"/>
      <c r="BQ176" s="10"/>
      <c r="BR176" s="10"/>
      <c r="BS176" s="10"/>
      <c r="BT176" s="10"/>
      <c r="BU176" s="10"/>
      <c r="BV176" s="10"/>
      <c r="BW176" s="10"/>
      <c r="BX176" s="10"/>
      <c r="BY176" s="10"/>
    </row>
    <row r="177" spans="1:77" s="88" customFormat="1" ht="16.5" customHeight="1" thickBot="1">
      <c r="A177" s="85"/>
      <c r="B177" s="395" t="e">
        <f>VLOOKUP(Page1!AJ14,STD!P:S,4,0)&amp;IF(Page1!AJ14="Channel: 001",", Function: "&amp;STD!R6,", S/N: "&amp;Page1!AI15&amp;", Sensor: "&amp;IF(Page1!AJ14="1586-2586(026) PRT","PRT, S/N: "&amp;STD!T7,VLOOKUP(Page1!AE13,STD!P:S,2,0)))</f>
        <v>#N/A</v>
      </c>
      <c r="C177" s="396"/>
      <c r="D177" s="396"/>
      <c r="E177" s="396"/>
      <c r="F177" s="396"/>
      <c r="G177" s="396"/>
      <c r="H177" s="396"/>
      <c r="I177" s="396"/>
      <c r="J177" s="396"/>
      <c r="K177" s="396"/>
      <c r="L177" s="396"/>
      <c r="M177" s="396"/>
      <c r="N177" s="396"/>
      <c r="O177" s="396"/>
      <c r="P177" s="396"/>
      <c r="Q177" s="396"/>
      <c r="R177" s="396"/>
      <c r="S177" s="396"/>
      <c r="T177" s="396"/>
      <c r="U177" s="396"/>
      <c r="V177" s="396"/>
      <c r="W177" s="396"/>
      <c r="X177" s="396"/>
      <c r="Y177" s="396"/>
      <c r="Z177" s="396"/>
      <c r="AA177" s="396"/>
      <c r="AB177" s="396"/>
      <c r="AC177" s="396"/>
      <c r="AD177" s="396"/>
      <c r="AE177" s="396"/>
      <c r="AF177" s="396"/>
      <c r="AG177" s="396"/>
      <c r="AH177" s="396"/>
      <c r="AI177" s="396"/>
      <c r="AJ177" s="396"/>
      <c r="AK177" s="396"/>
      <c r="AL177" s="396"/>
      <c r="AM177" s="397"/>
    </row>
    <row r="178" spans="1:77" s="88" customFormat="1" ht="16.5" customHeight="1" thickBot="1">
      <c r="A178" s="85"/>
      <c r="B178" s="398" t="s">
        <v>379</v>
      </c>
      <c r="C178" s="399"/>
      <c r="D178" s="399"/>
      <c r="E178" s="399"/>
      <c r="F178" s="399"/>
      <c r="G178" s="399"/>
      <c r="H178" s="400"/>
      <c r="I178" s="401" t="s">
        <v>380</v>
      </c>
      <c r="J178" s="401"/>
      <c r="K178" s="401"/>
      <c r="L178" s="401"/>
      <c r="M178" s="401"/>
      <c r="N178" s="401"/>
      <c r="O178" s="401"/>
      <c r="P178" s="401"/>
      <c r="Q178" s="401"/>
      <c r="R178" s="401"/>
      <c r="S178" s="401"/>
      <c r="T178" s="401"/>
      <c r="U178" s="401"/>
      <c r="V178" s="401"/>
      <c r="W178" s="401"/>
      <c r="X178" s="401"/>
      <c r="Y178" s="401"/>
      <c r="Z178" s="401"/>
      <c r="AA178" s="401"/>
      <c r="AB178" s="401"/>
      <c r="AC178" s="401"/>
      <c r="AD178" s="398" t="s">
        <v>381</v>
      </c>
      <c r="AE178" s="399"/>
      <c r="AF178" s="399"/>
      <c r="AG178" s="399"/>
      <c r="AH178" s="400"/>
      <c r="AI178" s="398" t="s">
        <v>32</v>
      </c>
      <c r="AJ178" s="399"/>
      <c r="AK178" s="399"/>
      <c r="AL178" s="399"/>
      <c r="AM178" s="400"/>
    </row>
    <row r="179" spans="1:77" s="88" customFormat="1" ht="16.5" customHeight="1" thickBot="1">
      <c r="A179" s="85"/>
      <c r="B179" s="425" t="s">
        <v>382</v>
      </c>
      <c r="C179" s="426"/>
      <c r="D179" s="426"/>
      <c r="E179" s="426"/>
      <c r="F179" s="426"/>
      <c r="G179" s="426"/>
      <c r="H179" s="427"/>
      <c r="I179" s="428" t="s">
        <v>383</v>
      </c>
      <c r="J179" s="428"/>
      <c r="K179" s="428"/>
      <c r="L179" s="428"/>
      <c r="M179" s="428"/>
      <c r="N179" s="428"/>
      <c r="O179" s="428"/>
      <c r="P179" s="428" t="s">
        <v>384</v>
      </c>
      <c r="Q179" s="428"/>
      <c r="R179" s="428"/>
      <c r="S179" s="428"/>
      <c r="T179" s="428"/>
      <c r="U179" s="428"/>
      <c r="V179" s="428"/>
      <c r="W179" s="428" t="s">
        <v>79</v>
      </c>
      <c r="X179" s="428"/>
      <c r="Y179" s="428"/>
      <c r="Z179" s="428"/>
      <c r="AA179" s="428"/>
      <c r="AB179" s="428"/>
      <c r="AC179" s="428"/>
      <c r="AD179" s="408" t="s">
        <v>523</v>
      </c>
      <c r="AE179" s="409"/>
      <c r="AF179" s="409"/>
      <c r="AG179" s="409"/>
      <c r="AH179" s="410"/>
      <c r="AI179" s="408" t="s">
        <v>524</v>
      </c>
      <c r="AJ179" s="409"/>
      <c r="AK179" s="409"/>
      <c r="AL179" s="409"/>
      <c r="AM179" s="410"/>
    </row>
    <row r="180" spans="1:77" s="88" customFormat="1" ht="16.5" customHeight="1">
      <c r="A180" s="85"/>
      <c r="B180" s="393" t="str">
        <f>'Cal 1'!$F$21</f>
        <v/>
      </c>
      <c r="C180" s="393"/>
      <c r="D180" s="393"/>
      <c r="E180" s="393"/>
      <c r="F180" s="393"/>
      <c r="G180" s="393"/>
      <c r="H180" s="393"/>
      <c r="I180" s="389" t="str">
        <f>'Cal Ref'!$J$34</f>
        <v>P1</v>
      </c>
      <c r="J180" s="389"/>
      <c r="K180" s="389"/>
      <c r="L180" s="389"/>
      <c r="M180" s="389"/>
      <c r="N180" s="389"/>
      <c r="O180" s="389"/>
      <c r="P180" s="436" t="s">
        <v>444</v>
      </c>
      <c r="Q180" s="436"/>
      <c r="R180" s="436"/>
      <c r="S180" s="436"/>
      <c r="T180" s="436"/>
      <c r="U180" s="436"/>
      <c r="V180" s="436"/>
      <c r="W180" s="394" t="str">
        <f>'Cal 1'!$J$21</f>
        <v/>
      </c>
      <c r="X180" s="394"/>
      <c r="Y180" s="394"/>
      <c r="Z180" s="394"/>
      <c r="AA180" s="394"/>
      <c r="AB180" s="394"/>
      <c r="AC180" s="394"/>
      <c r="AD180" s="393" t="e">
        <f>B180-W180</f>
        <v>#VALUE!</v>
      </c>
      <c r="AE180" s="393"/>
      <c r="AF180" s="393"/>
      <c r="AG180" s="393"/>
      <c r="AH180" s="393"/>
      <c r="AI180" s="393" t="str">
        <f>'Cal 1'!$J$25</f>
        <v>-</v>
      </c>
      <c r="AJ180" s="393"/>
      <c r="AK180" s="393"/>
      <c r="AL180" s="393"/>
      <c r="AM180" s="393"/>
      <c r="AN180" s="10"/>
      <c r="AO180" s="10"/>
      <c r="AP180" s="10"/>
      <c r="AQ180" s="10"/>
      <c r="AR180" s="10"/>
      <c r="AS180" s="10"/>
      <c r="AT180" s="10"/>
      <c r="AU180" s="10"/>
      <c r="AV180" s="10"/>
      <c r="AW180" s="10"/>
      <c r="AX180" s="10"/>
      <c r="AY180" s="10"/>
      <c r="AZ180" s="10"/>
      <c r="BA180" s="10"/>
      <c r="BB180" s="10"/>
      <c r="BC180" s="10"/>
      <c r="BD180" s="10"/>
      <c r="BE180" s="10"/>
      <c r="BF180" s="10"/>
      <c r="BG180" s="10"/>
      <c r="BH180" s="10"/>
      <c r="BI180" s="10"/>
      <c r="BJ180" s="10"/>
      <c r="BK180" s="10"/>
      <c r="BL180" s="10"/>
      <c r="BM180" s="10"/>
      <c r="BN180" s="10"/>
      <c r="BO180" s="10"/>
      <c r="BP180" s="10"/>
      <c r="BQ180" s="10"/>
      <c r="BR180" s="10"/>
      <c r="BS180" s="10"/>
      <c r="BT180" s="10"/>
      <c r="BU180" s="10"/>
      <c r="BV180" s="10"/>
      <c r="BW180" s="10"/>
      <c r="BX180" s="10"/>
      <c r="BY180" s="10"/>
    </row>
    <row r="181" spans="1:77" s="88" customFormat="1" ht="16.5" customHeight="1">
      <c r="A181" s="85"/>
      <c r="B181" s="434" t="str">
        <f>'Cal 1'!$F$21</f>
        <v/>
      </c>
      <c r="C181" s="434"/>
      <c r="D181" s="434"/>
      <c r="E181" s="434"/>
      <c r="F181" s="434"/>
      <c r="G181" s="434"/>
      <c r="H181" s="434"/>
      <c r="I181" s="435" t="str">
        <f>'Cal Ref'!$N$34</f>
        <v>P2</v>
      </c>
      <c r="J181" s="435"/>
      <c r="K181" s="435"/>
      <c r="L181" s="435"/>
      <c r="M181" s="435"/>
      <c r="N181" s="435"/>
      <c r="O181" s="435"/>
      <c r="P181" s="389" t="s">
        <v>445</v>
      </c>
      <c r="Q181" s="389"/>
      <c r="R181" s="389"/>
      <c r="S181" s="389"/>
      <c r="T181" s="389"/>
      <c r="U181" s="389"/>
      <c r="V181" s="389"/>
      <c r="W181" s="390" t="str">
        <f>'Cal 1'!$N$21</f>
        <v/>
      </c>
      <c r="X181" s="391"/>
      <c r="Y181" s="391"/>
      <c r="Z181" s="391"/>
      <c r="AA181" s="391"/>
      <c r="AB181" s="391"/>
      <c r="AC181" s="392"/>
      <c r="AD181" s="434" t="e">
        <f>B181-W181</f>
        <v>#VALUE!</v>
      </c>
      <c r="AE181" s="434"/>
      <c r="AF181" s="434"/>
      <c r="AG181" s="434"/>
      <c r="AH181" s="434"/>
      <c r="AI181" s="434" t="str">
        <f>'Cal 1'!$N$25</f>
        <v>-</v>
      </c>
      <c r="AJ181" s="434"/>
      <c r="AK181" s="434"/>
      <c r="AL181" s="434"/>
      <c r="AM181" s="434"/>
      <c r="AN181" s="10"/>
      <c r="AO181" s="10"/>
      <c r="AP181" s="10"/>
      <c r="AQ181" s="10"/>
      <c r="AR181" s="10"/>
      <c r="AS181" s="10"/>
      <c r="AT181" s="10"/>
      <c r="AU181" s="10"/>
      <c r="AV181" s="10"/>
      <c r="AW181" s="10"/>
      <c r="AX181" s="10"/>
      <c r="AY181" s="10"/>
      <c r="AZ181" s="10"/>
      <c r="BA181" s="10"/>
      <c r="BB181" s="10"/>
      <c r="BC181" s="10"/>
      <c r="BD181" s="10"/>
      <c r="BE181" s="10"/>
      <c r="BF181" s="10"/>
      <c r="BG181" s="10"/>
      <c r="BH181" s="10"/>
      <c r="BI181" s="10"/>
      <c r="BJ181" s="10"/>
      <c r="BK181" s="10"/>
      <c r="BL181" s="10"/>
      <c r="BM181" s="10"/>
      <c r="BN181" s="10"/>
      <c r="BO181" s="10"/>
      <c r="BP181" s="10"/>
      <c r="BQ181" s="10"/>
      <c r="BR181" s="10"/>
      <c r="BS181" s="10"/>
      <c r="BT181" s="10"/>
      <c r="BU181" s="10"/>
      <c r="BV181" s="10"/>
      <c r="BW181" s="10"/>
      <c r="BX181" s="10"/>
      <c r="BY181" s="10"/>
    </row>
    <row r="182" spans="1:77" s="88" customFormat="1" ht="16.5" customHeight="1">
      <c r="A182" s="85"/>
      <c r="B182" s="434" t="str">
        <f>'Cal 1'!$F$21</f>
        <v/>
      </c>
      <c r="C182" s="434"/>
      <c r="D182" s="434"/>
      <c r="E182" s="434"/>
      <c r="F182" s="434"/>
      <c r="G182" s="434"/>
      <c r="H182" s="434"/>
      <c r="I182" s="435" t="str">
        <f>'Cal Ref'!$R$34</f>
        <v>P3</v>
      </c>
      <c r="J182" s="435"/>
      <c r="K182" s="435"/>
      <c r="L182" s="435"/>
      <c r="M182" s="435"/>
      <c r="N182" s="435"/>
      <c r="O182" s="435"/>
      <c r="P182" s="389" t="s">
        <v>446</v>
      </c>
      <c r="Q182" s="389"/>
      <c r="R182" s="389"/>
      <c r="S182" s="389"/>
      <c r="T182" s="389"/>
      <c r="U182" s="389"/>
      <c r="V182" s="389"/>
      <c r="W182" s="390" t="str">
        <f>'Cal 1'!$R$21</f>
        <v/>
      </c>
      <c r="X182" s="391"/>
      <c r="Y182" s="391"/>
      <c r="Z182" s="391"/>
      <c r="AA182" s="391"/>
      <c r="AB182" s="391"/>
      <c r="AC182" s="392"/>
      <c r="AD182" s="434" t="e">
        <f t="shared" ref="AD182:AD188" si="6">B182-W182</f>
        <v>#VALUE!</v>
      </c>
      <c r="AE182" s="434"/>
      <c r="AF182" s="434"/>
      <c r="AG182" s="434"/>
      <c r="AH182" s="434"/>
      <c r="AI182" s="434" t="str">
        <f>'Cal 1'!$R$25</f>
        <v>-</v>
      </c>
      <c r="AJ182" s="434"/>
      <c r="AK182" s="434"/>
      <c r="AL182" s="434"/>
      <c r="AM182" s="434"/>
      <c r="AN182" s="10"/>
      <c r="AO182" s="10"/>
      <c r="AP182" s="10"/>
      <c r="AQ182" s="10"/>
      <c r="AR182" s="10"/>
      <c r="AS182" s="10"/>
      <c r="AT182" s="10"/>
      <c r="AU182" s="10"/>
      <c r="AV182" s="10"/>
      <c r="AW182" s="10"/>
      <c r="AX182" s="10"/>
      <c r="AY182" s="10"/>
      <c r="AZ182" s="10"/>
      <c r="BA182" s="10"/>
      <c r="BB182" s="10"/>
      <c r="BC182" s="10"/>
      <c r="BD182" s="10"/>
      <c r="BE182" s="10"/>
      <c r="BF182" s="10"/>
      <c r="BG182" s="10"/>
      <c r="BH182" s="10"/>
      <c r="BI182" s="10"/>
      <c r="BJ182" s="10"/>
      <c r="BK182" s="10"/>
      <c r="BL182" s="10"/>
      <c r="BM182" s="10"/>
      <c r="BN182" s="10"/>
      <c r="BO182" s="10"/>
      <c r="BP182" s="10"/>
      <c r="BQ182" s="10"/>
      <c r="BR182" s="10"/>
      <c r="BS182" s="10"/>
      <c r="BT182" s="10"/>
      <c r="BU182" s="10"/>
      <c r="BV182" s="10"/>
      <c r="BW182" s="10"/>
      <c r="BX182" s="10"/>
      <c r="BY182" s="10"/>
    </row>
    <row r="183" spans="1:77" s="88" customFormat="1" ht="16.5" customHeight="1">
      <c r="A183" s="85"/>
      <c r="B183" s="434" t="str">
        <f>'Cal 1'!$F$21</f>
        <v/>
      </c>
      <c r="C183" s="434"/>
      <c r="D183" s="434"/>
      <c r="E183" s="434"/>
      <c r="F183" s="434"/>
      <c r="G183" s="434"/>
      <c r="H183" s="434"/>
      <c r="I183" s="435" t="str">
        <f>'Cal Ref'!$V$34</f>
        <v>P4</v>
      </c>
      <c r="J183" s="435"/>
      <c r="K183" s="435"/>
      <c r="L183" s="435"/>
      <c r="M183" s="435"/>
      <c r="N183" s="435"/>
      <c r="O183" s="435"/>
      <c r="P183" s="389" t="s">
        <v>447</v>
      </c>
      <c r="Q183" s="389"/>
      <c r="R183" s="389"/>
      <c r="S183" s="389"/>
      <c r="T183" s="389"/>
      <c r="U183" s="389"/>
      <c r="V183" s="389"/>
      <c r="W183" s="390" t="str">
        <f>'Cal 1'!$V$21</f>
        <v/>
      </c>
      <c r="X183" s="391"/>
      <c r="Y183" s="391"/>
      <c r="Z183" s="391"/>
      <c r="AA183" s="391"/>
      <c r="AB183" s="391"/>
      <c r="AC183" s="392"/>
      <c r="AD183" s="434" t="e">
        <f t="shared" si="6"/>
        <v>#VALUE!</v>
      </c>
      <c r="AE183" s="434"/>
      <c r="AF183" s="434"/>
      <c r="AG183" s="434"/>
      <c r="AH183" s="434"/>
      <c r="AI183" s="434" t="str">
        <f>'Cal 1'!$V$25</f>
        <v>-</v>
      </c>
      <c r="AJ183" s="434"/>
      <c r="AK183" s="434"/>
      <c r="AL183" s="434"/>
      <c r="AM183" s="434"/>
      <c r="AN183" s="10"/>
      <c r="AO183" s="10"/>
      <c r="AP183" s="10"/>
      <c r="AQ183" s="10"/>
      <c r="AR183" s="10"/>
      <c r="AS183" s="10"/>
      <c r="AT183" s="10"/>
      <c r="AU183" s="10"/>
      <c r="AV183" s="10"/>
      <c r="AW183" s="10"/>
      <c r="AX183" s="10"/>
      <c r="AY183" s="10"/>
      <c r="AZ183" s="10"/>
      <c r="BA183" s="10"/>
      <c r="BB183" s="10"/>
      <c r="BC183" s="10"/>
      <c r="BD183" s="10"/>
      <c r="BE183" s="10"/>
      <c r="BF183" s="10"/>
      <c r="BG183" s="10"/>
      <c r="BH183" s="10"/>
      <c r="BI183" s="10"/>
      <c r="BJ183" s="10"/>
      <c r="BK183" s="10"/>
      <c r="BL183" s="10"/>
      <c r="BM183" s="10"/>
      <c r="BN183" s="10"/>
      <c r="BO183" s="10"/>
      <c r="BP183" s="10"/>
      <c r="BQ183" s="10"/>
      <c r="BR183" s="10"/>
      <c r="BS183" s="10"/>
      <c r="BT183" s="10"/>
      <c r="BU183" s="10"/>
      <c r="BV183" s="10"/>
      <c r="BW183" s="10"/>
      <c r="BX183" s="10"/>
      <c r="BY183" s="10"/>
    </row>
    <row r="184" spans="1:77" s="88" customFormat="1" ht="16.5" customHeight="1">
      <c r="A184" s="85"/>
      <c r="B184" s="434" t="str">
        <f>'Cal 1'!$F$21</f>
        <v/>
      </c>
      <c r="C184" s="434"/>
      <c r="D184" s="434"/>
      <c r="E184" s="434"/>
      <c r="F184" s="434"/>
      <c r="G184" s="434"/>
      <c r="H184" s="434"/>
      <c r="I184" s="435" t="str">
        <f>'Cal Ref'!$Z$34</f>
        <v>P5</v>
      </c>
      <c r="J184" s="435"/>
      <c r="K184" s="435"/>
      <c r="L184" s="435"/>
      <c r="M184" s="435"/>
      <c r="N184" s="435"/>
      <c r="O184" s="435"/>
      <c r="P184" s="389" t="s">
        <v>448</v>
      </c>
      <c r="Q184" s="389"/>
      <c r="R184" s="389"/>
      <c r="S184" s="389"/>
      <c r="T184" s="389"/>
      <c r="U184" s="389"/>
      <c r="V184" s="389"/>
      <c r="W184" s="390" t="str">
        <f>'Cal 1'!$Z$21</f>
        <v/>
      </c>
      <c r="X184" s="391"/>
      <c r="Y184" s="391"/>
      <c r="Z184" s="391"/>
      <c r="AA184" s="391"/>
      <c r="AB184" s="391"/>
      <c r="AC184" s="392"/>
      <c r="AD184" s="434" t="e">
        <f t="shared" si="6"/>
        <v>#VALUE!</v>
      </c>
      <c r="AE184" s="434"/>
      <c r="AF184" s="434"/>
      <c r="AG184" s="434"/>
      <c r="AH184" s="434"/>
      <c r="AI184" s="434" t="str">
        <f>'Cal 1'!$Z$25</f>
        <v>-</v>
      </c>
      <c r="AJ184" s="434"/>
      <c r="AK184" s="434"/>
      <c r="AL184" s="434"/>
      <c r="AM184" s="434"/>
      <c r="AN184" s="10"/>
      <c r="AO184" s="10"/>
      <c r="AP184" s="10"/>
      <c r="AQ184" s="10"/>
      <c r="AR184" s="10"/>
      <c r="AS184" s="10"/>
      <c r="AT184" s="10"/>
      <c r="AU184" s="10"/>
      <c r="AV184" s="10"/>
      <c r="AW184" s="10"/>
      <c r="AX184" s="10"/>
      <c r="AY184" s="10"/>
      <c r="AZ184" s="10"/>
      <c r="BA184" s="10"/>
      <c r="BB184" s="10"/>
      <c r="BC184" s="10"/>
      <c r="BD184" s="10"/>
      <c r="BE184" s="10"/>
      <c r="BF184" s="10"/>
      <c r="BG184" s="10"/>
      <c r="BH184" s="10"/>
      <c r="BI184" s="10"/>
      <c r="BJ184" s="10"/>
      <c r="BK184" s="10"/>
      <c r="BL184" s="10"/>
      <c r="BM184" s="10"/>
      <c r="BN184" s="10"/>
      <c r="BO184" s="10"/>
      <c r="BP184" s="10"/>
      <c r="BQ184" s="10"/>
      <c r="BR184" s="10"/>
      <c r="BS184" s="10"/>
      <c r="BT184" s="10"/>
      <c r="BU184" s="10"/>
      <c r="BV184" s="10"/>
      <c r="BW184" s="10"/>
      <c r="BX184" s="10"/>
      <c r="BY184" s="10"/>
    </row>
    <row r="185" spans="1:77" s="88" customFormat="1" ht="16.5" customHeight="1">
      <c r="A185" s="85"/>
      <c r="B185" s="434" t="str">
        <f>'Cal 1'!$F$21</f>
        <v/>
      </c>
      <c r="C185" s="434"/>
      <c r="D185" s="434"/>
      <c r="E185" s="434"/>
      <c r="F185" s="434"/>
      <c r="G185" s="434"/>
      <c r="H185" s="434"/>
      <c r="I185" s="435" t="str">
        <f>'Cal Ref'!$AD$34</f>
        <v>P6</v>
      </c>
      <c r="J185" s="435"/>
      <c r="K185" s="435"/>
      <c r="L185" s="435"/>
      <c r="M185" s="435"/>
      <c r="N185" s="435"/>
      <c r="O185" s="435"/>
      <c r="P185" s="389" t="s">
        <v>449</v>
      </c>
      <c r="Q185" s="389"/>
      <c r="R185" s="389"/>
      <c r="S185" s="389"/>
      <c r="T185" s="389"/>
      <c r="U185" s="389"/>
      <c r="V185" s="389"/>
      <c r="W185" s="390" t="str">
        <f>'Cal 1'!$AD$21</f>
        <v/>
      </c>
      <c r="X185" s="391"/>
      <c r="Y185" s="391"/>
      <c r="Z185" s="391"/>
      <c r="AA185" s="391"/>
      <c r="AB185" s="391"/>
      <c r="AC185" s="392"/>
      <c r="AD185" s="434" t="e">
        <f t="shared" si="6"/>
        <v>#VALUE!</v>
      </c>
      <c r="AE185" s="434"/>
      <c r="AF185" s="434"/>
      <c r="AG185" s="434"/>
      <c r="AH185" s="434"/>
      <c r="AI185" s="434" t="str">
        <f>'Cal 1'!$AD$25</f>
        <v>-</v>
      </c>
      <c r="AJ185" s="434"/>
      <c r="AK185" s="434"/>
      <c r="AL185" s="434"/>
      <c r="AM185" s="434"/>
      <c r="AN185" s="10"/>
      <c r="AO185" s="10"/>
      <c r="AP185" s="10"/>
      <c r="AQ185" s="10"/>
      <c r="AR185" s="10"/>
      <c r="AS185" s="10"/>
      <c r="AT185" s="10"/>
      <c r="AU185" s="10"/>
      <c r="AV185" s="10"/>
      <c r="AW185" s="10"/>
      <c r="AX185" s="10"/>
      <c r="AY185" s="10"/>
      <c r="AZ185" s="10"/>
      <c r="BA185" s="10"/>
      <c r="BB185" s="10"/>
      <c r="BC185" s="10"/>
      <c r="BD185" s="10"/>
      <c r="BE185" s="10"/>
      <c r="BF185" s="10"/>
      <c r="BG185" s="10"/>
      <c r="BH185" s="10"/>
      <c r="BI185" s="10"/>
      <c r="BJ185" s="10"/>
      <c r="BK185" s="10"/>
      <c r="BL185" s="10"/>
      <c r="BM185" s="10"/>
      <c r="BN185" s="10"/>
      <c r="BO185" s="10"/>
      <c r="BP185" s="10"/>
      <c r="BQ185" s="10"/>
      <c r="BR185" s="10"/>
      <c r="BS185" s="10"/>
      <c r="BT185" s="10"/>
      <c r="BU185" s="10"/>
      <c r="BV185" s="10"/>
      <c r="BW185" s="10"/>
      <c r="BX185" s="10"/>
      <c r="BY185" s="10"/>
    </row>
    <row r="186" spans="1:77" s="88" customFormat="1" ht="16.5" customHeight="1">
      <c r="A186" s="85"/>
      <c r="B186" s="434" t="str">
        <f>'Cal 1'!$F$21</f>
        <v/>
      </c>
      <c r="C186" s="434"/>
      <c r="D186" s="434"/>
      <c r="E186" s="434"/>
      <c r="F186" s="434"/>
      <c r="G186" s="434"/>
      <c r="H186" s="434"/>
      <c r="I186" s="435" t="str">
        <f>'Cal Ref'!$AH$34</f>
        <v>P7</v>
      </c>
      <c r="J186" s="435"/>
      <c r="K186" s="435"/>
      <c r="L186" s="435"/>
      <c r="M186" s="435"/>
      <c r="N186" s="435"/>
      <c r="O186" s="435"/>
      <c r="P186" s="389" t="s">
        <v>450</v>
      </c>
      <c r="Q186" s="389"/>
      <c r="R186" s="389"/>
      <c r="S186" s="389"/>
      <c r="T186" s="389"/>
      <c r="U186" s="389"/>
      <c r="V186" s="389"/>
      <c r="W186" s="390" t="str">
        <f>'Cal 1'!$AH$21</f>
        <v/>
      </c>
      <c r="X186" s="391"/>
      <c r="Y186" s="391"/>
      <c r="Z186" s="391"/>
      <c r="AA186" s="391"/>
      <c r="AB186" s="391"/>
      <c r="AC186" s="392"/>
      <c r="AD186" s="434" t="e">
        <f t="shared" si="6"/>
        <v>#VALUE!</v>
      </c>
      <c r="AE186" s="434"/>
      <c r="AF186" s="434"/>
      <c r="AG186" s="434"/>
      <c r="AH186" s="434"/>
      <c r="AI186" s="434" t="str">
        <f>'Cal 1'!$AH$25</f>
        <v>-</v>
      </c>
      <c r="AJ186" s="434"/>
      <c r="AK186" s="434"/>
      <c r="AL186" s="434"/>
      <c r="AM186" s="434"/>
      <c r="AN186" s="10"/>
      <c r="AO186" s="10"/>
      <c r="AP186" s="10"/>
      <c r="AQ186" s="10"/>
      <c r="AR186" s="10"/>
      <c r="AS186" s="10"/>
      <c r="AT186" s="10"/>
      <c r="AU186" s="10"/>
      <c r="AV186" s="10"/>
      <c r="AW186" s="10"/>
      <c r="AX186" s="10"/>
      <c r="AY186" s="10"/>
      <c r="AZ186" s="10"/>
      <c r="BA186" s="10"/>
      <c r="BB186" s="10"/>
      <c r="BC186" s="10"/>
      <c r="BD186" s="10"/>
      <c r="BE186" s="10"/>
      <c r="BF186" s="10"/>
      <c r="BG186" s="10"/>
      <c r="BH186" s="10"/>
      <c r="BI186" s="10"/>
      <c r="BJ186" s="10"/>
      <c r="BK186" s="10"/>
      <c r="BL186" s="10"/>
      <c r="BM186" s="10"/>
      <c r="BN186" s="10"/>
      <c r="BO186" s="10"/>
      <c r="BP186" s="10"/>
      <c r="BQ186" s="10"/>
      <c r="BR186" s="10"/>
      <c r="BS186" s="10"/>
      <c r="BT186" s="10"/>
      <c r="BU186" s="10"/>
      <c r="BV186" s="10"/>
      <c r="BW186" s="10"/>
      <c r="BX186" s="10"/>
      <c r="BY186" s="10"/>
    </row>
    <row r="187" spans="1:77" s="88" customFormat="1" ht="16.5" customHeight="1">
      <c r="A187" s="85"/>
      <c r="B187" s="434" t="str">
        <f>'Cal 1'!$F$21</f>
        <v/>
      </c>
      <c r="C187" s="434"/>
      <c r="D187" s="434"/>
      <c r="E187" s="434"/>
      <c r="F187" s="434"/>
      <c r="G187" s="434"/>
      <c r="H187" s="434"/>
      <c r="I187" s="435" t="str">
        <f>'Cal Ref'!$AL$34</f>
        <v>P8</v>
      </c>
      <c r="J187" s="435"/>
      <c r="K187" s="435"/>
      <c r="L187" s="435"/>
      <c r="M187" s="435"/>
      <c r="N187" s="435"/>
      <c r="O187" s="435"/>
      <c r="P187" s="389" t="s">
        <v>451</v>
      </c>
      <c r="Q187" s="389"/>
      <c r="R187" s="389"/>
      <c r="S187" s="389"/>
      <c r="T187" s="389"/>
      <c r="U187" s="389"/>
      <c r="V187" s="389"/>
      <c r="W187" s="390" t="str">
        <f>'Cal 1'!$AL$21</f>
        <v/>
      </c>
      <c r="X187" s="391"/>
      <c r="Y187" s="391"/>
      <c r="Z187" s="391"/>
      <c r="AA187" s="391"/>
      <c r="AB187" s="391"/>
      <c r="AC187" s="392"/>
      <c r="AD187" s="434" t="e">
        <f t="shared" si="6"/>
        <v>#VALUE!</v>
      </c>
      <c r="AE187" s="434"/>
      <c r="AF187" s="434"/>
      <c r="AG187" s="434"/>
      <c r="AH187" s="434"/>
      <c r="AI187" s="434" t="str">
        <f>'Cal 1'!$AL$25</f>
        <v>-</v>
      </c>
      <c r="AJ187" s="434"/>
      <c r="AK187" s="434"/>
      <c r="AL187" s="434"/>
      <c r="AM187" s="434"/>
      <c r="AN187" s="10"/>
      <c r="AO187" s="10"/>
      <c r="AP187" s="10"/>
      <c r="AQ187" s="10"/>
      <c r="AR187" s="10"/>
      <c r="AS187" s="10"/>
      <c r="AT187" s="10"/>
      <c r="AU187" s="10"/>
      <c r="AV187" s="10"/>
      <c r="AW187" s="10"/>
      <c r="AX187" s="10"/>
      <c r="AY187" s="10"/>
      <c r="AZ187" s="10"/>
      <c r="BA187" s="10"/>
      <c r="BB187" s="10"/>
      <c r="BC187" s="10"/>
      <c r="BD187" s="10"/>
      <c r="BE187" s="10"/>
      <c r="BF187" s="10"/>
      <c r="BG187" s="10"/>
      <c r="BH187" s="10"/>
      <c r="BI187" s="10"/>
      <c r="BJ187" s="10"/>
      <c r="BK187" s="10"/>
      <c r="BL187" s="10"/>
      <c r="BM187" s="10"/>
      <c r="BN187" s="10"/>
      <c r="BO187" s="10"/>
      <c r="BP187" s="10"/>
      <c r="BQ187" s="10"/>
      <c r="BR187" s="10"/>
      <c r="BS187" s="10"/>
      <c r="BT187" s="10"/>
      <c r="BU187" s="10"/>
      <c r="BV187" s="10"/>
      <c r="BW187" s="10"/>
      <c r="BX187" s="10"/>
      <c r="BY187" s="10"/>
    </row>
    <row r="188" spans="1:77" s="88" customFormat="1" ht="16.5" customHeight="1">
      <c r="A188" s="85"/>
      <c r="B188" s="434" t="str">
        <f>'Cal 1'!$F$21</f>
        <v/>
      </c>
      <c r="C188" s="434"/>
      <c r="D188" s="434"/>
      <c r="E188" s="434"/>
      <c r="F188" s="434"/>
      <c r="G188" s="434"/>
      <c r="H188" s="434"/>
      <c r="I188" s="435" t="str">
        <f>'Cal Ref'!$AP$34</f>
        <v>P9</v>
      </c>
      <c r="J188" s="435"/>
      <c r="K188" s="435"/>
      <c r="L188" s="435"/>
      <c r="M188" s="435"/>
      <c r="N188" s="435"/>
      <c r="O188" s="435"/>
      <c r="P188" s="389" t="s">
        <v>452</v>
      </c>
      <c r="Q188" s="389"/>
      <c r="R188" s="389"/>
      <c r="S188" s="389"/>
      <c r="T188" s="389"/>
      <c r="U188" s="389"/>
      <c r="V188" s="389"/>
      <c r="W188" s="390" t="str">
        <f>'Cal 1'!$AP$21</f>
        <v/>
      </c>
      <c r="X188" s="391"/>
      <c r="Y188" s="391"/>
      <c r="Z188" s="391"/>
      <c r="AA188" s="391"/>
      <c r="AB188" s="391"/>
      <c r="AC188" s="392"/>
      <c r="AD188" s="434" t="e">
        <f t="shared" si="6"/>
        <v>#VALUE!</v>
      </c>
      <c r="AE188" s="434"/>
      <c r="AF188" s="434"/>
      <c r="AG188" s="434"/>
      <c r="AH188" s="434"/>
      <c r="AI188" s="434" t="str">
        <f>'Cal 1'!$AP$25</f>
        <v>-</v>
      </c>
      <c r="AJ188" s="434"/>
      <c r="AK188" s="434"/>
      <c r="AL188" s="434"/>
      <c r="AM188" s="434"/>
      <c r="AN188" s="10"/>
      <c r="AO188" s="10"/>
      <c r="AP188" s="10"/>
      <c r="AQ188" s="10"/>
      <c r="AR188" s="10"/>
      <c r="AS188" s="10"/>
      <c r="AT188" s="10"/>
      <c r="AU188" s="10"/>
      <c r="AV188" s="10"/>
      <c r="AW188" s="10"/>
      <c r="AX188" s="10"/>
      <c r="AY188" s="10"/>
      <c r="AZ188" s="10"/>
      <c r="BA188" s="10"/>
      <c r="BB188" s="10"/>
      <c r="BC188" s="10"/>
      <c r="BD188" s="10"/>
      <c r="BE188" s="10"/>
      <c r="BF188" s="10"/>
      <c r="BG188" s="10"/>
      <c r="BH188" s="10"/>
      <c r="BI188" s="10"/>
      <c r="BJ188" s="10"/>
      <c r="BK188" s="10"/>
      <c r="BL188" s="10"/>
      <c r="BM188" s="10"/>
      <c r="BN188" s="10"/>
      <c r="BO188" s="10"/>
      <c r="BP188" s="10"/>
      <c r="BQ188" s="10"/>
      <c r="BR188" s="10"/>
      <c r="BS188" s="10"/>
      <c r="BT188" s="10"/>
      <c r="BU188" s="10"/>
      <c r="BV188" s="10"/>
      <c r="BW188" s="10"/>
      <c r="BX188" s="10"/>
      <c r="BY188" s="10"/>
    </row>
    <row r="189" spans="1:77" s="88" customFormat="1" ht="16.5" customHeight="1" thickBot="1">
      <c r="A189" s="85"/>
      <c r="B189" s="415" t="str">
        <f>'Cal 1'!$F$21</f>
        <v/>
      </c>
      <c r="C189" s="415"/>
      <c r="D189" s="415"/>
      <c r="E189" s="415"/>
      <c r="F189" s="415"/>
      <c r="G189" s="415"/>
      <c r="H189" s="415"/>
      <c r="I189" s="413" t="str">
        <f>'Cal Ref'!$AT$34</f>
        <v>P10</v>
      </c>
      <c r="J189" s="413"/>
      <c r="K189" s="413"/>
      <c r="L189" s="413"/>
      <c r="M189" s="413"/>
      <c r="N189" s="413"/>
      <c r="O189" s="413"/>
      <c r="P189" s="430" t="s">
        <v>453</v>
      </c>
      <c r="Q189" s="430"/>
      <c r="R189" s="430"/>
      <c r="S189" s="430"/>
      <c r="T189" s="430"/>
      <c r="U189" s="430"/>
      <c r="V189" s="430"/>
      <c r="W189" s="431" t="str">
        <f>'Cal 1'!$AT$21</f>
        <v/>
      </c>
      <c r="X189" s="432"/>
      <c r="Y189" s="432"/>
      <c r="Z189" s="432"/>
      <c r="AA189" s="432"/>
      <c r="AB189" s="432"/>
      <c r="AC189" s="433"/>
      <c r="AD189" s="415" t="e">
        <f>B189-W189</f>
        <v>#VALUE!</v>
      </c>
      <c r="AE189" s="415"/>
      <c r="AF189" s="415"/>
      <c r="AG189" s="415"/>
      <c r="AH189" s="415"/>
      <c r="AI189" s="415" t="str">
        <f>'Cal 1'!$AT$25</f>
        <v>-</v>
      </c>
      <c r="AJ189" s="415"/>
      <c r="AK189" s="415"/>
      <c r="AL189" s="415"/>
      <c r="AM189" s="415"/>
      <c r="AN189" s="10"/>
      <c r="AO189" s="10"/>
      <c r="AP189" s="10"/>
      <c r="AQ189" s="10"/>
      <c r="AR189" s="10"/>
      <c r="AS189" s="10"/>
      <c r="AT189" s="10"/>
      <c r="AU189" s="10"/>
      <c r="AV189" s="10"/>
      <c r="AW189" s="10"/>
      <c r="AX189" s="10"/>
      <c r="AY189" s="10"/>
      <c r="AZ189" s="10"/>
      <c r="BA189" s="10"/>
      <c r="BB189" s="10"/>
      <c r="BC189" s="10"/>
      <c r="BD189" s="10"/>
      <c r="BE189" s="10"/>
      <c r="BF189" s="10"/>
      <c r="BG189" s="10"/>
      <c r="BH189" s="10"/>
      <c r="BI189" s="10"/>
      <c r="BJ189" s="10"/>
      <c r="BK189" s="10"/>
      <c r="BL189" s="10"/>
      <c r="BM189" s="10"/>
      <c r="BN189" s="10"/>
      <c r="BO189" s="10"/>
      <c r="BP189" s="10"/>
      <c r="BQ189" s="10"/>
      <c r="BR189" s="10"/>
      <c r="BS189" s="10"/>
      <c r="BT189" s="10"/>
      <c r="BU189" s="10"/>
      <c r="BV189" s="10"/>
      <c r="BW189" s="10"/>
      <c r="BX189" s="10"/>
      <c r="BY189" s="10"/>
    </row>
    <row r="190" spans="1:77" s="88" customFormat="1" ht="16.5" customHeight="1" thickBot="1">
      <c r="A190" s="85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45"/>
      <c r="X190" s="145"/>
      <c r="Y190" s="145"/>
      <c r="Z190" s="145"/>
      <c r="AA190" s="145"/>
      <c r="AB190" s="145"/>
      <c r="AC190" s="145"/>
      <c r="AD190" s="145"/>
      <c r="AE190" s="145"/>
      <c r="AF190" s="145"/>
      <c r="AG190" s="145"/>
      <c r="AH190" s="145"/>
      <c r="AI190" s="28"/>
      <c r="AJ190" s="28"/>
      <c r="AK190" s="28"/>
      <c r="AL190" s="28"/>
      <c r="AM190" s="28"/>
      <c r="AN190" s="10"/>
      <c r="AO190" s="10"/>
      <c r="AP190" s="10"/>
      <c r="AQ190" s="10"/>
      <c r="AR190" s="10"/>
      <c r="AS190" s="10"/>
      <c r="AT190" s="10"/>
      <c r="AU190" s="10"/>
      <c r="AV190" s="10"/>
      <c r="AW190" s="10"/>
      <c r="AX190" s="10"/>
      <c r="AY190" s="10"/>
      <c r="AZ190" s="10"/>
      <c r="BA190" s="10"/>
      <c r="BB190" s="10"/>
      <c r="BC190" s="10"/>
      <c r="BD190" s="10"/>
      <c r="BE190" s="10"/>
      <c r="BF190" s="10"/>
      <c r="BG190" s="10"/>
      <c r="BH190" s="10"/>
      <c r="BI190" s="10"/>
      <c r="BJ190" s="10"/>
      <c r="BK190" s="10"/>
      <c r="BL190" s="10"/>
      <c r="BM190" s="10"/>
      <c r="BN190" s="10"/>
      <c r="BO190" s="10"/>
      <c r="BP190" s="10"/>
      <c r="BQ190" s="10"/>
      <c r="BR190" s="10"/>
      <c r="BS190" s="10"/>
      <c r="BT190" s="10"/>
      <c r="BU190" s="10"/>
      <c r="BV190" s="10"/>
      <c r="BW190" s="10"/>
      <c r="BX190" s="10"/>
      <c r="BY190" s="10"/>
    </row>
    <row r="191" spans="1:77" s="88" customFormat="1" ht="16.5" customHeight="1" thickBot="1">
      <c r="A191" s="85"/>
      <c r="B191" s="395" t="e">
        <f>VLOOKUP(Page1!AJ14,STD!P:S,4,0)&amp;IF(Page1!AJ14="Channel: 001",", Function: "&amp;STD!R6,", S/N: "&amp;Page1!AI15&amp;", Sensor: "&amp;IF(Page1!AJ14="1586-2586(026) PRT","PRT, S/N: "&amp;STD!T7,VLOOKUP(Page1!AE13,STD!P:S,2,0)))</f>
        <v>#N/A</v>
      </c>
      <c r="C191" s="396"/>
      <c r="D191" s="396"/>
      <c r="E191" s="396"/>
      <c r="F191" s="396"/>
      <c r="G191" s="396"/>
      <c r="H191" s="396"/>
      <c r="I191" s="396"/>
      <c r="J191" s="396"/>
      <c r="K191" s="396"/>
      <c r="L191" s="396"/>
      <c r="M191" s="396"/>
      <c r="N191" s="396"/>
      <c r="O191" s="396"/>
      <c r="P191" s="396"/>
      <c r="Q191" s="396"/>
      <c r="R191" s="396"/>
      <c r="S191" s="396"/>
      <c r="T191" s="396"/>
      <c r="U191" s="396"/>
      <c r="V191" s="396"/>
      <c r="W191" s="396"/>
      <c r="X191" s="396"/>
      <c r="Y191" s="396"/>
      <c r="Z191" s="396"/>
      <c r="AA191" s="396"/>
      <c r="AB191" s="396"/>
      <c r="AC191" s="396"/>
      <c r="AD191" s="396"/>
      <c r="AE191" s="396"/>
      <c r="AF191" s="396"/>
      <c r="AG191" s="396"/>
      <c r="AH191" s="396"/>
      <c r="AI191" s="396"/>
      <c r="AJ191" s="396"/>
      <c r="AK191" s="396"/>
      <c r="AL191" s="396"/>
      <c r="AM191" s="397"/>
    </row>
    <row r="192" spans="1:77" s="88" customFormat="1" ht="16.5" customHeight="1" thickBot="1">
      <c r="A192" s="85"/>
      <c r="B192" s="398" t="s">
        <v>379</v>
      </c>
      <c r="C192" s="399"/>
      <c r="D192" s="399"/>
      <c r="E192" s="399"/>
      <c r="F192" s="399"/>
      <c r="G192" s="399"/>
      <c r="H192" s="400"/>
      <c r="I192" s="401" t="s">
        <v>380</v>
      </c>
      <c r="J192" s="401"/>
      <c r="K192" s="401"/>
      <c r="L192" s="401"/>
      <c r="M192" s="401"/>
      <c r="N192" s="401"/>
      <c r="O192" s="401"/>
      <c r="P192" s="401"/>
      <c r="Q192" s="401"/>
      <c r="R192" s="401"/>
      <c r="S192" s="401"/>
      <c r="T192" s="401"/>
      <c r="U192" s="401"/>
      <c r="V192" s="401"/>
      <c r="W192" s="401"/>
      <c r="X192" s="401"/>
      <c r="Y192" s="401"/>
      <c r="Z192" s="401"/>
      <c r="AA192" s="401"/>
      <c r="AB192" s="401"/>
      <c r="AC192" s="401"/>
      <c r="AD192" s="398" t="s">
        <v>381</v>
      </c>
      <c r="AE192" s="399"/>
      <c r="AF192" s="399"/>
      <c r="AG192" s="399"/>
      <c r="AH192" s="400"/>
      <c r="AI192" s="398" t="s">
        <v>32</v>
      </c>
      <c r="AJ192" s="399"/>
      <c r="AK192" s="399"/>
      <c r="AL192" s="399"/>
      <c r="AM192" s="400"/>
    </row>
    <row r="193" spans="1:77" s="88" customFormat="1" ht="16.5" customHeight="1" thickBot="1">
      <c r="A193" s="85"/>
      <c r="B193" s="425" t="s">
        <v>382</v>
      </c>
      <c r="C193" s="426"/>
      <c r="D193" s="426"/>
      <c r="E193" s="426"/>
      <c r="F193" s="426"/>
      <c r="G193" s="426"/>
      <c r="H193" s="427"/>
      <c r="I193" s="428" t="s">
        <v>383</v>
      </c>
      <c r="J193" s="428"/>
      <c r="K193" s="428"/>
      <c r="L193" s="428"/>
      <c r="M193" s="428"/>
      <c r="N193" s="428"/>
      <c r="O193" s="428"/>
      <c r="P193" s="428" t="s">
        <v>384</v>
      </c>
      <c r="Q193" s="428"/>
      <c r="R193" s="428"/>
      <c r="S193" s="428"/>
      <c r="T193" s="428"/>
      <c r="U193" s="428"/>
      <c r="V193" s="428"/>
      <c r="W193" s="428" t="s">
        <v>79</v>
      </c>
      <c r="X193" s="428"/>
      <c r="Y193" s="428"/>
      <c r="Z193" s="428"/>
      <c r="AA193" s="428"/>
      <c r="AB193" s="428"/>
      <c r="AC193" s="428"/>
      <c r="AD193" s="408" t="s">
        <v>523</v>
      </c>
      <c r="AE193" s="409"/>
      <c r="AF193" s="409"/>
      <c r="AG193" s="409"/>
      <c r="AH193" s="410"/>
      <c r="AI193" s="408" t="s">
        <v>524</v>
      </c>
      <c r="AJ193" s="409"/>
      <c r="AK193" s="409"/>
      <c r="AL193" s="409"/>
      <c r="AM193" s="410"/>
    </row>
    <row r="194" spans="1:77" s="88" customFormat="1" ht="16.5" customHeight="1">
      <c r="A194" s="85"/>
      <c r="B194" s="393" t="str">
        <f>'Cal 1'!$F$21</f>
        <v/>
      </c>
      <c r="C194" s="393"/>
      <c r="D194" s="393"/>
      <c r="E194" s="393"/>
      <c r="F194" s="393"/>
      <c r="G194" s="393"/>
      <c r="H194" s="393"/>
      <c r="I194" s="389" t="str">
        <f>'Cal Ref'!$J$34</f>
        <v>P1</v>
      </c>
      <c r="J194" s="389"/>
      <c r="K194" s="389"/>
      <c r="L194" s="389"/>
      <c r="M194" s="389"/>
      <c r="N194" s="389"/>
      <c r="O194" s="389"/>
      <c r="P194" s="436" t="s">
        <v>444</v>
      </c>
      <c r="Q194" s="436"/>
      <c r="R194" s="436"/>
      <c r="S194" s="436"/>
      <c r="T194" s="436"/>
      <c r="U194" s="436"/>
      <c r="V194" s="436"/>
      <c r="W194" s="394" t="str">
        <f>'Cal 1'!$J$21</f>
        <v/>
      </c>
      <c r="X194" s="394"/>
      <c r="Y194" s="394"/>
      <c r="Z194" s="394"/>
      <c r="AA194" s="394"/>
      <c r="AB194" s="394"/>
      <c r="AC194" s="394"/>
      <c r="AD194" s="393" t="e">
        <f>B194-W194</f>
        <v>#VALUE!</v>
      </c>
      <c r="AE194" s="393"/>
      <c r="AF194" s="393"/>
      <c r="AG194" s="393"/>
      <c r="AH194" s="393"/>
      <c r="AI194" s="393" t="str">
        <f>'Cal 1'!$J$25</f>
        <v>-</v>
      </c>
      <c r="AJ194" s="393"/>
      <c r="AK194" s="393"/>
      <c r="AL194" s="393"/>
      <c r="AM194" s="393"/>
      <c r="AN194" s="10"/>
      <c r="AO194" s="10"/>
      <c r="AP194" s="10"/>
      <c r="AQ194" s="10"/>
      <c r="AR194" s="10"/>
      <c r="AS194" s="10"/>
      <c r="AT194" s="10"/>
      <c r="AU194" s="10"/>
      <c r="AV194" s="10"/>
      <c r="AW194" s="10"/>
      <c r="AX194" s="10"/>
      <c r="AY194" s="10"/>
      <c r="AZ194" s="10"/>
      <c r="BA194" s="10"/>
      <c r="BB194" s="10"/>
      <c r="BC194" s="10"/>
      <c r="BD194" s="10"/>
      <c r="BE194" s="10"/>
      <c r="BF194" s="10"/>
      <c r="BG194" s="10"/>
      <c r="BH194" s="10"/>
      <c r="BI194" s="10"/>
      <c r="BJ194" s="10"/>
      <c r="BK194" s="10"/>
      <c r="BL194" s="10"/>
      <c r="BM194" s="10"/>
      <c r="BN194" s="10"/>
      <c r="BO194" s="10"/>
      <c r="BP194" s="10"/>
      <c r="BQ194" s="10"/>
      <c r="BR194" s="10"/>
      <c r="BS194" s="10"/>
      <c r="BT194" s="10"/>
      <c r="BU194" s="10"/>
      <c r="BV194" s="10"/>
      <c r="BW194" s="10"/>
      <c r="BX194" s="10"/>
      <c r="BY194" s="10"/>
    </row>
    <row r="195" spans="1:77" s="88" customFormat="1" ht="16.5" customHeight="1">
      <c r="A195" s="85"/>
      <c r="B195" s="434" t="str">
        <f>'Cal 1'!$F$21</f>
        <v/>
      </c>
      <c r="C195" s="434"/>
      <c r="D195" s="434"/>
      <c r="E195" s="434"/>
      <c r="F195" s="434"/>
      <c r="G195" s="434"/>
      <c r="H195" s="434"/>
      <c r="I195" s="435" t="str">
        <f>'Cal Ref'!$N$34</f>
        <v>P2</v>
      </c>
      <c r="J195" s="435"/>
      <c r="K195" s="435"/>
      <c r="L195" s="435"/>
      <c r="M195" s="435"/>
      <c r="N195" s="435"/>
      <c r="O195" s="435"/>
      <c r="P195" s="389" t="s">
        <v>445</v>
      </c>
      <c r="Q195" s="389"/>
      <c r="R195" s="389"/>
      <c r="S195" s="389"/>
      <c r="T195" s="389"/>
      <c r="U195" s="389"/>
      <c r="V195" s="389"/>
      <c r="W195" s="390" t="str">
        <f>'Cal 1'!$N$21</f>
        <v/>
      </c>
      <c r="X195" s="391"/>
      <c r="Y195" s="391"/>
      <c r="Z195" s="391"/>
      <c r="AA195" s="391"/>
      <c r="AB195" s="391"/>
      <c r="AC195" s="392"/>
      <c r="AD195" s="434" t="e">
        <f>B195-W195</f>
        <v>#VALUE!</v>
      </c>
      <c r="AE195" s="434"/>
      <c r="AF195" s="434"/>
      <c r="AG195" s="434"/>
      <c r="AH195" s="434"/>
      <c r="AI195" s="434" t="str">
        <f>'Cal 1'!$N$25</f>
        <v>-</v>
      </c>
      <c r="AJ195" s="434"/>
      <c r="AK195" s="434"/>
      <c r="AL195" s="434"/>
      <c r="AM195" s="434"/>
      <c r="AN195" s="10"/>
      <c r="AO195" s="10"/>
      <c r="AP195" s="10"/>
      <c r="AQ195" s="10"/>
      <c r="AR195" s="10"/>
      <c r="AS195" s="10"/>
      <c r="AT195" s="10"/>
      <c r="AU195" s="10"/>
      <c r="AV195" s="10"/>
      <c r="AW195" s="10"/>
      <c r="AX195" s="10"/>
      <c r="AY195" s="10"/>
      <c r="AZ195" s="10"/>
      <c r="BA195" s="10"/>
      <c r="BB195" s="10"/>
      <c r="BC195" s="10"/>
      <c r="BD195" s="10"/>
      <c r="BE195" s="10"/>
      <c r="BF195" s="10"/>
      <c r="BG195" s="10"/>
      <c r="BH195" s="10"/>
      <c r="BI195" s="10"/>
      <c r="BJ195" s="10"/>
      <c r="BK195" s="10"/>
      <c r="BL195" s="10"/>
      <c r="BM195" s="10"/>
      <c r="BN195" s="10"/>
      <c r="BO195" s="10"/>
      <c r="BP195" s="10"/>
      <c r="BQ195" s="10"/>
      <c r="BR195" s="10"/>
      <c r="BS195" s="10"/>
      <c r="BT195" s="10"/>
      <c r="BU195" s="10"/>
      <c r="BV195" s="10"/>
      <c r="BW195" s="10"/>
      <c r="BX195" s="10"/>
      <c r="BY195" s="10"/>
    </row>
    <row r="196" spans="1:77" s="88" customFormat="1" ht="16.5" customHeight="1">
      <c r="A196" s="85"/>
      <c r="B196" s="434" t="str">
        <f>'Cal 1'!$F$21</f>
        <v/>
      </c>
      <c r="C196" s="434"/>
      <c r="D196" s="434"/>
      <c r="E196" s="434"/>
      <c r="F196" s="434"/>
      <c r="G196" s="434"/>
      <c r="H196" s="434"/>
      <c r="I196" s="435" t="str">
        <f>'Cal Ref'!$R$34</f>
        <v>P3</v>
      </c>
      <c r="J196" s="435"/>
      <c r="K196" s="435"/>
      <c r="L196" s="435"/>
      <c r="M196" s="435"/>
      <c r="N196" s="435"/>
      <c r="O196" s="435"/>
      <c r="P196" s="389" t="s">
        <v>446</v>
      </c>
      <c r="Q196" s="389"/>
      <c r="R196" s="389"/>
      <c r="S196" s="389"/>
      <c r="T196" s="389"/>
      <c r="U196" s="389"/>
      <c r="V196" s="389"/>
      <c r="W196" s="390" t="str">
        <f>'Cal 1'!$R$21</f>
        <v/>
      </c>
      <c r="X196" s="391"/>
      <c r="Y196" s="391"/>
      <c r="Z196" s="391"/>
      <c r="AA196" s="391"/>
      <c r="AB196" s="391"/>
      <c r="AC196" s="392"/>
      <c r="AD196" s="434" t="e">
        <f t="shared" ref="AD196:AD202" si="7">B196-W196</f>
        <v>#VALUE!</v>
      </c>
      <c r="AE196" s="434"/>
      <c r="AF196" s="434"/>
      <c r="AG196" s="434"/>
      <c r="AH196" s="434"/>
      <c r="AI196" s="434" t="str">
        <f>'Cal 1'!$R$25</f>
        <v>-</v>
      </c>
      <c r="AJ196" s="434"/>
      <c r="AK196" s="434"/>
      <c r="AL196" s="434"/>
      <c r="AM196" s="434"/>
      <c r="AN196" s="10"/>
      <c r="AO196" s="10"/>
      <c r="AP196" s="10"/>
      <c r="AQ196" s="10"/>
      <c r="AR196" s="10"/>
      <c r="AS196" s="10"/>
      <c r="AT196" s="10"/>
      <c r="AU196" s="10"/>
      <c r="AV196" s="10"/>
      <c r="AW196" s="10"/>
      <c r="AX196" s="10"/>
      <c r="AY196" s="10"/>
      <c r="AZ196" s="10"/>
      <c r="BA196" s="10"/>
      <c r="BB196" s="10"/>
      <c r="BC196" s="10"/>
      <c r="BD196" s="10"/>
      <c r="BE196" s="10"/>
      <c r="BF196" s="10"/>
      <c r="BG196" s="10"/>
      <c r="BH196" s="10"/>
      <c r="BI196" s="10"/>
      <c r="BJ196" s="10"/>
      <c r="BK196" s="10"/>
      <c r="BL196" s="10"/>
      <c r="BM196" s="10"/>
      <c r="BN196" s="10"/>
      <c r="BO196" s="10"/>
      <c r="BP196" s="10"/>
      <c r="BQ196" s="10"/>
      <c r="BR196" s="10"/>
      <c r="BS196" s="10"/>
      <c r="BT196" s="10"/>
      <c r="BU196" s="10"/>
      <c r="BV196" s="10"/>
      <c r="BW196" s="10"/>
      <c r="BX196" s="10"/>
      <c r="BY196" s="10"/>
    </row>
    <row r="197" spans="1:77" s="88" customFormat="1" ht="16.5" customHeight="1">
      <c r="A197" s="85"/>
      <c r="B197" s="434" t="str">
        <f>'Cal 1'!$F$21</f>
        <v/>
      </c>
      <c r="C197" s="434"/>
      <c r="D197" s="434"/>
      <c r="E197" s="434"/>
      <c r="F197" s="434"/>
      <c r="G197" s="434"/>
      <c r="H197" s="434"/>
      <c r="I197" s="435" t="str">
        <f>'Cal Ref'!$V$34</f>
        <v>P4</v>
      </c>
      <c r="J197" s="435"/>
      <c r="K197" s="435"/>
      <c r="L197" s="435"/>
      <c r="M197" s="435"/>
      <c r="N197" s="435"/>
      <c r="O197" s="435"/>
      <c r="P197" s="389" t="s">
        <v>447</v>
      </c>
      <c r="Q197" s="389"/>
      <c r="R197" s="389"/>
      <c r="S197" s="389"/>
      <c r="T197" s="389"/>
      <c r="U197" s="389"/>
      <c r="V197" s="389"/>
      <c r="W197" s="390" t="str">
        <f>'Cal 1'!$V$21</f>
        <v/>
      </c>
      <c r="X197" s="391"/>
      <c r="Y197" s="391"/>
      <c r="Z197" s="391"/>
      <c r="AA197" s="391"/>
      <c r="AB197" s="391"/>
      <c r="AC197" s="392"/>
      <c r="AD197" s="434" t="e">
        <f t="shared" si="7"/>
        <v>#VALUE!</v>
      </c>
      <c r="AE197" s="434"/>
      <c r="AF197" s="434"/>
      <c r="AG197" s="434"/>
      <c r="AH197" s="434"/>
      <c r="AI197" s="434" t="str">
        <f>'Cal 1'!$V$25</f>
        <v>-</v>
      </c>
      <c r="AJ197" s="434"/>
      <c r="AK197" s="434"/>
      <c r="AL197" s="434"/>
      <c r="AM197" s="434"/>
      <c r="AN197" s="10"/>
      <c r="AO197" s="10"/>
      <c r="AP197" s="10"/>
      <c r="AQ197" s="10"/>
      <c r="AR197" s="10"/>
      <c r="AS197" s="10"/>
      <c r="AT197" s="10"/>
      <c r="AU197" s="10"/>
      <c r="AV197" s="10"/>
      <c r="AW197" s="10"/>
      <c r="AX197" s="10"/>
      <c r="AY197" s="10"/>
      <c r="AZ197" s="10"/>
      <c r="BA197" s="10"/>
      <c r="BB197" s="10"/>
      <c r="BC197" s="10"/>
      <c r="BD197" s="10"/>
      <c r="BE197" s="10"/>
      <c r="BF197" s="10"/>
      <c r="BG197" s="10"/>
      <c r="BH197" s="10"/>
      <c r="BI197" s="10"/>
      <c r="BJ197" s="10"/>
      <c r="BK197" s="10"/>
      <c r="BL197" s="10"/>
      <c r="BM197" s="10"/>
      <c r="BN197" s="10"/>
      <c r="BO197" s="10"/>
      <c r="BP197" s="10"/>
      <c r="BQ197" s="10"/>
      <c r="BR197" s="10"/>
      <c r="BS197" s="10"/>
      <c r="BT197" s="10"/>
      <c r="BU197" s="10"/>
      <c r="BV197" s="10"/>
      <c r="BW197" s="10"/>
      <c r="BX197" s="10"/>
      <c r="BY197" s="10"/>
    </row>
    <row r="198" spans="1:77" s="88" customFormat="1" ht="16.5" customHeight="1">
      <c r="A198" s="85"/>
      <c r="B198" s="434" t="str">
        <f>'Cal 1'!$F$21</f>
        <v/>
      </c>
      <c r="C198" s="434"/>
      <c r="D198" s="434"/>
      <c r="E198" s="434"/>
      <c r="F198" s="434"/>
      <c r="G198" s="434"/>
      <c r="H198" s="434"/>
      <c r="I198" s="435" t="str">
        <f>'Cal Ref'!$Z$34</f>
        <v>P5</v>
      </c>
      <c r="J198" s="435"/>
      <c r="K198" s="435"/>
      <c r="L198" s="435"/>
      <c r="M198" s="435"/>
      <c r="N198" s="435"/>
      <c r="O198" s="435"/>
      <c r="P198" s="389" t="s">
        <v>448</v>
      </c>
      <c r="Q198" s="389"/>
      <c r="R198" s="389"/>
      <c r="S198" s="389"/>
      <c r="T198" s="389"/>
      <c r="U198" s="389"/>
      <c r="V198" s="389"/>
      <c r="W198" s="390" t="str">
        <f>'Cal 1'!$Z$21</f>
        <v/>
      </c>
      <c r="X198" s="391"/>
      <c r="Y198" s="391"/>
      <c r="Z198" s="391"/>
      <c r="AA198" s="391"/>
      <c r="AB198" s="391"/>
      <c r="AC198" s="392"/>
      <c r="AD198" s="434" t="e">
        <f t="shared" si="7"/>
        <v>#VALUE!</v>
      </c>
      <c r="AE198" s="434"/>
      <c r="AF198" s="434"/>
      <c r="AG198" s="434"/>
      <c r="AH198" s="434"/>
      <c r="AI198" s="434" t="str">
        <f>'Cal 1'!$Z$25</f>
        <v>-</v>
      </c>
      <c r="AJ198" s="434"/>
      <c r="AK198" s="434"/>
      <c r="AL198" s="434"/>
      <c r="AM198" s="434"/>
      <c r="AN198" s="10"/>
      <c r="AO198" s="10"/>
      <c r="AP198" s="10"/>
      <c r="AQ198" s="10"/>
      <c r="AR198" s="10"/>
      <c r="AS198" s="10"/>
      <c r="AT198" s="10"/>
      <c r="AU198" s="10"/>
      <c r="AV198" s="10"/>
      <c r="AW198" s="10"/>
      <c r="AX198" s="10"/>
      <c r="AY198" s="10"/>
      <c r="AZ198" s="10"/>
      <c r="BA198" s="10"/>
      <c r="BB198" s="10"/>
      <c r="BC198" s="10"/>
      <c r="BD198" s="10"/>
      <c r="BE198" s="10"/>
      <c r="BF198" s="10"/>
      <c r="BG198" s="10"/>
      <c r="BH198" s="10"/>
      <c r="BI198" s="10"/>
      <c r="BJ198" s="10"/>
      <c r="BK198" s="10"/>
      <c r="BL198" s="10"/>
      <c r="BM198" s="10"/>
      <c r="BN198" s="10"/>
      <c r="BO198" s="10"/>
      <c r="BP198" s="10"/>
      <c r="BQ198" s="10"/>
      <c r="BR198" s="10"/>
      <c r="BS198" s="10"/>
      <c r="BT198" s="10"/>
      <c r="BU198" s="10"/>
      <c r="BV198" s="10"/>
      <c r="BW198" s="10"/>
      <c r="BX198" s="10"/>
      <c r="BY198" s="10"/>
    </row>
    <row r="199" spans="1:77" s="88" customFormat="1" ht="16.5" customHeight="1">
      <c r="A199" s="85"/>
      <c r="B199" s="434" t="str">
        <f>'Cal 1'!$F$21</f>
        <v/>
      </c>
      <c r="C199" s="434"/>
      <c r="D199" s="434"/>
      <c r="E199" s="434"/>
      <c r="F199" s="434"/>
      <c r="G199" s="434"/>
      <c r="H199" s="434"/>
      <c r="I199" s="435" t="str">
        <f>'Cal Ref'!$AD$34</f>
        <v>P6</v>
      </c>
      <c r="J199" s="435"/>
      <c r="K199" s="435"/>
      <c r="L199" s="435"/>
      <c r="M199" s="435"/>
      <c r="N199" s="435"/>
      <c r="O199" s="435"/>
      <c r="P199" s="389" t="s">
        <v>449</v>
      </c>
      <c r="Q199" s="389"/>
      <c r="R199" s="389"/>
      <c r="S199" s="389"/>
      <c r="T199" s="389"/>
      <c r="U199" s="389"/>
      <c r="V199" s="389"/>
      <c r="W199" s="390" t="str">
        <f>'Cal 1'!$AD$21</f>
        <v/>
      </c>
      <c r="X199" s="391"/>
      <c r="Y199" s="391"/>
      <c r="Z199" s="391"/>
      <c r="AA199" s="391"/>
      <c r="AB199" s="391"/>
      <c r="AC199" s="392"/>
      <c r="AD199" s="434" t="e">
        <f t="shared" si="7"/>
        <v>#VALUE!</v>
      </c>
      <c r="AE199" s="434"/>
      <c r="AF199" s="434"/>
      <c r="AG199" s="434"/>
      <c r="AH199" s="434"/>
      <c r="AI199" s="434" t="str">
        <f>'Cal 1'!$AD$25</f>
        <v>-</v>
      </c>
      <c r="AJ199" s="434"/>
      <c r="AK199" s="434"/>
      <c r="AL199" s="434"/>
      <c r="AM199" s="434"/>
      <c r="AN199" s="10"/>
      <c r="AO199" s="10"/>
      <c r="AP199" s="10"/>
      <c r="AQ199" s="10"/>
      <c r="AR199" s="10"/>
      <c r="AS199" s="10"/>
      <c r="AT199" s="10"/>
      <c r="AU199" s="10"/>
      <c r="AV199" s="10"/>
      <c r="AW199" s="10"/>
      <c r="AX199" s="10"/>
      <c r="AY199" s="10"/>
      <c r="AZ199" s="10"/>
      <c r="BA199" s="10"/>
      <c r="BB199" s="10"/>
      <c r="BC199" s="10"/>
      <c r="BD199" s="10"/>
      <c r="BE199" s="10"/>
      <c r="BF199" s="10"/>
      <c r="BG199" s="10"/>
      <c r="BH199" s="10"/>
      <c r="BI199" s="10"/>
      <c r="BJ199" s="10"/>
      <c r="BK199" s="10"/>
      <c r="BL199" s="10"/>
      <c r="BM199" s="10"/>
      <c r="BN199" s="10"/>
      <c r="BO199" s="10"/>
      <c r="BP199" s="10"/>
      <c r="BQ199" s="10"/>
      <c r="BR199" s="10"/>
      <c r="BS199" s="10"/>
      <c r="BT199" s="10"/>
      <c r="BU199" s="10"/>
      <c r="BV199" s="10"/>
      <c r="BW199" s="10"/>
      <c r="BX199" s="10"/>
      <c r="BY199" s="10"/>
    </row>
    <row r="200" spans="1:77" s="88" customFormat="1" ht="16.5" customHeight="1">
      <c r="A200" s="85"/>
      <c r="B200" s="434" t="str">
        <f>'Cal 1'!$F$21</f>
        <v/>
      </c>
      <c r="C200" s="434"/>
      <c r="D200" s="434"/>
      <c r="E200" s="434"/>
      <c r="F200" s="434"/>
      <c r="G200" s="434"/>
      <c r="H200" s="434"/>
      <c r="I200" s="435" t="str">
        <f>'Cal Ref'!$AH$34</f>
        <v>P7</v>
      </c>
      <c r="J200" s="435"/>
      <c r="K200" s="435"/>
      <c r="L200" s="435"/>
      <c r="M200" s="435"/>
      <c r="N200" s="435"/>
      <c r="O200" s="435"/>
      <c r="P200" s="389" t="s">
        <v>450</v>
      </c>
      <c r="Q200" s="389"/>
      <c r="R200" s="389"/>
      <c r="S200" s="389"/>
      <c r="T200" s="389"/>
      <c r="U200" s="389"/>
      <c r="V200" s="389"/>
      <c r="W200" s="390" t="str">
        <f>'Cal 1'!$AH$21</f>
        <v/>
      </c>
      <c r="X200" s="391"/>
      <c r="Y200" s="391"/>
      <c r="Z200" s="391"/>
      <c r="AA200" s="391"/>
      <c r="AB200" s="391"/>
      <c r="AC200" s="392"/>
      <c r="AD200" s="434" t="e">
        <f t="shared" si="7"/>
        <v>#VALUE!</v>
      </c>
      <c r="AE200" s="434"/>
      <c r="AF200" s="434"/>
      <c r="AG200" s="434"/>
      <c r="AH200" s="434"/>
      <c r="AI200" s="434" t="str">
        <f>'Cal 1'!$AH$25</f>
        <v>-</v>
      </c>
      <c r="AJ200" s="434"/>
      <c r="AK200" s="434"/>
      <c r="AL200" s="434"/>
      <c r="AM200" s="434"/>
      <c r="AN200" s="10"/>
      <c r="AO200" s="10"/>
      <c r="AP200" s="10"/>
      <c r="AQ200" s="10"/>
      <c r="AR200" s="10"/>
      <c r="AS200" s="10"/>
      <c r="AT200" s="10"/>
      <c r="AU200" s="10"/>
      <c r="AV200" s="10"/>
      <c r="AW200" s="10"/>
      <c r="AX200" s="10"/>
      <c r="AY200" s="10"/>
      <c r="AZ200" s="10"/>
      <c r="BA200" s="10"/>
      <c r="BB200" s="10"/>
      <c r="BC200" s="10"/>
      <c r="BD200" s="10"/>
      <c r="BE200" s="10"/>
      <c r="BF200" s="10"/>
      <c r="BG200" s="10"/>
      <c r="BH200" s="10"/>
      <c r="BI200" s="10"/>
      <c r="BJ200" s="10"/>
      <c r="BK200" s="10"/>
      <c r="BL200" s="10"/>
      <c r="BM200" s="10"/>
      <c r="BN200" s="10"/>
      <c r="BO200" s="10"/>
      <c r="BP200" s="10"/>
      <c r="BQ200" s="10"/>
      <c r="BR200" s="10"/>
      <c r="BS200" s="10"/>
      <c r="BT200" s="10"/>
      <c r="BU200" s="10"/>
      <c r="BV200" s="10"/>
      <c r="BW200" s="10"/>
      <c r="BX200" s="10"/>
      <c r="BY200" s="10"/>
    </row>
    <row r="201" spans="1:77" s="88" customFormat="1" ht="16.5" customHeight="1">
      <c r="A201" s="85"/>
      <c r="B201" s="434" t="str">
        <f>'Cal 1'!$F$21</f>
        <v/>
      </c>
      <c r="C201" s="434"/>
      <c r="D201" s="434"/>
      <c r="E201" s="434"/>
      <c r="F201" s="434"/>
      <c r="G201" s="434"/>
      <c r="H201" s="434"/>
      <c r="I201" s="435" t="str">
        <f>'Cal Ref'!$AL$34</f>
        <v>P8</v>
      </c>
      <c r="J201" s="435"/>
      <c r="K201" s="435"/>
      <c r="L201" s="435"/>
      <c r="M201" s="435"/>
      <c r="N201" s="435"/>
      <c r="O201" s="435"/>
      <c r="P201" s="389" t="s">
        <v>451</v>
      </c>
      <c r="Q201" s="389"/>
      <c r="R201" s="389"/>
      <c r="S201" s="389"/>
      <c r="T201" s="389"/>
      <c r="U201" s="389"/>
      <c r="V201" s="389"/>
      <c r="W201" s="390" t="str">
        <f>'Cal 1'!$AL$21</f>
        <v/>
      </c>
      <c r="X201" s="391"/>
      <c r="Y201" s="391"/>
      <c r="Z201" s="391"/>
      <c r="AA201" s="391"/>
      <c r="AB201" s="391"/>
      <c r="AC201" s="392"/>
      <c r="AD201" s="434" t="e">
        <f t="shared" si="7"/>
        <v>#VALUE!</v>
      </c>
      <c r="AE201" s="434"/>
      <c r="AF201" s="434"/>
      <c r="AG201" s="434"/>
      <c r="AH201" s="434"/>
      <c r="AI201" s="434" t="str">
        <f>'Cal 1'!$AL$25</f>
        <v>-</v>
      </c>
      <c r="AJ201" s="434"/>
      <c r="AK201" s="434"/>
      <c r="AL201" s="434"/>
      <c r="AM201" s="434"/>
      <c r="AN201" s="10"/>
      <c r="AO201" s="10"/>
      <c r="AP201" s="10"/>
      <c r="AQ201" s="10"/>
      <c r="AR201" s="10"/>
      <c r="AS201" s="10"/>
      <c r="AT201" s="10"/>
      <c r="AU201" s="10"/>
      <c r="AV201" s="10"/>
      <c r="AW201" s="10"/>
      <c r="AX201" s="10"/>
      <c r="AY201" s="10"/>
      <c r="AZ201" s="10"/>
      <c r="BA201" s="10"/>
      <c r="BB201" s="10"/>
      <c r="BC201" s="10"/>
      <c r="BD201" s="10"/>
      <c r="BE201" s="10"/>
      <c r="BF201" s="10"/>
      <c r="BG201" s="10"/>
      <c r="BH201" s="10"/>
      <c r="BI201" s="10"/>
      <c r="BJ201" s="10"/>
      <c r="BK201" s="10"/>
      <c r="BL201" s="10"/>
      <c r="BM201" s="10"/>
      <c r="BN201" s="10"/>
      <c r="BO201" s="10"/>
      <c r="BP201" s="10"/>
      <c r="BQ201" s="10"/>
      <c r="BR201" s="10"/>
      <c r="BS201" s="10"/>
      <c r="BT201" s="10"/>
      <c r="BU201" s="10"/>
      <c r="BV201" s="10"/>
      <c r="BW201" s="10"/>
      <c r="BX201" s="10"/>
      <c r="BY201" s="10"/>
    </row>
    <row r="202" spans="1:77" s="88" customFormat="1" ht="16.5" customHeight="1">
      <c r="A202" s="85"/>
      <c r="B202" s="434" t="str">
        <f>'Cal 1'!$F$21</f>
        <v/>
      </c>
      <c r="C202" s="434"/>
      <c r="D202" s="434"/>
      <c r="E202" s="434"/>
      <c r="F202" s="434"/>
      <c r="G202" s="434"/>
      <c r="H202" s="434"/>
      <c r="I202" s="435" t="str">
        <f>'Cal Ref'!$AP$34</f>
        <v>P9</v>
      </c>
      <c r="J202" s="435"/>
      <c r="K202" s="435"/>
      <c r="L202" s="435"/>
      <c r="M202" s="435"/>
      <c r="N202" s="435"/>
      <c r="O202" s="435"/>
      <c r="P202" s="389" t="s">
        <v>452</v>
      </c>
      <c r="Q202" s="389"/>
      <c r="R202" s="389"/>
      <c r="S202" s="389"/>
      <c r="T202" s="389"/>
      <c r="U202" s="389"/>
      <c r="V202" s="389"/>
      <c r="W202" s="390" t="str">
        <f>'Cal 1'!$AP$21</f>
        <v/>
      </c>
      <c r="X202" s="391"/>
      <c r="Y202" s="391"/>
      <c r="Z202" s="391"/>
      <c r="AA202" s="391"/>
      <c r="AB202" s="391"/>
      <c r="AC202" s="392"/>
      <c r="AD202" s="434" t="e">
        <f t="shared" si="7"/>
        <v>#VALUE!</v>
      </c>
      <c r="AE202" s="434"/>
      <c r="AF202" s="434"/>
      <c r="AG202" s="434"/>
      <c r="AH202" s="434"/>
      <c r="AI202" s="434" t="str">
        <f>'Cal 1'!$AP$25</f>
        <v>-</v>
      </c>
      <c r="AJ202" s="434"/>
      <c r="AK202" s="434"/>
      <c r="AL202" s="434"/>
      <c r="AM202" s="434"/>
      <c r="AN202" s="10"/>
      <c r="AO202" s="10"/>
      <c r="AP202" s="10"/>
      <c r="AQ202" s="10"/>
      <c r="AR202" s="10"/>
      <c r="AS202" s="10"/>
      <c r="AT202" s="10"/>
      <c r="AU202" s="10"/>
      <c r="AV202" s="10"/>
      <c r="AW202" s="10"/>
      <c r="AX202" s="10"/>
      <c r="AY202" s="10"/>
      <c r="AZ202" s="10"/>
      <c r="BA202" s="10"/>
      <c r="BB202" s="10"/>
      <c r="BC202" s="10"/>
      <c r="BD202" s="10"/>
      <c r="BE202" s="10"/>
      <c r="BF202" s="10"/>
      <c r="BG202" s="10"/>
      <c r="BH202" s="10"/>
      <c r="BI202" s="10"/>
      <c r="BJ202" s="10"/>
      <c r="BK202" s="10"/>
      <c r="BL202" s="10"/>
      <c r="BM202" s="10"/>
      <c r="BN202" s="10"/>
      <c r="BO202" s="10"/>
      <c r="BP202" s="10"/>
      <c r="BQ202" s="10"/>
      <c r="BR202" s="10"/>
      <c r="BS202" s="10"/>
      <c r="BT202" s="10"/>
      <c r="BU202" s="10"/>
      <c r="BV202" s="10"/>
      <c r="BW202" s="10"/>
      <c r="BX202" s="10"/>
      <c r="BY202" s="10"/>
    </row>
    <row r="203" spans="1:77" s="88" customFormat="1" ht="16.5" customHeight="1" thickBot="1">
      <c r="A203" s="85"/>
      <c r="B203" s="415" t="str">
        <f>'Cal 1'!$F$21</f>
        <v/>
      </c>
      <c r="C203" s="415"/>
      <c r="D203" s="415"/>
      <c r="E203" s="415"/>
      <c r="F203" s="415"/>
      <c r="G203" s="415"/>
      <c r="H203" s="415"/>
      <c r="I203" s="413" t="str">
        <f>'Cal Ref'!$AT$34</f>
        <v>P10</v>
      </c>
      <c r="J203" s="413"/>
      <c r="K203" s="413"/>
      <c r="L203" s="413"/>
      <c r="M203" s="413"/>
      <c r="N203" s="413"/>
      <c r="O203" s="413"/>
      <c r="P203" s="430" t="s">
        <v>453</v>
      </c>
      <c r="Q203" s="430"/>
      <c r="R203" s="430"/>
      <c r="S203" s="430"/>
      <c r="T203" s="430"/>
      <c r="U203" s="430"/>
      <c r="V203" s="430"/>
      <c r="W203" s="431" t="str">
        <f>'Cal 1'!$AT$21</f>
        <v/>
      </c>
      <c r="X203" s="432"/>
      <c r="Y203" s="432"/>
      <c r="Z203" s="432"/>
      <c r="AA203" s="432"/>
      <c r="AB203" s="432"/>
      <c r="AC203" s="433"/>
      <c r="AD203" s="415" t="e">
        <f>B203-W203</f>
        <v>#VALUE!</v>
      </c>
      <c r="AE203" s="415"/>
      <c r="AF203" s="415"/>
      <c r="AG203" s="415"/>
      <c r="AH203" s="415"/>
      <c r="AI203" s="415" t="str">
        <f>'Cal 1'!$AT$25</f>
        <v>-</v>
      </c>
      <c r="AJ203" s="415"/>
      <c r="AK203" s="415"/>
      <c r="AL203" s="415"/>
      <c r="AM203" s="415"/>
      <c r="AN203" s="10"/>
      <c r="AO203" s="10"/>
      <c r="AP203" s="10"/>
      <c r="AQ203" s="10"/>
      <c r="AR203" s="10"/>
      <c r="AS203" s="10"/>
      <c r="AT203" s="10"/>
      <c r="AU203" s="10"/>
      <c r="AV203" s="10"/>
      <c r="AW203" s="10"/>
      <c r="AX203" s="10"/>
      <c r="AY203" s="10"/>
      <c r="AZ203" s="10"/>
      <c r="BA203" s="10"/>
      <c r="BB203" s="10"/>
      <c r="BC203" s="10"/>
      <c r="BD203" s="10"/>
      <c r="BE203" s="10"/>
      <c r="BF203" s="10"/>
      <c r="BG203" s="10"/>
      <c r="BH203" s="10"/>
      <c r="BI203" s="10"/>
      <c r="BJ203" s="10"/>
      <c r="BK203" s="10"/>
      <c r="BL203" s="10"/>
      <c r="BM203" s="10"/>
      <c r="BN203" s="10"/>
      <c r="BO203" s="10"/>
      <c r="BP203" s="10"/>
      <c r="BQ203" s="10"/>
      <c r="BR203" s="10"/>
      <c r="BS203" s="10"/>
      <c r="BT203" s="10"/>
      <c r="BU203" s="10"/>
      <c r="BV203" s="10"/>
      <c r="BW203" s="10"/>
      <c r="BX203" s="10"/>
      <c r="BY203" s="10"/>
    </row>
    <row r="204" spans="1:77" s="88" customFormat="1" ht="16.5" customHeight="1">
      <c r="A204" s="85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45"/>
      <c r="X204" s="145"/>
      <c r="Y204" s="145"/>
      <c r="Z204" s="145"/>
      <c r="AA204" s="145"/>
      <c r="AB204" s="145"/>
      <c r="AC204" s="145"/>
      <c r="AD204" s="145"/>
      <c r="AE204" s="145"/>
      <c r="AF204" s="145"/>
      <c r="AG204" s="145"/>
      <c r="AH204" s="145"/>
      <c r="AI204" s="28"/>
      <c r="AJ204" s="28"/>
      <c r="AK204" s="28"/>
      <c r="AL204" s="28"/>
      <c r="AM204" s="28"/>
      <c r="AN204" s="10"/>
      <c r="AO204" s="10"/>
      <c r="AP204" s="10"/>
      <c r="AQ204" s="10"/>
      <c r="AR204" s="10"/>
      <c r="AS204" s="10"/>
      <c r="AT204" s="10"/>
      <c r="AU204" s="10"/>
      <c r="AV204" s="10"/>
      <c r="AW204" s="10"/>
      <c r="AX204" s="10"/>
      <c r="AY204" s="10"/>
      <c r="AZ204" s="10"/>
      <c r="BA204" s="10"/>
      <c r="BB204" s="10"/>
      <c r="BC204" s="10"/>
      <c r="BD204" s="10"/>
      <c r="BE204" s="10"/>
      <c r="BF204" s="10"/>
      <c r="BG204" s="10"/>
      <c r="BH204" s="10"/>
      <c r="BI204" s="10"/>
      <c r="BJ204" s="10"/>
      <c r="BK204" s="10"/>
      <c r="BL204" s="10"/>
      <c r="BM204" s="10"/>
      <c r="BN204" s="10"/>
      <c r="BO204" s="10"/>
      <c r="BP204" s="10"/>
      <c r="BQ204" s="10"/>
      <c r="BR204" s="10"/>
      <c r="BS204" s="10"/>
      <c r="BT204" s="10"/>
      <c r="BU204" s="10"/>
      <c r="BV204" s="10"/>
      <c r="BW204" s="10"/>
      <c r="BX204" s="10"/>
      <c r="BY204" s="10"/>
    </row>
    <row r="205" spans="1:77" ht="16.5" customHeight="1">
      <c r="A205" s="412" t="s">
        <v>439</v>
      </c>
      <c r="B205" s="412"/>
      <c r="C205" s="412"/>
      <c r="D205" s="412"/>
      <c r="E205" s="412"/>
      <c r="F205" s="412"/>
      <c r="G205" s="412"/>
      <c r="H205" s="412"/>
      <c r="I205" s="412"/>
      <c r="J205" s="412"/>
      <c r="K205" s="412"/>
      <c r="L205" s="412"/>
      <c r="M205" s="412"/>
      <c r="N205" s="412"/>
      <c r="O205" s="412"/>
      <c r="P205" s="412"/>
      <c r="Q205" s="412"/>
      <c r="R205" s="412"/>
      <c r="S205" s="412"/>
      <c r="T205" s="412"/>
      <c r="U205" s="412"/>
      <c r="V205" s="412"/>
      <c r="W205" s="412"/>
      <c r="X205" s="412"/>
      <c r="Y205" s="412"/>
      <c r="Z205" s="412"/>
      <c r="AA205" s="412"/>
      <c r="AB205" s="412"/>
      <c r="AC205" s="412"/>
      <c r="AD205" s="412"/>
      <c r="AE205" s="412"/>
      <c r="AF205" s="412"/>
      <c r="AG205" s="412"/>
      <c r="AH205" s="412"/>
      <c r="AI205" s="412"/>
      <c r="AJ205" s="412"/>
      <c r="AK205" s="412"/>
      <c r="AL205" s="412"/>
      <c r="AM205" s="412"/>
    </row>
    <row r="206" spans="1:77" ht="16.5" customHeight="1"/>
    <row r="207" spans="1:77" ht="16.5" customHeight="1"/>
    <row r="208" spans="1:77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  <row r="268" ht="16.5" customHeight="1"/>
    <row r="269" ht="16.5" customHeight="1"/>
    <row r="270" ht="16.5" customHeight="1"/>
    <row r="271" ht="16.5" customHeight="1"/>
    <row r="272" ht="16.5" customHeight="1"/>
    <row r="273" ht="16.5" customHeight="1"/>
    <row r="274" ht="16.5" customHeight="1"/>
    <row r="275" ht="16.5" customHeight="1"/>
    <row r="276" ht="16.5" customHeight="1"/>
    <row r="277" ht="16.5" customHeight="1"/>
    <row r="278" ht="16.5" customHeight="1"/>
    <row r="279" ht="16.5" customHeight="1"/>
    <row r="280" ht="16.5" customHeight="1"/>
    <row r="281" ht="16.5" customHeight="1"/>
    <row r="282" ht="16.5" customHeight="1"/>
    <row r="283" ht="16.5" customHeight="1"/>
    <row r="284" ht="16.5" customHeight="1"/>
    <row r="285" ht="16.5" customHeight="1"/>
    <row r="286" ht="16.5" customHeight="1"/>
    <row r="287" ht="16.5" customHeight="1"/>
    <row r="288" ht="16.5" customHeight="1"/>
    <row r="289" ht="16.5" customHeight="1"/>
    <row r="290" ht="16.5" customHeight="1"/>
    <row r="291" ht="16.5" customHeight="1"/>
    <row r="292" ht="16.5" customHeight="1"/>
    <row r="293" ht="16.5" customHeight="1"/>
    <row r="294" ht="16.5" customHeight="1"/>
    <row r="295" ht="16.5" customHeight="1"/>
    <row r="296" ht="16.5" customHeight="1"/>
    <row r="297" ht="16.5" customHeight="1"/>
    <row r="298" ht="16.5" customHeight="1"/>
    <row r="299" ht="16.5" customHeight="1"/>
    <row r="300" ht="16.5" customHeight="1"/>
    <row r="301" ht="16.5" customHeight="1"/>
    <row r="302" ht="16.5" customHeight="1"/>
    <row r="303" ht="16.5" customHeight="1"/>
    <row r="304" ht="16.5" customHeight="1"/>
    <row r="305" ht="16.5" customHeight="1"/>
    <row r="306" ht="16.5" customHeight="1"/>
    <row r="307" ht="16.5" customHeight="1"/>
    <row r="308" ht="16.5" customHeight="1"/>
    <row r="309" ht="16.5" customHeight="1"/>
  </sheetData>
  <protectedRanges>
    <protectedRange sqref="K63 K109 K159" name="Range1_1_1"/>
  </protectedRanges>
  <mergeCells count="620">
    <mergeCell ref="H2:AB2"/>
    <mergeCell ref="H3:AH3"/>
    <mergeCell ref="H4:AB4"/>
    <mergeCell ref="B7:AM8"/>
    <mergeCell ref="B138:H138"/>
    <mergeCell ref="I138:O138"/>
    <mergeCell ref="P138:V138"/>
    <mergeCell ref="W138:AC138"/>
    <mergeCell ref="AD138:AH138"/>
    <mergeCell ref="AI138:AM138"/>
    <mergeCell ref="B134:H134"/>
    <mergeCell ref="I134:O134"/>
    <mergeCell ref="P134:V134"/>
    <mergeCell ref="W134:AC134"/>
    <mergeCell ref="AD134:AH134"/>
    <mergeCell ref="AI134:AM134"/>
    <mergeCell ref="B135:H135"/>
    <mergeCell ref="I135:O135"/>
    <mergeCell ref="P135:V135"/>
    <mergeCell ref="W135:AC135"/>
    <mergeCell ref="AD135:AH135"/>
    <mergeCell ref="AI135:AM135"/>
    <mergeCell ref="B132:H132"/>
    <mergeCell ref="I132:O132"/>
    <mergeCell ref="B139:H139"/>
    <mergeCell ref="I139:O139"/>
    <mergeCell ref="P139:V139"/>
    <mergeCell ref="W139:AC139"/>
    <mergeCell ref="AD139:AH139"/>
    <mergeCell ref="AI139:AM139"/>
    <mergeCell ref="B136:H136"/>
    <mergeCell ref="I136:O136"/>
    <mergeCell ref="P136:V136"/>
    <mergeCell ref="W136:AC136"/>
    <mergeCell ref="AD136:AH136"/>
    <mergeCell ref="AI136:AM136"/>
    <mergeCell ref="B137:H137"/>
    <mergeCell ref="I137:O137"/>
    <mergeCell ref="P137:V137"/>
    <mergeCell ref="W137:AC137"/>
    <mergeCell ref="AD137:AH137"/>
    <mergeCell ref="AI137:AM137"/>
    <mergeCell ref="P132:V132"/>
    <mergeCell ref="W132:AC132"/>
    <mergeCell ref="AD132:AH132"/>
    <mergeCell ref="AI132:AM132"/>
    <mergeCell ref="B133:H133"/>
    <mergeCell ref="I133:O133"/>
    <mergeCell ref="P133:V133"/>
    <mergeCell ref="W133:AC133"/>
    <mergeCell ref="AD133:AH133"/>
    <mergeCell ref="AI133:AM133"/>
    <mergeCell ref="AI129:AM129"/>
    <mergeCell ref="B130:H130"/>
    <mergeCell ref="I130:O130"/>
    <mergeCell ref="P130:V130"/>
    <mergeCell ref="W130:AC130"/>
    <mergeCell ref="AD130:AH130"/>
    <mergeCell ref="AI130:AM130"/>
    <mergeCell ref="B131:H131"/>
    <mergeCell ref="I131:O131"/>
    <mergeCell ref="P131:V131"/>
    <mergeCell ref="W131:AC131"/>
    <mergeCell ref="AD131:AH131"/>
    <mergeCell ref="AI131:AM131"/>
    <mergeCell ref="B124:H124"/>
    <mergeCell ref="I124:O124"/>
    <mergeCell ref="P124:V124"/>
    <mergeCell ref="W124:AC124"/>
    <mergeCell ref="AD124:AH124"/>
    <mergeCell ref="AI124:AM124"/>
    <mergeCell ref="B125:H125"/>
    <mergeCell ref="I125:O125"/>
    <mergeCell ref="P125:V125"/>
    <mergeCell ref="W125:AC125"/>
    <mergeCell ref="AD125:AH125"/>
    <mergeCell ref="AI125:AM125"/>
    <mergeCell ref="B122:H122"/>
    <mergeCell ref="I122:O122"/>
    <mergeCell ref="P122:V122"/>
    <mergeCell ref="W122:AC122"/>
    <mergeCell ref="AD122:AH122"/>
    <mergeCell ref="AI122:AM122"/>
    <mergeCell ref="B123:H123"/>
    <mergeCell ref="I123:O123"/>
    <mergeCell ref="P123:V123"/>
    <mergeCell ref="W123:AC123"/>
    <mergeCell ref="AD123:AH123"/>
    <mergeCell ref="AI123:AM123"/>
    <mergeCell ref="B120:H120"/>
    <mergeCell ref="I120:O120"/>
    <mergeCell ref="P120:V120"/>
    <mergeCell ref="W120:AC120"/>
    <mergeCell ref="AD120:AH120"/>
    <mergeCell ref="AI120:AM120"/>
    <mergeCell ref="B121:H121"/>
    <mergeCell ref="I121:O121"/>
    <mergeCell ref="P121:V121"/>
    <mergeCell ref="W121:AC121"/>
    <mergeCell ref="AD121:AH121"/>
    <mergeCell ref="AI121:AM121"/>
    <mergeCell ref="B118:H118"/>
    <mergeCell ref="I118:O118"/>
    <mergeCell ref="P118:V118"/>
    <mergeCell ref="W118:AC118"/>
    <mergeCell ref="AD118:AH118"/>
    <mergeCell ref="AI118:AM118"/>
    <mergeCell ref="B119:H119"/>
    <mergeCell ref="I119:O119"/>
    <mergeCell ref="P119:V119"/>
    <mergeCell ref="W119:AC119"/>
    <mergeCell ref="AD119:AH119"/>
    <mergeCell ref="AI119:AM119"/>
    <mergeCell ref="B116:H116"/>
    <mergeCell ref="I116:O116"/>
    <mergeCell ref="P116:V116"/>
    <mergeCell ref="W116:AC116"/>
    <mergeCell ref="AD116:AH116"/>
    <mergeCell ref="AI116:AM116"/>
    <mergeCell ref="B117:H117"/>
    <mergeCell ref="I117:O117"/>
    <mergeCell ref="P117:V117"/>
    <mergeCell ref="W117:AC117"/>
    <mergeCell ref="AD117:AH117"/>
    <mergeCell ref="AI117:AM117"/>
    <mergeCell ref="B114:H114"/>
    <mergeCell ref="I114:AC114"/>
    <mergeCell ref="AD114:AH114"/>
    <mergeCell ref="AI114:AM114"/>
    <mergeCell ref="B115:H115"/>
    <mergeCell ref="I115:O115"/>
    <mergeCell ref="P115:V115"/>
    <mergeCell ref="W115:AC115"/>
    <mergeCell ref="AD115:AH115"/>
    <mergeCell ref="AI115:AM115"/>
    <mergeCell ref="B200:H200"/>
    <mergeCell ref="I200:O200"/>
    <mergeCell ref="P200:V200"/>
    <mergeCell ref="W200:AC200"/>
    <mergeCell ref="AD200:AH200"/>
    <mergeCell ref="AI200:AM200"/>
    <mergeCell ref="B203:H203"/>
    <mergeCell ref="I203:O203"/>
    <mergeCell ref="P203:V203"/>
    <mergeCell ref="W203:AC203"/>
    <mergeCell ref="AD203:AH203"/>
    <mergeCell ref="AI203:AM203"/>
    <mergeCell ref="B201:H201"/>
    <mergeCell ref="I201:O201"/>
    <mergeCell ref="P201:V201"/>
    <mergeCell ref="W201:AC201"/>
    <mergeCell ref="AD201:AH201"/>
    <mergeCell ref="AI201:AM201"/>
    <mergeCell ref="B202:H202"/>
    <mergeCell ref="I202:O202"/>
    <mergeCell ref="P202:V202"/>
    <mergeCell ref="W202:AC202"/>
    <mergeCell ref="AD202:AH202"/>
    <mergeCell ref="AI202:AM202"/>
    <mergeCell ref="B198:H198"/>
    <mergeCell ref="I198:O198"/>
    <mergeCell ref="P198:V198"/>
    <mergeCell ref="W198:AC198"/>
    <mergeCell ref="AD198:AH198"/>
    <mergeCell ref="AI198:AM198"/>
    <mergeCell ref="B199:H199"/>
    <mergeCell ref="I199:O199"/>
    <mergeCell ref="P199:V199"/>
    <mergeCell ref="W199:AC199"/>
    <mergeCell ref="AD199:AH199"/>
    <mergeCell ref="AI199:AM199"/>
    <mergeCell ref="B196:H196"/>
    <mergeCell ref="I196:O196"/>
    <mergeCell ref="P196:V196"/>
    <mergeCell ref="W196:AC196"/>
    <mergeCell ref="AD196:AH196"/>
    <mergeCell ref="AI196:AM196"/>
    <mergeCell ref="B197:H197"/>
    <mergeCell ref="I197:O197"/>
    <mergeCell ref="P197:V197"/>
    <mergeCell ref="W197:AC197"/>
    <mergeCell ref="AD197:AH197"/>
    <mergeCell ref="AI197:AM197"/>
    <mergeCell ref="B194:H194"/>
    <mergeCell ref="I194:O194"/>
    <mergeCell ref="P194:V194"/>
    <mergeCell ref="W194:AC194"/>
    <mergeCell ref="AD194:AH194"/>
    <mergeCell ref="AI194:AM194"/>
    <mergeCell ref="B195:H195"/>
    <mergeCell ref="I195:O195"/>
    <mergeCell ref="P195:V195"/>
    <mergeCell ref="W195:AC195"/>
    <mergeCell ref="AD195:AH195"/>
    <mergeCell ref="AI195:AM195"/>
    <mergeCell ref="B191:AM191"/>
    <mergeCell ref="B192:H192"/>
    <mergeCell ref="I192:AC192"/>
    <mergeCell ref="AD192:AH192"/>
    <mergeCell ref="AI192:AM192"/>
    <mergeCell ref="B193:H193"/>
    <mergeCell ref="I193:O193"/>
    <mergeCell ref="P193:V193"/>
    <mergeCell ref="W193:AC193"/>
    <mergeCell ref="AD193:AH193"/>
    <mergeCell ref="AI193:AM193"/>
    <mergeCell ref="B188:H188"/>
    <mergeCell ref="I188:O188"/>
    <mergeCell ref="P188:V188"/>
    <mergeCell ref="W188:AC188"/>
    <mergeCell ref="AD188:AH188"/>
    <mergeCell ref="AI188:AM188"/>
    <mergeCell ref="B189:H189"/>
    <mergeCell ref="I189:O189"/>
    <mergeCell ref="P189:V189"/>
    <mergeCell ref="W189:AC189"/>
    <mergeCell ref="AD189:AH189"/>
    <mergeCell ref="AI189:AM189"/>
    <mergeCell ref="B186:H186"/>
    <mergeCell ref="I186:O186"/>
    <mergeCell ref="P186:V186"/>
    <mergeCell ref="W186:AC186"/>
    <mergeCell ref="AD186:AH186"/>
    <mergeCell ref="AI186:AM186"/>
    <mergeCell ref="B187:H187"/>
    <mergeCell ref="I187:O187"/>
    <mergeCell ref="P187:V187"/>
    <mergeCell ref="W187:AC187"/>
    <mergeCell ref="AD187:AH187"/>
    <mergeCell ref="AI187:AM187"/>
    <mergeCell ref="B184:H184"/>
    <mergeCell ref="I184:O184"/>
    <mergeCell ref="P184:V184"/>
    <mergeCell ref="W184:AC184"/>
    <mergeCell ref="AD184:AH184"/>
    <mergeCell ref="AI184:AM184"/>
    <mergeCell ref="B185:H185"/>
    <mergeCell ref="I185:O185"/>
    <mergeCell ref="P185:V185"/>
    <mergeCell ref="W185:AC185"/>
    <mergeCell ref="AD185:AH185"/>
    <mergeCell ref="AI185:AM185"/>
    <mergeCell ref="B182:H182"/>
    <mergeCell ref="I182:O182"/>
    <mergeCell ref="P182:V182"/>
    <mergeCell ref="W182:AC182"/>
    <mergeCell ref="AD182:AH182"/>
    <mergeCell ref="AI182:AM182"/>
    <mergeCell ref="B183:H183"/>
    <mergeCell ref="I183:O183"/>
    <mergeCell ref="P183:V183"/>
    <mergeCell ref="W183:AC183"/>
    <mergeCell ref="AD183:AH183"/>
    <mergeCell ref="AI183:AM183"/>
    <mergeCell ref="B180:H180"/>
    <mergeCell ref="I180:O180"/>
    <mergeCell ref="P180:V180"/>
    <mergeCell ref="W180:AC180"/>
    <mergeCell ref="AD180:AH180"/>
    <mergeCell ref="AI180:AM180"/>
    <mergeCell ref="B181:H181"/>
    <mergeCell ref="I181:O181"/>
    <mergeCell ref="P181:V181"/>
    <mergeCell ref="W181:AC181"/>
    <mergeCell ref="AD181:AH181"/>
    <mergeCell ref="AI181:AM181"/>
    <mergeCell ref="B177:AM177"/>
    <mergeCell ref="B178:H178"/>
    <mergeCell ref="I178:AC178"/>
    <mergeCell ref="AD178:AH178"/>
    <mergeCell ref="AI178:AM178"/>
    <mergeCell ref="B179:H179"/>
    <mergeCell ref="I179:O179"/>
    <mergeCell ref="P179:V179"/>
    <mergeCell ref="W179:AC179"/>
    <mergeCell ref="AD179:AH179"/>
    <mergeCell ref="AI179:AM179"/>
    <mergeCell ref="J11:AM11"/>
    <mergeCell ref="J12:AM12"/>
    <mergeCell ref="B13:F13"/>
    <mergeCell ref="J14:W14"/>
    <mergeCell ref="AD14:AM14"/>
    <mergeCell ref="J15:W15"/>
    <mergeCell ref="AD15:AM15"/>
    <mergeCell ref="E9:K9"/>
    <mergeCell ref="Y9:AH9"/>
    <mergeCell ref="AI9:AM9"/>
    <mergeCell ref="D10:I10"/>
    <mergeCell ref="AC10:AH10"/>
    <mergeCell ref="AI10:AM10"/>
    <mergeCell ref="J28:Q28"/>
    <mergeCell ref="B31:AM31"/>
    <mergeCell ref="B37:M37"/>
    <mergeCell ref="D45:P45"/>
    <mergeCell ref="W45:AI45"/>
    <mergeCell ref="E46:O46"/>
    <mergeCell ref="X46:AH46"/>
    <mergeCell ref="J16:AM16"/>
    <mergeCell ref="C18:AA18"/>
    <mergeCell ref="J21:Y21"/>
    <mergeCell ref="J22:Y22"/>
    <mergeCell ref="J23:Y23"/>
    <mergeCell ref="J24:Y24"/>
    <mergeCell ref="S60:Z60"/>
    <mergeCell ref="AA60:AG60"/>
    <mergeCell ref="S61:Z61"/>
    <mergeCell ref="AA61:AG61"/>
    <mergeCell ref="Z56:AH56"/>
    <mergeCell ref="AI56:AM56"/>
    <mergeCell ref="AA57:AH57"/>
    <mergeCell ref="AI57:AM57"/>
    <mergeCell ref="S59:Z59"/>
    <mergeCell ref="AA59:AG59"/>
    <mergeCell ref="AH59:AM59"/>
    <mergeCell ref="AH60:AM60"/>
    <mergeCell ref="AH61:AM61"/>
    <mergeCell ref="B67:AM67"/>
    <mergeCell ref="B68:H68"/>
    <mergeCell ref="I68:AC68"/>
    <mergeCell ref="AD68:AH68"/>
    <mergeCell ref="AI68:AM68"/>
    <mergeCell ref="B69:H69"/>
    <mergeCell ref="I69:O69"/>
    <mergeCell ref="P69:V69"/>
    <mergeCell ref="W69:AC69"/>
    <mergeCell ref="AD69:AH69"/>
    <mergeCell ref="B71:H71"/>
    <mergeCell ref="I71:O71"/>
    <mergeCell ref="P71:V71"/>
    <mergeCell ref="W71:AC71"/>
    <mergeCell ref="AD71:AH71"/>
    <mergeCell ref="AI71:AM71"/>
    <mergeCell ref="AI69:AM69"/>
    <mergeCell ref="B70:H70"/>
    <mergeCell ref="I70:O70"/>
    <mergeCell ref="P70:V70"/>
    <mergeCell ref="W70:AC70"/>
    <mergeCell ref="AD70:AH70"/>
    <mergeCell ref="AI70:AM70"/>
    <mergeCell ref="B73:H73"/>
    <mergeCell ref="I73:O73"/>
    <mergeCell ref="P73:V73"/>
    <mergeCell ref="W73:AC73"/>
    <mergeCell ref="AD73:AH73"/>
    <mergeCell ref="AI73:AM73"/>
    <mergeCell ref="B72:H72"/>
    <mergeCell ref="I72:O72"/>
    <mergeCell ref="P72:V72"/>
    <mergeCell ref="W72:AC72"/>
    <mergeCell ref="AD72:AH72"/>
    <mergeCell ref="AI72:AM72"/>
    <mergeCell ref="B75:H75"/>
    <mergeCell ref="I75:O75"/>
    <mergeCell ref="P75:V75"/>
    <mergeCell ref="W75:AC75"/>
    <mergeCell ref="AD75:AH75"/>
    <mergeCell ref="AI75:AM75"/>
    <mergeCell ref="B74:H74"/>
    <mergeCell ref="I74:O74"/>
    <mergeCell ref="P74:V74"/>
    <mergeCell ref="W74:AC74"/>
    <mergeCell ref="AD74:AH74"/>
    <mergeCell ref="AI74:AM74"/>
    <mergeCell ref="B77:H77"/>
    <mergeCell ref="I77:O77"/>
    <mergeCell ref="P77:V77"/>
    <mergeCell ref="W77:AC77"/>
    <mergeCell ref="AD77:AH77"/>
    <mergeCell ref="AI77:AM77"/>
    <mergeCell ref="B76:H76"/>
    <mergeCell ref="I76:O76"/>
    <mergeCell ref="P76:V76"/>
    <mergeCell ref="W76:AC76"/>
    <mergeCell ref="AD76:AH76"/>
    <mergeCell ref="AI76:AM76"/>
    <mergeCell ref="B79:H79"/>
    <mergeCell ref="I79:O79"/>
    <mergeCell ref="P79:V79"/>
    <mergeCell ref="W79:AC79"/>
    <mergeCell ref="AD79:AH79"/>
    <mergeCell ref="AI79:AM79"/>
    <mergeCell ref="B78:H78"/>
    <mergeCell ref="I78:O78"/>
    <mergeCell ref="P78:V78"/>
    <mergeCell ref="W78:AC78"/>
    <mergeCell ref="AD78:AH78"/>
    <mergeCell ref="AI78:AM78"/>
    <mergeCell ref="B81:AM81"/>
    <mergeCell ref="B82:H82"/>
    <mergeCell ref="I82:AC82"/>
    <mergeCell ref="AD82:AH82"/>
    <mergeCell ref="AI82:AM82"/>
    <mergeCell ref="B83:H83"/>
    <mergeCell ref="I83:O83"/>
    <mergeCell ref="P83:V83"/>
    <mergeCell ref="W83:AC83"/>
    <mergeCell ref="AD83:AH83"/>
    <mergeCell ref="AI83:AM83"/>
    <mergeCell ref="B84:H84"/>
    <mergeCell ref="I84:O84"/>
    <mergeCell ref="P84:V84"/>
    <mergeCell ref="W84:AC84"/>
    <mergeCell ref="AD84:AH84"/>
    <mergeCell ref="AI84:AM84"/>
    <mergeCell ref="A205:AM205"/>
    <mergeCell ref="B86:H86"/>
    <mergeCell ref="I86:O86"/>
    <mergeCell ref="P86:V86"/>
    <mergeCell ref="W86:AC86"/>
    <mergeCell ref="AD86:AH86"/>
    <mergeCell ref="AI86:AM86"/>
    <mergeCell ref="B85:H85"/>
    <mergeCell ref="I85:O85"/>
    <mergeCell ref="P85:V85"/>
    <mergeCell ref="W85:AC85"/>
    <mergeCell ref="AD85:AH85"/>
    <mergeCell ref="AI85:AM85"/>
    <mergeCell ref="B88:H88"/>
    <mergeCell ref="I88:O88"/>
    <mergeCell ref="P88:V88"/>
    <mergeCell ref="W88:AC88"/>
    <mergeCell ref="AD88:AH88"/>
    <mergeCell ref="AI88:AM88"/>
    <mergeCell ref="B87:H87"/>
    <mergeCell ref="I87:O87"/>
    <mergeCell ref="P87:V87"/>
    <mergeCell ref="W87:AC87"/>
    <mergeCell ref="AD87:AH87"/>
    <mergeCell ref="AI87:AM87"/>
    <mergeCell ref="B90:H90"/>
    <mergeCell ref="I90:O90"/>
    <mergeCell ref="P90:V90"/>
    <mergeCell ref="W90:AC90"/>
    <mergeCell ref="AD90:AH90"/>
    <mergeCell ref="AI90:AM90"/>
    <mergeCell ref="B89:H89"/>
    <mergeCell ref="I89:O89"/>
    <mergeCell ref="P89:V89"/>
    <mergeCell ref="W89:AC89"/>
    <mergeCell ref="AD89:AH89"/>
    <mergeCell ref="AI89:AM89"/>
    <mergeCell ref="B92:H92"/>
    <mergeCell ref="I92:O92"/>
    <mergeCell ref="P92:V92"/>
    <mergeCell ref="W92:AC92"/>
    <mergeCell ref="AD92:AH92"/>
    <mergeCell ref="AI92:AM92"/>
    <mergeCell ref="B91:H91"/>
    <mergeCell ref="I91:O91"/>
    <mergeCell ref="P91:V91"/>
    <mergeCell ref="W91:AC91"/>
    <mergeCell ref="AD91:AH91"/>
    <mergeCell ref="AI91:AM91"/>
    <mergeCell ref="B153:H153"/>
    <mergeCell ref="AD153:AH153"/>
    <mergeCell ref="AI153:AM153"/>
    <mergeCell ref="B93:H93"/>
    <mergeCell ref="I93:O93"/>
    <mergeCell ref="P93:V93"/>
    <mergeCell ref="W93:AC93"/>
    <mergeCell ref="AD93:AH93"/>
    <mergeCell ref="AI93:AM93"/>
    <mergeCell ref="AI143:AM143"/>
    <mergeCell ref="B144:H144"/>
    <mergeCell ref="I144:O144"/>
    <mergeCell ref="P144:V144"/>
    <mergeCell ref="W144:AC144"/>
    <mergeCell ref="AD144:AH144"/>
    <mergeCell ref="AI144:AM144"/>
    <mergeCell ref="B141:AM141"/>
    <mergeCell ref="B142:H142"/>
    <mergeCell ref="I142:AC142"/>
    <mergeCell ref="AD142:AH142"/>
    <mergeCell ref="AI142:AM142"/>
    <mergeCell ref="B143:H143"/>
    <mergeCell ref="I143:O143"/>
    <mergeCell ref="B113:AM113"/>
    <mergeCell ref="B146:H146"/>
    <mergeCell ref="I146:O146"/>
    <mergeCell ref="P146:V146"/>
    <mergeCell ref="W146:AC146"/>
    <mergeCell ref="AD146:AH146"/>
    <mergeCell ref="AI146:AM146"/>
    <mergeCell ref="B145:H145"/>
    <mergeCell ref="I145:O145"/>
    <mergeCell ref="P145:V145"/>
    <mergeCell ref="W145:AC145"/>
    <mergeCell ref="AD145:AH145"/>
    <mergeCell ref="AI145:AM145"/>
    <mergeCell ref="B148:H148"/>
    <mergeCell ref="I148:O148"/>
    <mergeCell ref="P148:V148"/>
    <mergeCell ref="W148:AC148"/>
    <mergeCell ref="AD148:AH148"/>
    <mergeCell ref="AI148:AM148"/>
    <mergeCell ref="B147:H147"/>
    <mergeCell ref="I147:O147"/>
    <mergeCell ref="P147:V147"/>
    <mergeCell ref="W147:AC147"/>
    <mergeCell ref="AD147:AH147"/>
    <mergeCell ref="AI147:AM147"/>
    <mergeCell ref="B150:H150"/>
    <mergeCell ref="I150:O150"/>
    <mergeCell ref="P150:V150"/>
    <mergeCell ref="W150:AC150"/>
    <mergeCell ref="AD150:AH150"/>
    <mergeCell ref="AI150:AM150"/>
    <mergeCell ref="B149:H149"/>
    <mergeCell ref="I149:O149"/>
    <mergeCell ref="P149:V149"/>
    <mergeCell ref="W149:AC149"/>
    <mergeCell ref="AD149:AH149"/>
    <mergeCell ref="AI149:AM149"/>
    <mergeCell ref="B152:H152"/>
    <mergeCell ref="I152:O152"/>
    <mergeCell ref="P152:V152"/>
    <mergeCell ref="W152:AC152"/>
    <mergeCell ref="AD152:AH152"/>
    <mergeCell ref="AI152:AM152"/>
    <mergeCell ref="B151:H151"/>
    <mergeCell ref="I151:O151"/>
    <mergeCell ref="P151:V151"/>
    <mergeCell ref="W151:AC151"/>
    <mergeCell ref="AD151:AH151"/>
    <mergeCell ref="AI151:AM151"/>
    <mergeCell ref="Z107:AH107"/>
    <mergeCell ref="AI107:AM107"/>
    <mergeCell ref="AA108:AH108"/>
    <mergeCell ref="I153:O153"/>
    <mergeCell ref="P153:V153"/>
    <mergeCell ref="W153:AC153"/>
    <mergeCell ref="Z157:AH157"/>
    <mergeCell ref="AI157:AM157"/>
    <mergeCell ref="AA158:AH158"/>
    <mergeCell ref="AI158:AM158"/>
    <mergeCell ref="P143:V143"/>
    <mergeCell ref="W143:AC143"/>
    <mergeCell ref="AD143:AH143"/>
    <mergeCell ref="AI108:AM108"/>
    <mergeCell ref="B127:AM127"/>
    <mergeCell ref="B128:H128"/>
    <mergeCell ref="I128:AC128"/>
    <mergeCell ref="AD128:AH128"/>
    <mergeCell ref="AI128:AM128"/>
    <mergeCell ref="B129:H129"/>
    <mergeCell ref="I129:O129"/>
    <mergeCell ref="P129:V129"/>
    <mergeCell ref="W129:AC129"/>
    <mergeCell ref="AD129:AH129"/>
    <mergeCell ref="B163:AM163"/>
    <mergeCell ref="B164:H164"/>
    <mergeCell ref="I164:AC164"/>
    <mergeCell ref="AD164:AH164"/>
    <mergeCell ref="AI164:AM164"/>
    <mergeCell ref="B165:H165"/>
    <mergeCell ref="I165:O165"/>
    <mergeCell ref="P165:V165"/>
    <mergeCell ref="W165:AC165"/>
    <mergeCell ref="AD165:AH165"/>
    <mergeCell ref="B167:H167"/>
    <mergeCell ref="I167:O167"/>
    <mergeCell ref="P167:V167"/>
    <mergeCell ref="W167:AC167"/>
    <mergeCell ref="AD167:AH167"/>
    <mergeCell ref="AI167:AM167"/>
    <mergeCell ref="AI165:AM165"/>
    <mergeCell ref="B166:H166"/>
    <mergeCell ref="I166:O166"/>
    <mergeCell ref="P166:V166"/>
    <mergeCell ref="W166:AC166"/>
    <mergeCell ref="AD166:AH166"/>
    <mergeCell ref="AI166:AM166"/>
    <mergeCell ref="B169:H169"/>
    <mergeCell ref="I169:O169"/>
    <mergeCell ref="P169:V169"/>
    <mergeCell ref="W169:AC169"/>
    <mergeCell ref="AD169:AH169"/>
    <mergeCell ref="AI169:AM169"/>
    <mergeCell ref="B168:H168"/>
    <mergeCell ref="I168:O168"/>
    <mergeCell ref="P168:V168"/>
    <mergeCell ref="W168:AC168"/>
    <mergeCell ref="AD168:AH168"/>
    <mergeCell ref="AI168:AM168"/>
    <mergeCell ref="B171:H171"/>
    <mergeCell ref="I171:O171"/>
    <mergeCell ref="P171:V171"/>
    <mergeCell ref="W171:AC171"/>
    <mergeCell ref="AD171:AH171"/>
    <mergeCell ref="AI171:AM171"/>
    <mergeCell ref="B170:H170"/>
    <mergeCell ref="I170:O170"/>
    <mergeCell ref="P170:V170"/>
    <mergeCell ref="W170:AC170"/>
    <mergeCell ref="AD170:AH170"/>
    <mergeCell ref="AI170:AM170"/>
    <mergeCell ref="B173:H173"/>
    <mergeCell ref="I173:O173"/>
    <mergeCell ref="P173:V173"/>
    <mergeCell ref="W173:AC173"/>
    <mergeCell ref="AD173:AH173"/>
    <mergeCell ref="AI173:AM173"/>
    <mergeCell ref="B172:H172"/>
    <mergeCell ref="I172:O172"/>
    <mergeCell ref="P172:V172"/>
    <mergeCell ref="W172:AC172"/>
    <mergeCell ref="AD172:AH172"/>
    <mergeCell ref="AI172:AM172"/>
    <mergeCell ref="B175:H175"/>
    <mergeCell ref="I175:O175"/>
    <mergeCell ref="P175:V175"/>
    <mergeCell ref="W175:AC175"/>
    <mergeCell ref="AD175:AH175"/>
    <mergeCell ref="AI175:AM175"/>
    <mergeCell ref="B174:H174"/>
    <mergeCell ref="I174:O174"/>
    <mergeCell ref="P174:V174"/>
    <mergeCell ref="W174:AC174"/>
    <mergeCell ref="AD174:AH174"/>
    <mergeCell ref="AI174:AM174"/>
  </mergeCells>
  <phoneticPr fontId="9" type="noConversion"/>
  <conditionalFormatting sqref="C18">
    <cfRule type="cellIs" dxfId="87" priority="1" operator="equal">
      <formula>0</formula>
    </cfRule>
    <cfRule type="cellIs" dxfId="86" priority="2" operator="equal">
      <formula>0</formula>
    </cfRule>
  </conditionalFormatting>
  <printOptions horizontalCentered="1"/>
  <pageMargins left="0.27559055118110237" right="0.27559055118110237" top="0.23622047244094491" bottom="0.23622047244094491" header="0.31496062992125984" footer="0.19685039370078741"/>
  <pageSetup paperSize="9" orientation="portrait" r:id="rId1"/>
  <headerFooter>
    <oddFooter>&amp;L&amp;"TH Sarabun New,ธรรมดา"&amp;12FM-QP-13-01 R01 (26/09/65) P&amp;P/&amp;N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1toCal2" altText="Click to  Change">
                <anchor moveWithCells="1" sizeWithCells="1">
                  <from>
                    <xdr:col>45</xdr:col>
                    <xdr:colOff>85725</xdr:colOff>
                    <xdr:row>114</xdr:row>
                    <xdr:rowOff>19050</xdr:rowOff>
                  </from>
                  <to>
                    <xdr:col>54</xdr:col>
                    <xdr:colOff>104775</xdr:colOff>
                    <xdr:row>116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BC41"/>
  <sheetViews>
    <sheetView zoomScale="85" zoomScaleNormal="85" workbookViewId="0">
      <selection activeCell="U4" sqref="U4"/>
    </sheetView>
  </sheetViews>
  <sheetFormatPr defaultColWidth="9.140625" defaultRowHeight="15.75"/>
  <cols>
    <col min="1" max="4" width="2.85546875" style="10" customWidth="1"/>
    <col min="5" max="46" width="2.7109375" style="10" customWidth="1"/>
    <col min="47" max="47" width="7.85546875" style="10" customWidth="1"/>
    <col min="48" max="48" width="11.5703125" style="10" bestFit="1" customWidth="1"/>
    <col min="49" max="49" width="11.42578125" style="10" customWidth="1"/>
    <col min="50" max="50" width="11.85546875" style="10" customWidth="1"/>
    <col min="51" max="16384" width="9.140625" style="10"/>
  </cols>
  <sheetData>
    <row r="1" spans="1:55" ht="16.5" customHeight="1">
      <c r="B1" s="30"/>
      <c r="C1" s="30"/>
      <c r="D1" s="30"/>
      <c r="E1" s="30"/>
      <c r="F1" s="30"/>
      <c r="G1" s="30"/>
      <c r="H1" s="43"/>
      <c r="J1" s="30"/>
      <c r="K1" s="30"/>
      <c r="AB1" s="11"/>
      <c r="AC1" s="11"/>
      <c r="AF1" s="44"/>
      <c r="AL1" s="405" t="s">
        <v>5</v>
      </c>
      <c r="AM1" s="405"/>
      <c r="AN1" s="405"/>
      <c r="AO1" s="466">
        <v>1</v>
      </c>
      <c r="AP1" s="466"/>
      <c r="AQ1" s="44" t="s">
        <v>6</v>
      </c>
      <c r="AR1" s="475">
        <v>1</v>
      </c>
      <c r="AS1" s="475"/>
      <c r="AU1" s="11"/>
      <c r="AV1" s="11"/>
      <c r="AW1" s="11"/>
    </row>
    <row r="2" spans="1:55" ht="16.5" customHeight="1">
      <c r="B2" s="45"/>
      <c r="C2" s="45"/>
      <c r="D2" s="45"/>
      <c r="E2" s="45"/>
      <c r="F2" s="11"/>
      <c r="G2" s="45"/>
      <c r="H2" s="45"/>
      <c r="I2" s="45"/>
      <c r="J2" s="45"/>
      <c r="K2" s="45"/>
      <c r="AV2" s="23"/>
      <c r="AW2" s="23"/>
    </row>
    <row r="3" spans="1:55" ht="16.5" customHeight="1">
      <c r="A3" s="23"/>
      <c r="B3" s="23"/>
      <c r="C3" s="23"/>
      <c r="D3" s="23"/>
      <c r="E3" s="23"/>
      <c r="K3" s="23"/>
      <c r="AU3" s="23"/>
    </row>
    <row r="4" spans="1:55" ht="16.5" customHeight="1">
      <c r="A4" s="23"/>
      <c r="B4" s="23"/>
      <c r="C4" s="23"/>
      <c r="D4" s="23"/>
      <c r="E4" s="23"/>
      <c r="F4" s="11"/>
      <c r="H4" s="23"/>
      <c r="I4" s="23"/>
      <c r="J4" s="23"/>
      <c r="K4" s="23"/>
      <c r="W4" s="11"/>
      <c r="AI4" s="405" t="s">
        <v>7</v>
      </c>
      <c r="AJ4" s="405"/>
      <c r="AK4" s="405"/>
      <c r="AL4" s="405"/>
      <c r="AM4" s="405"/>
      <c r="AN4" s="405"/>
      <c r="AO4" s="477"/>
      <c r="AP4" s="477"/>
      <c r="AQ4" s="477"/>
      <c r="AR4" s="476" t="s">
        <v>561</v>
      </c>
      <c r="AS4" s="476"/>
      <c r="AU4" s="23"/>
    </row>
    <row r="5" spans="1:55" ht="16.5" customHeight="1">
      <c r="A5" s="11"/>
      <c r="C5" s="11"/>
      <c r="E5" s="11"/>
      <c r="H5" s="46"/>
      <c r="L5" s="11"/>
      <c r="W5" s="11"/>
      <c r="AH5" s="405" t="s">
        <v>65</v>
      </c>
      <c r="AI5" s="405"/>
      <c r="AJ5" s="405"/>
      <c r="AK5" s="405"/>
      <c r="AL5" s="405"/>
      <c r="AM5" s="405"/>
      <c r="AN5" s="405"/>
      <c r="AO5" s="487"/>
      <c r="AP5" s="487"/>
      <c r="AQ5" s="487"/>
      <c r="AR5" s="487"/>
      <c r="AS5" s="487"/>
      <c r="AU5" s="23"/>
    </row>
    <row r="6" spans="1:55" ht="16.5" customHeight="1">
      <c r="A6" s="11"/>
      <c r="B6" s="11" t="s">
        <v>287</v>
      </c>
      <c r="F6" s="20"/>
      <c r="G6" s="46"/>
      <c r="H6" s="20"/>
      <c r="I6" s="475"/>
      <c r="J6" s="475"/>
      <c r="K6" s="475"/>
      <c r="AH6" s="405" t="s">
        <v>99</v>
      </c>
      <c r="AI6" s="405"/>
      <c r="AJ6" s="405"/>
      <c r="AK6" s="405"/>
      <c r="AL6" s="405"/>
      <c r="AM6" s="405"/>
      <c r="AN6" s="405"/>
      <c r="AO6" s="487"/>
      <c r="AP6" s="487"/>
      <c r="AQ6" s="47"/>
      <c r="AU6" s="23"/>
    </row>
    <row r="7" spans="1:55" ht="16.5" customHeight="1">
      <c r="B7" s="48" t="s">
        <v>16</v>
      </c>
      <c r="D7" s="48"/>
      <c r="E7" s="48"/>
      <c r="F7" s="48"/>
      <c r="G7" s="48"/>
      <c r="H7" s="48"/>
      <c r="I7" s="488" t="str">
        <f>IF($I$6="","",VLOOKUP($I$6,Data!A:F,2,0))</f>
        <v/>
      </c>
      <c r="J7" s="488"/>
      <c r="K7" s="488"/>
      <c r="L7" s="488"/>
      <c r="M7" s="488"/>
      <c r="N7" s="488"/>
      <c r="O7" s="488"/>
      <c r="P7" s="488"/>
      <c r="Q7" s="488"/>
      <c r="R7" s="488"/>
      <c r="S7" s="488"/>
      <c r="T7" s="488"/>
      <c r="U7" s="488"/>
      <c r="V7" s="488"/>
      <c r="W7" s="488"/>
      <c r="X7" s="488"/>
      <c r="Y7" s="488"/>
      <c r="Z7" s="488"/>
      <c r="AA7" s="488"/>
      <c r="AB7" s="488"/>
      <c r="AC7" s="488"/>
      <c r="AE7" s="507" t="s">
        <v>17</v>
      </c>
      <c r="AF7" s="507"/>
      <c r="AG7" s="507"/>
      <c r="AH7" s="507"/>
      <c r="AI7" s="507"/>
      <c r="AJ7" s="507"/>
      <c r="AK7" s="507"/>
      <c r="AL7" s="507"/>
      <c r="AM7" s="507"/>
      <c r="AU7" s="23"/>
    </row>
    <row r="8" spans="1:55" ht="16.5" customHeight="1">
      <c r="D8" s="11"/>
      <c r="E8" s="11"/>
      <c r="F8" s="11"/>
      <c r="I8" s="478" t="str">
        <f>IF($I$6="","",VLOOKUP($I$6,Data!A:F,3,0))</f>
        <v/>
      </c>
      <c r="J8" s="478"/>
      <c r="K8" s="478"/>
      <c r="L8" s="478"/>
      <c r="M8" s="478"/>
      <c r="N8" s="478"/>
      <c r="O8" s="478"/>
      <c r="P8" s="478"/>
      <c r="Q8" s="478"/>
      <c r="R8" s="478"/>
      <c r="S8" s="478"/>
      <c r="T8" s="478"/>
      <c r="U8" s="478"/>
      <c r="V8" s="478"/>
      <c r="W8" s="478"/>
      <c r="X8" s="478"/>
      <c r="Y8" s="478"/>
      <c r="Z8" s="478"/>
      <c r="AA8" s="478"/>
      <c r="AB8" s="478"/>
      <c r="AC8" s="478"/>
      <c r="AE8" s="449" t="s">
        <v>44</v>
      </c>
      <c r="AF8" s="481"/>
      <c r="AG8" s="481"/>
      <c r="AH8" s="481"/>
      <c r="AI8" s="481"/>
      <c r="AJ8" s="450"/>
      <c r="AK8" s="451" t="s">
        <v>33</v>
      </c>
      <c r="AL8" s="452"/>
      <c r="AM8" s="452"/>
      <c r="AN8" s="452"/>
      <c r="AO8" s="453"/>
      <c r="AP8" s="451" t="s">
        <v>34</v>
      </c>
      <c r="AQ8" s="452"/>
      <c r="AR8" s="452"/>
      <c r="AS8" s="452"/>
      <c r="AT8" s="453"/>
      <c r="AU8" s="23"/>
      <c r="AV8" s="449" t="s">
        <v>50</v>
      </c>
      <c r="AW8" s="450"/>
    </row>
    <row r="9" spans="1:55" ht="16.5" customHeight="1">
      <c r="A9" s="48"/>
      <c r="B9" s="48"/>
      <c r="C9" s="48"/>
      <c r="D9" s="48"/>
      <c r="E9" s="48"/>
      <c r="F9" s="48"/>
      <c r="I9" s="482" t="str">
        <f>IF($I$6="","",VLOOKUP($I$6,Data!$A:$F,4,0))</f>
        <v/>
      </c>
      <c r="J9" s="482"/>
      <c r="K9" s="482"/>
      <c r="L9" s="482"/>
      <c r="M9" s="482"/>
      <c r="N9" s="482"/>
      <c r="O9" s="482"/>
      <c r="P9" s="482"/>
      <c r="Q9" s="482"/>
      <c r="R9" s="482"/>
      <c r="S9" s="482"/>
      <c r="T9" s="482"/>
      <c r="U9" s="482"/>
      <c r="V9" s="482"/>
      <c r="W9" s="482"/>
      <c r="X9" s="482"/>
      <c r="Y9" s="482"/>
      <c r="Z9" s="482"/>
      <c r="AA9" s="482"/>
      <c r="AB9" s="482"/>
      <c r="AC9" s="482"/>
      <c r="AE9" s="483" t="s">
        <v>18</v>
      </c>
      <c r="AF9" s="403"/>
      <c r="AG9" s="403"/>
      <c r="AH9" s="403"/>
      <c r="AI9" s="403"/>
      <c r="AJ9" s="484"/>
      <c r="AK9" s="456"/>
      <c r="AL9" s="457"/>
      <c r="AM9" s="457"/>
      <c r="AN9" s="479" t="s">
        <v>45</v>
      </c>
      <c r="AO9" s="480"/>
      <c r="AP9" s="454"/>
      <c r="AQ9" s="455"/>
      <c r="AR9" s="455"/>
      <c r="AS9" s="479" t="s">
        <v>45</v>
      </c>
      <c r="AT9" s="480"/>
      <c r="AU9" s="23"/>
      <c r="AV9" s="170">
        <f>IF(OR(AK9&gt;28,AK9&lt;18),AK9,"0")</f>
        <v>0</v>
      </c>
      <c r="AW9" s="170">
        <f>IF(OR(AP9&gt;28,AP9&lt;18),AP9,"0")</f>
        <v>0</v>
      </c>
    </row>
    <row r="10" spans="1:55" ht="16.5" customHeight="1">
      <c r="I10" s="478" t="str">
        <f>IF($I$6="","",VLOOKUP($I$6,Data!$A:$F,5,0)&amp;", "&amp;VLOOKUP($I$6,Data!$A:$F,6,0))</f>
        <v/>
      </c>
      <c r="J10" s="478"/>
      <c r="K10" s="478"/>
      <c r="L10" s="478"/>
      <c r="M10" s="478"/>
      <c r="N10" s="478"/>
      <c r="O10" s="478"/>
      <c r="P10" s="478"/>
      <c r="Q10" s="478"/>
      <c r="R10" s="478"/>
      <c r="S10" s="478"/>
      <c r="T10" s="478"/>
      <c r="U10" s="478"/>
      <c r="V10" s="478"/>
      <c r="W10" s="478"/>
      <c r="X10" s="478"/>
      <c r="Y10" s="478"/>
      <c r="Z10" s="478"/>
      <c r="AA10" s="478"/>
      <c r="AB10" s="478"/>
      <c r="AC10" s="478"/>
      <c r="AE10" s="485" t="s">
        <v>47</v>
      </c>
      <c r="AF10" s="407"/>
      <c r="AG10" s="407"/>
      <c r="AH10" s="407"/>
      <c r="AI10" s="407"/>
      <c r="AJ10" s="486"/>
      <c r="AK10" s="454"/>
      <c r="AL10" s="455"/>
      <c r="AM10" s="455"/>
      <c r="AN10" s="459" t="s">
        <v>4</v>
      </c>
      <c r="AO10" s="459"/>
      <c r="AP10" s="454"/>
      <c r="AQ10" s="455"/>
      <c r="AR10" s="455"/>
      <c r="AS10" s="459" t="s">
        <v>4</v>
      </c>
      <c r="AT10" s="459"/>
      <c r="AU10" s="23"/>
      <c r="AV10" s="170">
        <f>IF(AV9="0","0",IF(AV9&lt;18,18-AV9,IF(AV9&gt;28,AV9-28,0)))</f>
        <v>18</v>
      </c>
      <c r="AW10" s="170">
        <f>IF(AW9="0","0",IF(AW9&lt;18,18-AW9,IF(AW9&gt;28,AW9-28,0)))</f>
        <v>18</v>
      </c>
    </row>
    <row r="11" spans="1:55" ht="16.5" customHeight="1">
      <c r="B11" s="11" t="s">
        <v>19</v>
      </c>
      <c r="C11" s="11"/>
      <c r="D11" s="11"/>
      <c r="E11" s="11"/>
      <c r="F11" s="11"/>
      <c r="I11" s="503"/>
      <c r="J11" s="503"/>
      <c r="K11" s="503"/>
      <c r="L11" s="503"/>
      <c r="M11" s="503"/>
      <c r="N11" s="503"/>
      <c r="O11" s="503"/>
      <c r="P11" s="503"/>
      <c r="Q11" s="503"/>
      <c r="R11" s="503"/>
      <c r="S11" s="503"/>
      <c r="T11" s="503"/>
      <c r="U11" s="503"/>
      <c r="V11" s="503"/>
      <c r="W11" s="503"/>
      <c r="X11" s="503"/>
      <c r="Y11" s="503"/>
      <c r="Z11" s="503"/>
      <c r="AA11" s="503"/>
      <c r="AB11" s="503"/>
      <c r="AC11" s="503"/>
      <c r="AE11" s="35"/>
      <c r="AF11" s="35"/>
      <c r="AG11" s="35"/>
      <c r="AH11" s="35"/>
      <c r="AI11" s="35"/>
      <c r="AJ11" s="35"/>
      <c r="AK11" s="146"/>
      <c r="AL11" s="146"/>
      <c r="AM11" s="146"/>
      <c r="AN11" s="147"/>
      <c r="AO11" s="147"/>
      <c r="AP11" s="146"/>
      <c r="AQ11" s="146"/>
      <c r="AR11" s="146"/>
      <c r="AS11" s="147"/>
      <c r="AT11" s="147"/>
      <c r="AU11" s="23"/>
      <c r="AV11" s="169">
        <f>AV10*0.003</f>
        <v>5.3999999999999999E-2</v>
      </c>
      <c r="AW11" s="169">
        <f>AW10*0.03</f>
        <v>0.54</v>
      </c>
    </row>
    <row r="12" spans="1:55" ht="16.5" customHeight="1">
      <c r="B12" s="11" t="s">
        <v>23</v>
      </c>
      <c r="C12" s="11"/>
      <c r="D12" s="11"/>
      <c r="E12" s="11"/>
      <c r="F12" s="11"/>
      <c r="I12" s="503"/>
      <c r="J12" s="503"/>
      <c r="K12" s="503"/>
      <c r="L12" s="503"/>
      <c r="M12" s="503"/>
      <c r="N12" s="503"/>
      <c r="O12" s="503"/>
      <c r="P12" s="503"/>
      <c r="Q12" s="503"/>
      <c r="R12" s="503"/>
      <c r="S12" s="503"/>
      <c r="T12" s="503"/>
      <c r="U12" s="503"/>
      <c r="V12" s="503"/>
      <c r="W12" s="503"/>
      <c r="X12" s="503"/>
      <c r="Y12" s="503"/>
      <c r="Z12" s="503"/>
      <c r="AA12" s="503"/>
      <c r="AB12" s="503"/>
      <c r="AC12" s="503"/>
      <c r="AD12" s="49"/>
      <c r="AE12" s="499" t="s">
        <v>373</v>
      </c>
      <c r="AF12" s="499"/>
      <c r="AG12" s="499"/>
      <c r="AH12" s="499"/>
      <c r="AI12" s="499"/>
      <c r="AJ12" s="499"/>
      <c r="AK12" s="499"/>
      <c r="AL12" s="499"/>
      <c r="AM12" s="499"/>
      <c r="AN12" s="499"/>
      <c r="AO12" s="499"/>
      <c r="AP12" s="499"/>
      <c r="AQ12" s="499"/>
      <c r="AR12" s="499"/>
      <c r="AS12" s="499"/>
      <c r="AU12" s="23"/>
      <c r="AV12" s="171" t="s">
        <v>51</v>
      </c>
      <c r="AW12" s="169">
        <f>MAX(AV11:AW11)</f>
        <v>0.54</v>
      </c>
    </row>
    <row r="13" spans="1:55" ht="16.5" customHeight="1">
      <c r="B13" s="11" t="s">
        <v>20</v>
      </c>
      <c r="C13" s="11"/>
      <c r="D13" s="11"/>
      <c r="E13" s="11"/>
      <c r="F13" s="11"/>
      <c r="I13" s="502"/>
      <c r="J13" s="502"/>
      <c r="K13" s="502"/>
      <c r="L13" s="502"/>
      <c r="M13" s="502"/>
      <c r="N13" s="502"/>
      <c r="O13" s="502"/>
      <c r="P13" s="502"/>
      <c r="Q13" s="502"/>
      <c r="R13" s="502"/>
      <c r="S13" s="502"/>
      <c r="T13" s="502"/>
      <c r="U13" s="502"/>
      <c r="V13" s="502"/>
      <c r="W13" s="502"/>
      <c r="X13" s="502"/>
      <c r="Y13" s="502"/>
      <c r="Z13" s="502"/>
      <c r="AA13" s="502"/>
      <c r="AB13" s="502"/>
      <c r="AC13" s="502"/>
      <c r="AD13" s="50"/>
      <c r="AE13" s="508"/>
      <c r="AF13" s="508"/>
      <c r="AG13" s="508"/>
      <c r="AH13" s="508"/>
      <c r="AI13" s="508"/>
      <c r="AJ13" s="508"/>
      <c r="AK13" s="508"/>
      <c r="AL13" s="508"/>
      <c r="AM13" s="508"/>
      <c r="AN13" s="508"/>
      <c r="AO13" s="508"/>
      <c r="AP13" s="508"/>
      <c r="AQ13" s="508"/>
      <c r="AR13" s="508"/>
      <c r="AS13" s="508"/>
      <c r="AU13" s="51"/>
      <c r="AV13" s="28"/>
      <c r="AW13" s="28"/>
    </row>
    <row r="14" spans="1:55" ht="16.5" customHeight="1">
      <c r="B14" s="11" t="s">
        <v>21</v>
      </c>
      <c r="C14" s="11"/>
      <c r="D14" s="11"/>
      <c r="E14" s="11"/>
      <c r="F14" s="11"/>
      <c r="I14" s="504"/>
      <c r="J14" s="505"/>
      <c r="K14" s="505"/>
      <c r="L14" s="505"/>
      <c r="M14" s="505"/>
      <c r="N14" s="505"/>
      <c r="O14" s="505"/>
      <c r="P14" s="505"/>
      <c r="Q14" s="505"/>
      <c r="R14" s="505"/>
      <c r="S14" s="505"/>
      <c r="T14" s="505"/>
      <c r="U14" s="505"/>
      <c r="V14" s="505"/>
      <c r="W14" s="505"/>
      <c r="X14" s="505"/>
      <c r="Y14" s="505"/>
      <c r="Z14" s="505"/>
      <c r="AA14" s="505"/>
      <c r="AB14" s="505"/>
      <c r="AC14" s="505"/>
      <c r="AD14" s="50"/>
      <c r="AE14" s="11" t="s">
        <v>375</v>
      </c>
      <c r="AF14" s="12"/>
      <c r="AG14" s="12"/>
      <c r="AH14" s="12"/>
      <c r="AI14" s="12"/>
      <c r="AJ14" s="509"/>
      <c r="AK14" s="509"/>
      <c r="AL14" s="509"/>
      <c r="AM14" s="509"/>
      <c r="AN14" s="509"/>
      <c r="AO14" s="509"/>
      <c r="AP14" s="510" t="str">
        <f>IF($AJ$14="","",VLOOKUP(Page1!AJ14,STD!P:S,2,0))</f>
        <v/>
      </c>
      <c r="AQ14" s="510"/>
      <c r="AR14" s="510"/>
      <c r="AS14" s="510"/>
      <c r="AT14" s="12"/>
      <c r="AU14" s="51"/>
    </row>
    <row r="15" spans="1:55" ht="16.5" customHeight="1">
      <c r="B15" s="11" t="s">
        <v>22</v>
      </c>
      <c r="C15" s="11"/>
      <c r="D15" s="11"/>
      <c r="E15" s="11"/>
      <c r="F15" s="11"/>
      <c r="I15" s="506"/>
      <c r="J15" s="506"/>
      <c r="K15" s="506"/>
      <c r="L15" s="506"/>
      <c r="M15" s="506"/>
      <c r="N15" s="506"/>
      <c r="O15" s="506"/>
      <c r="P15" s="506"/>
      <c r="Q15" s="506"/>
      <c r="R15" s="506"/>
      <c r="S15" s="506"/>
      <c r="T15" s="506"/>
      <c r="U15" s="506"/>
      <c r="V15" s="506"/>
      <c r="W15" s="506"/>
      <c r="X15" s="506"/>
      <c r="Y15" s="506"/>
      <c r="Z15" s="506"/>
      <c r="AA15" s="506"/>
      <c r="AB15" s="506"/>
      <c r="AC15" s="506"/>
      <c r="AD15" s="89"/>
      <c r="AE15" s="12"/>
      <c r="AF15" s="12"/>
      <c r="AG15" s="12"/>
      <c r="AH15" s="12"/>
      <c r="AI15" s="464" t="str">
        <f>IF($AJ$14="","",VLOOKUP(Page1!$AJ$14,STD!P:S,3,FALSE))</f>
        <v/>
      </c>
      <c r="AJ15" s="464"/>
      <c r="AK15" s="464"/>
      <c r="AL15" s="464"/>
      <c r="AM15" s="464"/>
      <c r="AN15" s="464"/>
      <c r="AO15" s="464"/>
      <c r="AP15" s="464"/>
      <c r="AQ15" s="12"/>
      <c r="AR15" s="12"/>
      <c r="AS15" s="12"/>
      <c r="AT15" s="12"/>
      <c r="AU15" s="51"/>
      <c r="AV15" s="28" t="s">
        <v>409</v>
      </c>
      <c r="AW15" s="118" t="s">
        <v>410</v>
      </c>
      <c r="AX15" s="118" t="s">
        <v>411</v>
      </c>
      <c r="AY15" s="28"/>
      <c r="AZ15" s="28"/>
      <c r="BA15" s="10" t="s">
        <v>412</v>
      </c>
      <c r="BB15" s="28"/>
      <c r="BC15" s="28"/>
    </row>
    <row r="16" spans="1:55" ht="16.5" customHeight="1">
      <c r="B16" s="48" t="s">
        <v>24</v>
      </c>
      <c r="C16" s="48"/>
      <c r="D16" s="48"/>
      <c r="E16" s="48"/>
      <c r="F16" s="48"/>
      <c r="I16" s="500"/>
      <c r="J16" s="500"/>
      <c r="K16" s="500"/>
      <c r="L16" s="500"/>
      <c r="M16" s="500"/>
      <c r="N16" s="500"/>
      <c r="O16" s="500"/>
      <c r="P16" s="500"/>
      <c r="Q16" s="500"/>
      <c r="R16" s="500"/>
      <c r="S16" s="500"/>
      <c r="T16" s="176"/>
      <c r="U16" s="176"/>
      <c r="V16" s="176"/>
      <c r="W16" s="176"/>
      <c r="AE16" s="7" t="s">
        <v>377</v>
      </c>
      <c r="AF16" s="12"/>
      <c r="AG16" s="12"/>
      <c r="AH16" s="12"/>
      <c r="AI16" s="12"/>
      <c r="AJ16" s="12"/>
      <c r="AK16" s="12"/>
      <c r="AL16" s="498"/>
      <c r="AM16" s="498"/>
      <c r="AN16" s="498"/>
      <c r="AO16" s="498"/>
      <c r="AP16" s="498"/>
      <c r="AQ16" s="13" t="s">
        <v>82</v>
      </c>
      <c r="AR16" s="12"/>
      <c r="AS16" s="157"/>
      <c r="AT16" s="157"/>
      <c r="AU16" s="11"/>
      <c r="AV16" s="23"/>
      <c r="AW16" s="23"/>
      <c r="AX16" s="44"/>
      <c r="AY16" s="11"/>
      <c r="AZ16" s="11"/>
      <c r="BA16" s="10" t="s">
        <v>413</v>
      </c>
      <c r="BB16" s="11"/>
      <c r="BC16" s="11"/>
    </row>
    <row r="17" spans="1:55" ht="16.5" customHeight="1">
      <c r="B17" s="48" t="s">
        <v>25</v>
      </c>
      <c r="C17" s="48"/>
      <c r="D17" s="48"/>
      <c r="E17" s="48"/>
      <c r="F17" s="48"/>
      <c r="I17" s="500"/>
      <c r="J17" s="500"/>
      <c r="K17" s="500"/>
      <c r="L17" s="500"/>
      <c r="M17" s="500"/>
      <c r="N17" s="500"/>
      <c r="O17" s="500"/>
      <c r="P17" s="500"/>
      <c r="Q17" s="500"/>
      <c r="R17" s="500"/>
      <c r="S17" s="500"/>
      <c r="T17" s="177"/>
      <c r="U17" s="177"/>
      <c r="V17" s="177"/>
      <c r="W17" s="177"/>
      <c r="X17" s="50"/>
      <c r="Y17" s="50"/>
      <c r="Z17" s="50"/>
      <c r="AA17" s="66" t="s">
        <v>549</v>
      </c>
      <c r="AB17" s="460"/>
      <c r="AC17" s="460"/>
      <c r="AD17" s="460"/>
      <c r="AE17" s="460"/>
      <c r="AF17" s="460"/>
      <c r="AG17" s="460"/>
      <c r="AH17" s="460"/>
      <c r="AI17" s="460"/>
      <c r="AJ17" s="460"/>
      <c r="AK17" s="460"/>
      <c r="AL17" s="460"/>
      <c r="AM17" s="460"/>
      <c r="AN17" s="460"/>
      <c r="AO17" s="460"/>
      <c r="AP17" s="460"/>
      <c r="AQ17" s="460"/>
      <c r="AR17" s="460"/>
      <c r="AS17" s="460"/>
      <c r="AT17" s="460"/>
      <c r="AU17" s="52" t="b">
        <v>1</v>
      </c>
      <c r="AY17" s="23"/>
      <c r="AZ17" s="23"/>
      <c r="BA17" s="28" t="s">
        <v>414</v>
      </c>
      <c r="BB17" s="23"/>
      <c r="BC17" s="23"/>
    </row>
    <row r="18" spans="1:55" ht="16.5" customHeight="1">
      <c r="B18" s="48" t="s">
        <v>3</v>
      </c>
      <c r="C18" s="48"/>
      <c r="D18" s="48"/>
      <c r="E18" s="48"/>
      <c r="F18" s="48"/>
      <c r="I18" s="501" t="str">
        <f ca="1">IF(AO4="","",IF(AO6="",IF(I18="",TODAY(),I18),IF(I18=I18,TODAY(),I18)))</f>
        <v/>
      </c>
      <c r="J18" s="501"/>
      <c r="K18" s="501"/>
      <c r="L18" s="501"/>
      <c r="M18" s="501"/>
      <c r="N18" s="501"/>
      <c r="O18" s="501"/>
      <c r="P18" s="501"/>
      <c r="Q18" s="501"/>
      <c r="R18" s="501"/>
      <c r="S18" s="501"/>
      <c r="T18" s="177"/>
      <c r="U18" s="177"/>
      <c r="V18" s="177"/>
      <c r="W18" s="177"/>
      <c r="X18" s="42"/>
      <c r="Y18" s="42"/>
      <c r="Z18" s="42"/>
      <c r="AA18" s="66" t="s">
        <v>108</v>
      </c>
      <c r="AB18" s="140"/>
      <c r="AC18" s="82" t="s">
        <v>37</v>
      </c>
      <c r="AD18" s="82"/>
      <c r="AE18" s="82"/>
      <c r="AF18" s="82"/>
      <c r="AG18" s="82"/>
      <c r="AH18" s="82"/>
      <c r="AI18" s="82"/>
      <c r="AJ18" s="82"/>
      <c r="AK18" s="82"/>
      <c r="AL18" s="82"/>
      <c r="AM18" s="82"/>
      <c r="AN18" s="82"/>
      <c r="AO18" s="82"/>
      <c r="AU18" s="23"/>
      <c r="BA18" s="10" t="s">
        <v>415</v>
      </c>
    </row>
    <row r="19" spans="1:55" ht="16.5" customHeight="1">
      <c r="A19" s="48"/>
      <c r="B19" s="48"/>
      <c r="C19" s="48"/>
      <c r="D19" s="48"/>
      <c r="E19" s="48"/>
      <c r="F19" s="48"/>
      <c r="G19" s="48"/>
      <c r="H19" s="53"/>
      <c r="I19" s="53"/>
      <c r="O19" s="54"/>
      <c r="P19" s="54"/>
      <c r="X19" s="42"/>
      <c r="Y19" s="42"/>
      <c r="Z19" s="42"/>
      <c r="AA19" s="42"/>
      <c r="AB19" s="141"/>
      <c r="AC19" s="42" t="s">
        <v>303</v>
      </c>
      <c r="AD19" s="42"/>
      <c r="AE19" s="65"/>
      <c r="AF19" s="42"/>
      <c r="AG19" s="461"/>
      <c r="AH19" s="461"/>
      <c r="AI19" s="461"/>
      <c r="AJ19" s="461"/>
      <c r="AK19" s="461"/>
      <c r="AL19" s="461"/>
      <c r="AM19" s="461"/>
      <c r="AN19" s="461"/>
      <c r="AO19" s="461"/>
      <c r="AP19" s="461"/>
      <c r="AQ19" s="461"/>
      <c r="AR19" s="461"/>
      <c r="AS19" s="461"/>
      <c r="AT19" s="461"/>
      <c r="AU19" s="23"/>
      <c r="AW19" s="23"/>
      <c r="BA19" s="10" t="s">
        <v>416</v>
      </c>
    </row>
    <row r="20" spans="1:55" ht="16.5" customHeight="1">
      <c r="B20" s="442" t="s">
        <v>26</v>
      </c>
      <c r="C20" s="442"/>
      <c r="D20" s="442"/>
      <c r="E20" s="442"/>
      <c r="F20" s="442"/>
      <c r="G20" s="442"/>
      <c r="H20" s="442"/>
      <c r="I20" s="442"/>
      <c r="O20" s="55"/>
      <c r="P20" s="55"/>
      <c r="Q20" s="55"/>
      <c r="R20" s="55"/>
      <c r="S20" s="55"/>
      <c r="T20" s="55"/>
      <c r="U20" s="55"/>
      <c r="V20" s="55"/>
      <c r="X20" s="55"/>
      <c r="Y20" s="55"/>
      <c r="Z20" s="458" t="s">
        <v>27</v>
      </c>
      <c r="AA20" s="458"/>
      <c r="AB20" s="458"/>
      <c r="AC20" s="458"/>
      <c r="AD20" s="458"/>
      <c r="AE20" s="458"/>
      <c r="AF20" s="458" t="s">
        <v>28</v>
      </c>
      <c r="AG20" s="458"/>
      <c r="AH20" s="458"/>
      <c r="AI20" s="458"/>
      <c r="AJ20" s="458"/>
      <c r="AK20" s="458"/>
      <c r="AL20" s="458"/>
      <c r="AM20" s="458"/>
      <c r="AN20" s="458" t="s">
        <v>508</v>
      </c>
      <c r="AO20" s="458"/>
      <c r="AP20" s="458"/>
      <c r="AQ20" s="458"/>
      <c r="AR20" s="458"/>
      <c r="AS20" s="458"/>
      <c r="AT20" s="458"/>
      <c r="AU20" s="23"/>
    </row>
    <row r="21" spans="1:55" ht="10.5" customHeight="1">
      <c r="A21" s="56"/>
      <c r="B21" s="56"/>
      <c r="C21" s="56"/>
      <c r="D21" s="56"/>
      <c r="E21" s="56"/>
      <c r="F21" s="56"/>
      <c r="R21" s="56"/>
      <c r="S21" s="56"/>
      <c r="T21" s="56"/>
      <c r="AU21" s="23"/>
    </row>
    <row r="22" spans="1:55">
      <c r="B22" s="41"/>
      <c r="C22" s="474"/>
      <c r="D22" s="474"/>
      <c r="E22" s="474"/>
      <c r="F22" s="474"/>
      <c r="G22" s="474"/>
      <c r="H22" s="474"/>
      <c r="I22" s="489" t="str">
        <f>IF(C22="","",VLOOKUP(C22,STD!A:G,2,FALSE))</f>
        <v/>
      </c>
      <c r="J22" s="496"/>
      <c r="K22" s="496"/>
      <c r="L22" s="496"/>
      <c r="M22" s="496"/>
      <c r="N22" s="496"/>
      <c r="O22" s="496"/>
      <c r="P22" s="496"/>
      <c r="Q22" s="496"/>
      <c r="R22" s="496"/>
      <c r="S22" s="496"/>
      <c r="T22" s="496"/>
      <c r="U22" s="496"/>
      <c r="V22" s="496"/>
      <c r="W22" s="496"/>
      <c r="X22" s="496"/>
      <c r="Y22" s="497"/>
      <c r="Z22" s="471" t="str">
        <f>IF(C22="","",VLOOKUP(C22,STD!A:G,4,FALSE))</f>
        <v/>
      </c>
      <c r="AA22" s="471"/>
      <c r="AB22" s="471"/>
      <c r="AC22" s="471"/>
      <c r="AD22" s="471"/>
      <c r="AE22" s="471"/>
      <c r="AF22" s="492" t="str">
        <f>IF(C22="","",VLOOKUP(C22,STD!A3:G10,5,FALSE))</f>
        <v/>
      </c>
      <c r="AG22" s="471"/>
      <c r="AH22" s="471"/>
      <c r="AI22" s="471"/>
      <c r="AJ22" s="471"/>
      <c r="AK22" s="471"/>
      <c r="AL22" s="471"/>
      <c r="AM22" s="471"/>
      <c r="AN22" s="446" t="str">
        <f>IF(C22="","",VLOOKUP(C22,STD!$A:$G,6,FALSE))</f>
        <v/>
      </c>
      <c r="AO22" s="446"/>
      <c r="AP22" s="446"/>
      <c r="AQ22" s="446"/>
      <c r="AR22" s="446"/>
      <c r="AS22" s="446"/>
      <c r="AT22" s="446"/>
      <c r="AU22" s="23"/>
    </row>
    <row r="23" spans="1:55" ht="16.5" customHeight="1">
      <c r="B23" s="41"/>
      <c r="C23" s="474"/>
      <c r="D23" s="474"/>
      <c r="E23" s="474"/>
      <c r="F23" s="474"/>
      <c r="G23" s="474"/>
      <c r="H23" s="474"/>
      <c r="I23" s="489" t="str">
        <f>IF(C23="","",VLOOKUP(C23,STD!A:G,2,FALSE))</f>
        <v/>
      </c>
      <c r="J23" s="496"/>
      <c r="K23" s="496"/>
      <c r="L23" s="496"/>
      <c r="M23" s="496"/>
      <c r="N23" s="496"/>
      <c r="O23" s="496"/>
      <c r="P23" s="496"/>
      <c r="Q23" s="496"/>
      <c r="R23" s="496"/>
      <c r="S23" s="496"/>
      <c r="T23" s="496"/>
      <c r="U23" s="496"/>
      <c r="V23" s="496"/>
      <c r="W23" s="496"/>
      <c r="X23" s="496"/>
      <c r="Y23" s="497"/>
      <c r="Z23" s="493" t="str">
        <f>IF(C23="","",VLOOKUP(C23,STD!A:G,4,FALSE))</f>
        <v/>
      </c>
      <c r="AA23" s="494"/>
      <c r="AB23" s="494"/>
      <c r="AC23" s="494"/>
      <c r="AD23" s="494"/>
      <c r="AE23" s="495"/>
      <c r="AF23" s="462" t="str">
        <f>IF(C23="","",VLOOKUP(C23,STD!A:G,5,FALSE))</f>
        <v/>
      </c>
      <c r="AG23" s="471"/>
      <c r="AH23" s="471"/>
      <c r="AI23" s="471"/>
      <c r="AJ23" s="471"/>
      <c r="AK23" s="471"/>
      <c r="AL23" s="471"/>
      <c r="AM23" s="471"/>
      <c r="AN23" s="446" t="str">
        <f>IF(C23="","",VLOOKUP(C23,STD!$A:$G,6,FALSE))</f>
        <v/>
      </c>
      <c r="AO23" s="446"/>
      <c r="AP23" s="446"/>
      <c r="AQ23" s="446"/>
      <c r="AR23" s="446"/>
      <c r="AS23" s="446"/>
      <c r="AT23" s="446"/>
      <c r="AU23" s="23"/>
    </row>
    <row r="24" spans="1:55" ht="16.5" customHeight="1">
      <c r="B24" s="41"/>
      <c r="C24" s="471"/>
      <c r="D24" s="471"/>
      <c r="E24" s="471"/>
      <c r="F24" s="471"/>
      <c r="G24" s="471"/>
      <c r="H24" s="471"/>
      <c r="I24" s="489" t="str">
        <f>IF(C24="","",VLOOKUP(C24,STD!A:G,2,FALSE))</f>
        <v/>
      </c>
      <c r="J24" s="496"/>
      <c r="K24" s="496"/>
      <c r="L24" s="496"/>
      <c r="M24" s="496"/>
      <c r="N24" s="496"/>
      <c r="O24" s="496"/>
      <c r="P24" s="496"/>
      <c r="Q24" s="496"/>
      <c r="R24" s="496"/>
      <c r="S24" s="496"/>
      <c r="T24" s="496"/>
      <c r="U24" s="496"/>
      <c r="V24" s="496"/>
      <c r="W24" s="496"/>
      <c r="X24" s="496"/>
      <c r="Y24" s="497"/>
      <c r="Z24" s="492" t="str">
        <f>IF(C24="","",VLOOKUP(C24,STD!A26:G38,4,TRUE))</f>
        <v/>
      </c>
      <c r="AA24" s="471"/>
      <c r="AB24" s="471"/>
      <c r="AC24" s="471"/>
      <c r="AD24" s="471"/>
      <c r="AE24" s="471"/>
      <c r="AF24" s="492" t="str">
        <f>IF(C24="","",VLOOKUP(C24,STD!A26:G38,5,FALSE))</f>
        <v/>
      </c>
      <c r="AG24" s="471"/>
      <c r="AH24" s="471"/>
      <c r="AI24" s="471"/>
      <c r="AJ24" s="471"/>
      <c r="AK24" s="471"/>
      <c r="AL24" s="471"/>
      <c r="AM24" s="471"/>
      <c r="AN24" s="445" t="str">
        <f>IF(C24="","",VLOOKUP(C24,STD!A26:G38,6,TRUE))</f>
        <v/>
      </c>
      <c r="AO24" s="446"/>
      <c r="AP24" s="446"/>
      <c r="AQ24" s="446"/>
      <c r="AR24" s="446"/>
      <c r="AS24" s="446"/>
      <c r="AT24" s="446"/>
      <c r="AU24" s="23"/>
    </row>
    <row r="25" spans="1:55" ht="16.5" customHeight="1">
      <c r="B25" s="84"/>
      <c r="C25" s="463"/>
      <c r="D25" s="463"/>
      <c r="E25" s="463"/>
      <c r="F25" s="463"/>
      <c r="G25" s="463"/>
      <c r="H25" s="463"/>
      <c r="I25" s="489" t="str">
        <f>IF(C25="","",VLOOKUP(C25,STD!A:G,2,FALSE))</f>
        <v/>
      </c>
      <c r="J25" s="490"/>
      <c r="K25" s="490"/>
      <c r="L25" s="490"/>
      <c r="M25" s="490"/>
      <c r="N25" s="490"/>
      <c r="O25" s="490"/>
      <c r="P25" s="490"/>
      <c r="Q25" s="490"/>
      <c r="R25" s="490"/>
      <c r="S25" s="490"/>
      <c r="T25" s="490"/>
      <c r="U25" s="490"/>
      <c r="V25" s="490"/>
      <c r="W25" s="490"/>
      <c r="X25" s="490"/>
      <c r="Y25" s="491"/>
      <c r="Z25" s="462" t="str">
        <f>IF(C25="","",VLOOKUP(C25,STD!A:G,4,FALSE))</f>
        <v/>
      </c>
      <c r="AA25" s="463"/>
      <c r="AB25" s="463"/>
      <c r="AC25" s="463"/>
      <c r="AD25" s="463"/>
      <c r="AE25" s="463"/>
      <c r="AF25" s="462" t="str">
        <f>IF(C25="","",VLOOKUP(C25,STD!A:G,5,FALSE))</f>
        <v/>
      </c>
      <c r="AG25" s="463"/>
      <c r="AH25" s="463"/>
      <c r="AI25" s="463"/>
      <c r="AJ25" s="463"/>
      <c r="AK25" s="463"/>
      <c r="AL25" s="463"/>
      <c r="AM25" s="463"/>
      <c r="AN25" s="443" t="str">
        <f>IF(C25="","",VLOOKUP(C25,STD!A:G,6,FALSE))</f>
        <v/>
      </c>
      <c r="AO25" s="444"/>
      <c r="AP25" s="444"/>
      <c r="AQ25" s="444"/>
      <c r="AR25" s="444"/>
      <c r="AS25" s="444"/>
      <c r="AT25" s="444"/>
      <c r="AU25" s="23"/>
    </row>
    <row r="26" spans="1:55" ht="16.5" customHeight="1">
      <c r="C26" s="20"/>
      <c r="D26" s="20"/>
      <c r="E26" s="20"/>
      <c r="F26" s="20"/>
      <c r="G26" s="20" t="s">
        <v>46</v>
      </c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U26" s="51"/>
    </row>
    <row r="27" spans="1:55" ht="16.5" customHeight="1">
      <c r="B27" s="442" t="s">
        <v>1</v>
      </c>
      <c r="C27" s="442"/>
      <c r="D27" s="442"/>
      <c r="E27" s="442"/>
      <c r="F27" s="442"/>
      <c r="G27" s="442"/>
      <c r="H27" s="442"/>
      <c r="M27" s="23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458" t="s">
        <v>27</v>
      </c>
      <c r="AA27" s="458"/>
      <c r="AB27" s="458"/>
      <c r="AC27" s="458"/>
      <c r="AD27" s="458"/>
      <c r="AE27" s="458"/>
      <c r="AF27" s="458" t="s">
        <v>28</v>
      </c>
      <c r="AG27" s="458"/>
      <c r="AH27" s="458"/>
      <c r="AI27" s="458"/>
      <c r="AJ27" s="458"/>
      <c r="AK27" s="458"/>
      <c r="AL27" s="458"/>
      <c r="AM27" s="458"/>
      <c r="AN27" s="458" t="s">
        <v>508</v>
      </c>
      <c r="AO27" s="458"/>
      <c r="AP27" s="458"/>
      <c r="AQ27" s="458"/>
      <c r="AR27" s="458"/>
      <c r="AS27" s="458"/>
      <c r="AT27" s="458"/>
      <c r="AU27" s="51"/>
    </row>
    <row r="28" spans="1:55" ht="8.25" customHeight="1">
      <c r="A28" s="56"/>
      <c r="B28" s="56"/>
      <c r="C28" s="56"/>
      <c r="D28" s="56"/>
      <c r="E28" s="56"/>
      <c r="F28" s="56"/>
      <c r="M28" s="23"/>
      <c r="R28" s="56"/>
      <c r="S28" s="56"/>
      <c r="T28" s="56"/>
      <c r="W28" s="56"/>
      <c r="Y28" s="56"/>
      <c r="Z28" s="56"/>
      <c r="AA28" s="56"/>
      <c r="AB28" s="56"/>
    </row>
    <row r="29" spans="1:55" ht="16.5" customHeight="1">
      <c r="B29" s="41"/>
      <c r="C29" s="474"/>
      <c r="D29" s="474"/>
      <c r="E29" s="474"/>
      <c r="F29" s="474"/>
      <c r="G29" s="474"/>
      <c r="H29" s="474"/>
      <c r="I29" s="472" t="str">
        <f>IF(C29="","",VLOOKUP(C29,STD!$A$13:$G$21,2,FALSE))</f>
        <v/>
      </c>
      <c r="J29" s="473"/>
      <c r="K29" s="473"/>
      <c r="L29" s="473"/>
      <c r="M29" s="473"/>
      <c r="N29" s="473"/>
      <c r="O29" s="473"/>
      <c r="P29" s="473"/>
      <c r="Q29" s="473"/>
      <c r="R29" s="473"/>
      <c r="S29" s="473"/>
      <c r="T29" s="473"/>
      <c r="U29" s="473"/>
      <c r="V29" s="473"/>
      <c r="W29" s="473"/>
      <c r="X29" s="473"/>
      <c r="Y29" s="473"/>
      <c r="Z29" s="447" t="str">
        <f>IF(C29="","",VLOOKUP(C29,STD!$A$13:$G$21,4,FALSE))</f>
        <v/>
      </c>
      <c r="AA29" s="448"/>
      <c r="AB29" s="448"/>
      <c r="AC29" s="448"/>
      <c r="AD29" s="448"/>
      <c r="AE29" s="448"/>
      <c r="AF29" s="447" t="str">
        <f>IF(C29="","",VLOOKUP(C29,STD!$A$13:$G$21,5,FALSE))</f>
        <v/>
      </c>
      <c r="AG29" s="448"/>
      <c r="AH29" s="448"/>
      <c r="AI29" s="448"/>
      <c r="AJ29" s="448"/>
      <c r="AK29" s="448"/>
      <c r="AL29" s="448"/>
      <c r="AM29" s="448"/>
      <c r="AN29" s="445" t="str">
        <f>IF(C29="","",VLOOKUP(C29,STD!$A$13:$G$21,6,FALSE))</f>
        <v/>
      </c>
      <c r="AO29" s="446"/>
      <c r="AP29" s="446"/>
      <c r="AQ29" s="446"/>
      <c r="AR29" s="446"/>
      <c r="AS29" s="446"/>
      <c r="AT29" s="446"/>
      <c r="AU29" s="11"/>
    </row>
    <row r="30" spans="1:55" ht="16.5" customHeight="1">
      <c r="B30" s="41"/>
      <c r="C30" s="474"/>
      <c r="D30" s="474"/>
      <c r="E30" s="474"/>
      <c r="F30" s="474"/>
      <c r="G30" s="474"/>
      <c r="H30" s="474"/>
      <c r="I30" s="472" t="str">
        <f>IF(C30="","",VLOOKUP(C30,STD!$A$13:$G$21,2,FALSE))</f>
        <v/>
      </c>
      <c r="J30" s="473"/>
      <c r="K30" s="473"/>
      <c r="L30" s="473"/>
      <c r="M30" s="473"/>
      <c r="N30" s="473"/>
      <c r="O30" s="473"/>
      <c r="P30" s="473"/>
      <c r="Q30" s="473"/>
      <c r="R30" s="473"/>
      <c r="S30" s="473"/>
      <c r="T30" s="473"/>
      <c r="U30" s="473"/>
      <c r="V30" s="473"/>
      <c r="W30" s="473"/>
      <c r="X30" s="473"/>
      <c r="Y30" s="473"/>
      <c r="Z30" s="447" t="str">
        <f>IF(C30="","",VLOOKUP(C30,STD!$A$13:$G$21,4,FALSE))</f>
        <v/>
      </c>
      <c r="AA30" s="448"/>
      <c r="AB30" s="448"/>
      <c r="AC30" s="448"/>
      <c r="AD30" s="448"/>
      <c r="AE30" s="448"/>
      <c r="AF30" s="447" t="str">
        <f>IF(C30="","",VLOOKUP(C30,STD!$A$13:$G$21,5,FALSE))</f>
        <v/>
      </c>
      <c r="AG30" s="448"/>
      <c r="AH30" s="448"/>
      <c r="AI30" s="448"/>
      <c r="AJ30" s="448"/>
      <c r="AK30" s="448"/>
      <c r="AL30" s="448"/>
      <c r="AM30" s="448"/>
      <c r="AN30" s="445" t="str">
        <f>IF(C30="","",VLOOKUP(C30,STD!$A$13:$G$21,6,FALSE))</f>
        <v/>
      </c>
      <c r="AO30" s="446"/>
      <c r="AP30" s="446"/>
      <c r="AQ30" s="446"/>
      <c r="AR30" s="446"/>
      <c r="AS30" s="446"/>
      <c r="AT30" s="446"/>
      <c r="AU30" s="23"/>
    </row>
    <row r="31" spans="1:55" ht="16.5" customHeight="1">
      <c r="B31" s="41"/>
      <c r="C31" s="471"/>
      <c r="D31" s="471"/>
      <c r="E31" s="471"/>
      <c r="F31" s="471"/>
      <c r="G31" s="471"/>
      <c r="H31" s="471"/>
      <c r="I31" s="472" t="str">
        <f>IF(C31="","",VLOOKUP(C31,STD!$A$13:$G$21,2,FALSE))</f>
        <v/>
      </c>
      <c r="J31" s="473"/>
      <c r="K31" s="473"/>
      <c r="L31" s="473"/>
      <c r="M31" s="473"/>
      <c r="N31" s="473"/>
      <c r="O31" s="473"/>
      <c r="P31" s="473"/>
      <c r="Q31" s="473"/>
      <c r="R31" s="473"/>
      <c r="S31" s="473"/>
      <c r="T31" s="473"/>
      <c r="U31" s="473"/>
      <c r="V31" s="473"/>
      <c r="W31" s="473"/>
      <c r="X31" s="473"/>
      <c r="Y31" s="473"/>
      <c r="Z31" s="447" t="str">
        <f>IF(C31="","",VLOOKUP(C31,STD!$A$13:$G$21,4,FALSE))</f>
        <v/>
      </c>
      <c r="AA31" s="448"/>
      <c r="AB31" s="448"/>
      <c r="AC31" s="448"/>
      <c r="AD31" s="448"/>
      <c r="AE31" s="448"/>
      <c r="AF31" s="447" t="str">
        <f>IF(C31="","",VLOOKUP(C31,STD!$A$13:$G$21,5,FALSE))</f>
        <v/>
      </c>
      <c r="AG31" s="448"/>
      <c r="AH31" s="448"/>
      <c r="AI31" s="448"/>
      <c r="AJ31" s="448"/>
      <c r="AK31" s="448"/>
      <c r="AL31" s="448"/>
      <c r="AM31" s="448"/>
      <c r="AN31" s="445" t="str">
        <f>IF(C31="","",VLOOKUP(C31,STD!$A$13:$G$21,6,FALSE))</f>
        <v/>
      </c>
      <c r="AO31" s="446"/>
      <c r="AP31" s="446"/>
      <c r="AQ31" s="446"/>
      <c r="AR31" s="446"/>
      <c r="AS31" s="446"/>
      <c r="AT31" s="446"/>
    </row>
    <row r="32" spans="1:55" ht="16.5" customHeight="1">
      <c r="B32" s="41"/>
      <c r="C32" s="471"/>
      <c r="D32" s="471"/>
      <c r="E32" s="471"/>
      <c r="F32" s="471"/>
      <c r="G32" s="471"/>
      <c r="H32" s="471"/>
      <c r="I32" s="472" t="str">
        <f>IF(C32="","",VLOOKUP(C32,STD!$A$13:$G$21,2,FALSE))</f>
        <v/>
      </c>
      <c r="J32" s="473"/>
      <c r="K32" s="473"/>
      <c r="L32" s="473"/>
      <c r="M32" s="473"/>
      <c r="N32" s="473"/>
      <c r="O32" s="473"/>
      <c r="P32" s="473"/>
      <c r="Q32" s="473"/>
      <c r="R32" s="473"/>
      <c r="S32" s="473"/>
      <c r="T32" s="473"/>
      <c r="U32" s="473"/>
      <c r="V32" s="473"/>
      <c r="W32" s="473"/>
      <c r="X32" s="473"/>
      <c r="Y32" s="473"/>
      <c r="Z32" s="447" t="str">
        <f>IF(C32="","",VLOOKUP(C32,STD!$A$13:$G$21,4,FALSE))</f>
        <v/>
      </c>
      <c r="AA32" s="448"/>
      <c r="AB32" s="448"/>
      <c r="AC32" s="448"/>
      <c r="AD32" s="448"/>
      <c r="AE32" s="448"/>
      <c r="AF32" s="447" t="str">
        <f>IF(C32="","",VLOOKUP(C32,STD!$A$13:$G$21,5,FALSE))</f>
        <v/>
      </c>
      <c r="AG32" s="448"/>
      <c r="AH32" s="448"/>
      <c r="AI32" s="448"/>
      <c r="AJ32" s="448"/>
      <c r="AK32" s="448"/>
      <c r="AL32" s="448"/>
      <c r="AM32" s="448"/>
      <c r="AN32" s="445" t="str">
        <f>IF(C32="","",VLOOKUP(C32,STD!$A$13:$G$21,6,FALSE))</f>
        <v/>
      </c>
      <c r="AO32" s="446"/>
      <c r="AP32" s="446"/>
      <c r="AQ32" s="446"/>
      <c r="AR32" s="446"/>
      <c r="AS32" s="446"/>
      <c r="AT32" s="446"/>
    </row>
    <row r="33" spans="1:47" ht="16.5" customHeight="1">
      <c r="C33" s="20"/>
      <c r="E33" s="20"/>
      <c r="G33" s="20"/>
      <c r="I33" s="20"/>
      <c r="K33" s="20"/>
      <c r="M33" s="20"/>
      <c r="O33" s="20"/>
      <c r="Q33" s="20"/>
      <c r="S33" s="20"/>
      <c r="U33" s="20"/>
      <c r="W33" s="20"/>
      <c r="Y33" s="20"/>
      <c r="AA33" s="20"/>
      <c r="AC33" s="20"/>
      <c r="AE33" s="20"/>
      <c r="AG33" s="20"/>
      <c r="AI33" s="20"/>
      <c r="AK33" s="20"/>
      <c r="AM33" s="20"/>
      <c r="AO33" s="20"/>
      <c r="AQ33" s="20"/>
      <c r="AS33" s="20"/>
    </row>
    <row r="34" spans="1:47" ht="16.5" customHeight="1">
      <c r="K34" s="23"/>
      <c r="L34" s="23"/>
      <c r="M34" s="23"/>
      <c r="N34" s="23"/>
      <c r="O34" s="23"/>
      <c r="P34" s="23"/>
      <c r="Q34" s="23"/>
      <c r="R34" s="23"/>
      <c r="S34" s="23"/>
      <c r="T34" s="23"/>
    </row>
    <row r="35" spans="1:47" ht="16.5" customHeight="1">
      <c r="F35" s="28"/>
      <c r="G35" s="28"/>
      <c r="H35" s="28"/>
      <c r="I35" s="23"/>
      <c r="J35" s="23"/>
      <c r="K35" s="23"/>
      <c r="L35" s="23"/>
      <c r="M35" s="23"/>
      <c r="R35" s="28"/>
      <c r="S35" s="28"/>
      <c r="T35" s="28"/>
      <c r="U35" s="23"/>
      <c r="V35" s="23"/>
      <c r="AD35" s="28"/>
      <c r="AE35" s="28"/>
      <c r="AF35" s="28"/>
      <c r="AG35" s="23"/>
      <c r="AH35" s="23"/>
      <c r="AP35" s="28"/>
      <c r="AQ35" s="28"/>
      <c r="AR35" s="28"/>
      <c r="AS35" s="23"/>
      <c r="AT35" s="23"/>
    </row>
    <row r="36" spans="1:47" ht="16.5" customHeight="1">
      <c r="B36" s="23"/>
      <c r="C36" s="23"/>
      <c r="D36" s="23"/>
      <c r="E36" s="23"/>
      <c r="F36" s="23"/>
      <c r="G36" s="23"/>
      <c r="H36" s="23"/>
      <c r="I36" s="23"/>
      <c r="J36" s="20"/>
      <c r="K36" s="20"/>
      <c r="L36" s="20"/>
      <c r="M36" s="20"/>
      <c r="N36" s="23"/>
      <c r="O36" s="23"/>
      <c r="P36" s="23"/>
      <c r="AT36" s="28"/>
      <c r="AU36" s="28"/>
    </row>
    <row r="37" spans="1:47" ht="16.5" customHeight="1">
      <c r="A37" s="469" t="s">
        <v>12</v>
      </c>
      <c r="B37" s="469"/>
      <c r="C37" s="469"/>
      <c r="D37" s="469"/>
      <c r="E37" s="469"/>
      <c r="F37" s="468"/>
      <c r="G37" s="468"/>
      <c r="H37" s="468"/>
      <c r="I37" s="468"/>
      <c r="J37" s="468"/>
      <c r="K37" s="468"/>
      <c r="L37" s="468"/>
      <c r="M37" s="468"/>
      <c r="N37" s="468"/>
      <c r="O37" s="468"/>
      <c r="Q37" s="20" t="s">
        <v>13</v>
      </c>
      <c r="R37" s="23"/>
      <c r="S37" s="470" t="str">
        <f ca="1">I18</f>
        <v/>
      </c>
      <c r="T37" s="470"/>
      <c r="U37" s="470"/>
      <c r="V37" s="470"/>
      <c r="W37" s="470"/>
      <c r="X37" s="469" t="s">
        <v>85</v>
      </c>
      <c r="Y37" s="469"/>
      <c r="Z37" s="469"/>
      <c r="AA37" s="469"/>
      <c r="AB37" s="469"/>
      <c r="AC37" s="468"/>
      <c r="AD37" s="468"/>
      <c r="AE37" s="468"/>
      <c r="AF37" s="468"/>
      <c r="AG37" s="468"/>
      <c r="AH37" s="468"/>
      <c r="AI37" s="468"/>
      <c r="AJ37" s="468"/>
      <c r="AK37" s="468"/>
      <c r="AL37" s="468"/>
      <c r="AN37" s="407" t="s">
        <v>13</v>
      </c>
      <c r="AO37" s="407"/>
      <c r="AP37" s="467" t="str">
        <f ca="1">S37</f>
        <v/>
      </c>
      <c r="AQ37" s="467"/>
      <c r="AR37" s="467"/>
      <c r="AS37" s="467"/>
      <c r="AT37" s="467"/>
    </row>
    <row r="38" spans="1:47" ht="16.5" customHeight="1">
      <c r="B38" s="11" t="s">
        <v>15</v>
      </c>
      <c r="C38" s="11"/>
      <c r="D38" s="466"/>
      <c r="E38" s="466"/>
      <c r="F38" s="466"/>
      <c r="G38" s="466"/>
      <c r="H38" s="466"/>
      <c r="I38" s="466"/>
      <c r="J38" s="466"/>
      <c r="K38" s="466"/>
      <c r="L38" s="466"/>
      <c r="M38" s="466"/>
      <c r="N38" s="466"/>
      <c r="O38" s="466"/>
      <c r="P38" s="466"/>
      <c r="Q38" s="466"/>
      <c r="R38" s="466"/>
      <c r="S38" s="466"/>
      <c r="T38" s="466"/>
      <c r="U38" s="466"/>
      <c r="V38" s="466"/>
      <c r="W38" s="466"/>
      <c r="X38" s="466"/>
      <c r="Y38" s="466"/>
      <c r="Z38" s="466"/>
      <c r="AA38" s="466"/>
      <c r="AB38" s="466"/>
      <c r="AC38" s="466"/>
      <c r="AD38" s="466"/>
      <c r="AE38" s="466"/>
      <c r="AF38" s="466"/>
      <c r="AG38" s="466"/>
      <c r="AH38" s="466"/>
      <c r="AI38" s="466"/>
      <c r="AJ38" s="466"/>
      <c r="AK38" s="466"/>
      <c r="AL38" s="466"/>
      <c r="AM38" s="466"/>
      <c r="AN38" s="466"/>
      <c r="AO38" s="466"/>
      <c r="AP38" s="466"/>
      <c r="AQ38" s="466"/>
      <c r="AR38" s="466"/>
      <c r="AS38" s="466"/>
      <c r="AT38" s="466"/>
    </row>
    <row r="39" spans="1:47" ht="16.5" customHeight="1">
      <c r="C39" s="466"/>
      <c r="D39" s="466"/>
      <c r="E39" s="466"/>
      <c r="F39" s="466"/>
      <c r="G39" s="466"/>
      <c r="H39" s="466"/>
      <c r="I39" s="466"/>
      <c r="J39" s="466"/>
      <c r="K39" s="466"/>
      <c r="L39" s="466"/>
      <c r="M39" s="466"/>
      <c r="N39" s="466"/>
      <c r="O39" s="466"/>
      <c r="P39" s="466"/>
      <c r="Q39" s="466"/>
      <c r="R39" s="466"/>
      <c r="S39" s="466"/>
      <c r="T39" s="466"/>
      <c r="U39" s="466"/>
      <c r="V39" s="466"/>
      <c r="W39" s="466"/>
      <c r="X39" s="466"/>
      <c r="Y39" s="466"/>
      <c r="Z39" s="466"/>
      <c r="AA39" s="466"/>
      <c r="AB39" s="466"/>
      <c r="AC39" s="466"/>
      <c r="AD39" s="466"/>
      <c r="AE39" s="466"/>
      <c r="AF39" s="466"/>
      <c r="AG39" s="466"/>
      <c r="AH39" s="466"/>
      <c r="AI39" s="466"/>
      <c r="AJ39" s="466"/>
      <c r="AK39" s="466"/>
      <c r="AL39" s="466"/>
      <c r="AM39" s="466"/>
      <c r="AN39" s="466"/>
      <c r="AO39" s="466"/>
      <c r="AP39" s="466"/>
      <c r="AQ39" s="466"/>
      <c r="AR39" s="466"/>
      <c r="AS39" s="466"/>
      <c r="AT39" s="466"/>
    </row>
    <row r="40" spans="1:47" ht="16.5" customHeight="1"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7" ht="16.5" customHeight="1">
      <c r="A41" s="465"/>
      <c r="B41" s="465"/>
      <c r="C41" s="465"/>
      <c r="D41" s="465"/>
      <c r="E41" s="465"/>
      <c r="F41" s="465"/>
      <c r="G41" s="465"/>
      <c r="H41" s="465"/>
      <c r="I41" s="465"/>
      <c r="J41" s="465"/>
      <c r="K41" s="465"/>
      <c r="L41" s="465"/>
      <c r="M41" s="465"/>
      <c r="N41" s="465"/>
      <c r="O41" s="465"/>
      <c r="P41" s="465"/>
      <c r="Q41" s="465"/>
      <c r="R41" s="465"/>
      <c r="S41" s="465"/>
      <c r="T41" s="465"/>
      <c r="U41" s="465"/>
      <c r="V41" s="465"/>
      <c r="W41" s="465"/>
      <c r="X41" s="465"/>
      <c r="Y41" s="465"/>
      <c r="Z41" s="465"/>
      <c r="AA41" s="465"/>
      <c r="AB41" s="465"/>
      <c r="AC41" s="465"/>
      <c r="AD41" s="465"/>
      <c r="AE41" s="465"/>
      <c r="AF41" s="465"/>
      <c r="AG41" s="465"/>
      <c r="AH41" s="465"/>
      <c r="AI41" s="465"/>
      <c r="AJ41" s="465"/>
      <c r="AK41" s="465"/>
      <c r="AL41" s="465"/>
      <c r="AM41" s="465"/>
      <c r="AN41" s="465"/>
      <c r="AO41" s="465"/>
      <c r="AP41" s="465"/>
      <c r="AQ41" s="465"/>
      <c r="AR41" s="465"/>
      <c r="AS41" s="465"/>
      <c r="AT41" s="465"/>
    </row>
  </sheetData>
  <protectedRanges>
    <protectedRange sqref="AO1" name="Range10_2_1"/>
    <protectedRange sqref="AR1" name="Range11_2_1"/>
    <protectedRange sqref="O19:P19" name="Range4_2"/>
    <protectedRange sqref="F19:I19" name="Range3_2"/>
    <protectedRange sqref="F10 I10:S10" name="Range2_3"/>
    <protectedRange sqref="AQ4:AR5 AQ6 AO4:AO6" name="Range1_2"/>
    <protectedRange sqref="AD1" name="Range10_2"/>
    <protectedRange sqref="AG1" name="Range11_2"/>
    <protectedRange sqref="Z18:Z19" name="Range5_1_1"/>
    <protectedRange sqref="AS9 AP9:AP11 AN9 AK9:AK11" name="Range12_2_3"/>
    <protectedRange sqref="I11:T15" name="Range2_3_1"/>
    <protectedRange sqref="I17:N18 I16:T16" name="Range2_3_2_1"/>
    <protectedRange sqref="T17:U18" name="Range4_1_2_1"/>
    <protectedRange sqref="I7:S9" name="Range2_3_1_1"/>
  </protectedRanges>
  <dataConsolidate/>
  <mergeCells count="104">
    <mergeCell ref="B20:I20"/>
    <mergeCell ref="AL16:AP16"/>
    <mergeCell ref="AE12:AS12"/>
    <mergeCell ref="I16:S16"/>
    <mergeCell ref="I17:S17"/>
    <mergeCell ref="I18:S18"/>
    <mergeCell ref="I13:AC13"/>
    <mergeCell ref="AH6:AN6"/>
    <mergeCell ref="AN9:AO9"/>
    <mergeCell ref="I12:AC12"/>
    <mergeCell ref="I14:AC14"/>
    <mergeCell ref="I15:AC15"/>
    <mergeCell ref="AN10:AO10"/>
    <mergeCell ref="I6:K6"/>
    <mergeCell ref="I8:AC8"/>
    <mergeCell ref="AE7:AM7"/>
    <mergeCell ref="AE13:AS13"/>
    <mergeCell ref="AJ14:AO14"/>
    <mergeCell ref="AP14:AS14"/>
    <mergeCell ref="I11:AC11"/>
    <mergeCell ref="AN23:AT23"/>
    <mergeCell ref="I25:Y25"/>
    <mergeCell ref="AF22:AM22"/>
    <mergeCell ref="Z24:AE24"/>
    <mergeCell ref="AF24:AM24"/>
    <mergeCell ref="AN22:AT22"/>
    <mergeCell ref="C22:H22"/>
    <mergeCell ref="Z22:AE22"/>
    <mergeCell ref="AF23:AM23"/>
    <mergeCell ref="Z23:AE23"/>
    <mergeCell ref="C23:H23"/>
    <mergeCell ref="C24:H24"/>
    <mergeCell ref="I22:Y22"/>
    <mergeCell ref="I23:Y23"/>
    <mergeCell ref="I24:Y24"/>
    <mergeCell ref="AN24:AT24"/>
    <mergeCell ref="AL1:AN1"/>
    <mergeCell ref="AO1:AP1"/>
    <mergeCell ref="AR1:AS1"/>
    <mergeCell ref="AR4:AS4"/>
    <mergeCell ref="AO4:AQ4"/>
    <mergeCell ref="I10:AC10"/>
    <mergeCell ref="AK8:AO8"/>
    <mergeCell ref="AP9:AR9"/>
    <mergeCell ref="AS9:AT9"/>
    <mergeCell ref="AI4:AN4"/>
    <mergeCell ref="AE8:AJ8"/>
    <mergeCell ref="I9:AC9"/>
    <mergeCell ref="AE9:AJ9"/>
    <mergeCell ref="AE10:AJ10"/>
    <mergeCell ref="AH5:AN5"/>
    <mergeCell ref="AO5:AS5"/>
    <mergeCell ref="AO6:AP6"/>
    <mergeCell ref="I7:AC7"/>
    <mergeCell ref="C32:H32"/>
    <mergeCell ref="Z29:AE29"/>
    <mergeCell ref="Z31:AE31"/>
    <mergeCell ref="AF31:AM31"/>
    <mergeCell ref="AN31:AT31"/>
    <mergeCell ref="Z32:AE32"/>
    <mergeCell ref="C31:H31"/>
    <mergeCell ref="I29:Y29"/>
    <mergeCell ref="I30:Y30"/>
    <mergeCell ref="I31:Y31"/>
    <mergeCell ref="I32:Y32"/>
    <mergeCell ref="AF32:AM32"/>
    <mergeCell ref="AN32:AT32"/>
    <mergeCell ref="AF29:AM29"/>
    <mergeCell ref="C29:H29"/>
    <mergeCell ref="C30:H30"/>
    <mergeCell ref="A41:AT41"/>
    <mergeCell ref="C39:AT39"/>
    <mergeCell ref="AP37:AT37"/>
    <mergeCell ref="AC37:AL37"/>
    <mergeCell ref="X37:AB37"/>
    <mergeCell ref="A37:E37"/>
    <mergeCell ref="F37:O37"/>
    <mergeCell ref="S37:W37"/>
    <mergeCell ref="AN37:AO37"/>
    <mergeCell ref="D38:AT38"/>
    <mergeCell ref="B27:H27"/>
    <mergeCell ref="AN25:AT25"/>
    <mergeCell ref="AN29:AT29"/>
    <mergeCell ref="Z30:AE30"/>
    <mergeCell ref="AV8:AW8"/>
    <mergeCell ref="AP8:AT8"/>
    <mergeCell ref="AP10:AR10"/>
    <mergeCell ref="AK9:AM9"/>
    <mergeCell ref="AK10:AM10"/>
    <mergeCell ref="Z27:AE27"/>
    <mergeCell ref="AF27:AM27"/>
    <mergeCell ref="AN27:AT27"/>
    <mergeCell ref="AS10:AT10"/>
    <mergeCell ref="AB17:AT17"/>
    <mergeCell ref="AG19:AT19"/>
    <mergeCell ref="AN20:AT20"/>
    <mergeCell ref="Z25:AE25"/>
    <mergeCell ref="AF25:AM25"/>
    <mergeCell ref="AI15:AP15"/>
    <mergeCell ref="AF30:AM30"/>
    <mergeCell ref="AN30:AT30"/>
    <mergeCell ref="C25:H25"/>
    <mergeCell ref="Z20:AE20"/>
    <mergeCell ref="AF20:AM20"/>
  </mergeCells>
  <phoneticPr fontId="9" type="noConversion"/>
  <dataValidations count="4">
    <dataValidation type="list" allowBlank="1" showInputMessage="1" showErrorMessage="1" sqref="AC37:AL37 F37:O37" xr:uid="{00000000-0002-0000-0300-000000000000}">
      <formula1>Name.Personnel</formula1>
    </dataValidation>
    <dataValidation type="list" allowBlank="1" showInputMessage="1" showErrorMessage="1" sqref="C29:C32" xr:uid="{00000000-0002-0000-0300-000001000000}">
      <formula1>Toolcode.Apparatus</formula1>
    </dataValidation>
    <dataValidation type="list" allowBlank="1" showInputMessage="1" showErrorMessage="1" sqref="C22" xr:uid="{00000000-0002-0000-0300-000002000000}">
      <formula1>Toolcode.Ref.STD</formula1>
    </dataValidation>
    <dataValidation type="list" allowBlank="1" showInputMessage="1" showErrorMessage="1" sqref="C24:H25" xr:uid="{00000000-0002-0000-0300-000003000000}">
      <formula1>INDIRECT($C$22)</formula1>
    </dataValidation>
  </dataValidations>
  <pageMargins left="0.19685039370078741" right="0.19685039370078741" top="0.19685039370078741" bottom="0.19685039370078741" header="0.31496062992125984" footer="0.31496062992125984"/>
  <pageSetup paperSize="9" scale="80" orientation="portrait" r:id="rId1"/>
  <headerFooter>
    <oddFooter>&amp;L&amp;"Times New Roman,Regular"P-WI-09-TEM-003-1 R03 (19/08/68) P&amp;P/&amp;N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1" r:id="rId4" name="Check Box 23">
              <controlPr defaultSize="0" autoFill="0" autoLine="0" autoPict="0">
                <anchor moveWithCells="1">
                  <from>
                    <xdr:col>26</xdr:col>
                    <xdr:colOff>161925</xdr:colOff>
                    <xdr:row>17</xdr:row>
                    <xdr:rowOff>9525</xdr:rowOff>
                  </from>
                  <to>
                    <xdr:col>30</xdr:col>
                    <xdr:colOff>76200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5" name="Check Box 26">
              <controlPr defaultSize="0" autoFill="0" autoLine="0" autoPict="0">
                <anchor moveWithCells="1">
                  <from>
                    <xdr:col>26</xdr:col>
                    <xdr:colOff>171450</xdr:colOff>
                    <xdr:row>17</xdr:row>
                    <xdr:rowOff>200025</xdr:rowOff>
                  </from>
                  <to>
                    <xdr:col>28</xdr:col>
                    <xdr:colOff>57150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6" name="Button 29">
              <controlPr defaultSize="0" print="0" autoFill="0" autoPict="0" macro="[0]!create_cal">
                <anchor moveWithCells="1" sizeWithCells="1">
                  <from>
                    <xdr:col>50</xdr:col>
                    <xdr:colOff>9525</xdr:colOff>
                    <xdr:row>14</xdr:row>
                    <xdr:rowOff>19050</xdr:rowOff>
                  </from>
                  <to>
                    <xdr:col>51</xdr:col>
                    <xdr:colOff>457200</xdr:colOff>
                    <xdr:row>15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300-000004000000}">
          <x14:formula1>
            <xm:f>Data!$K$2:$K$12</xm:f>
          </x14:formula1>
          <xm:sqref>I11:AC11</xm:sqref>
        </x14:dataValidation>
        <x14:dataValidation type="list" allowBlank="1" showInputMessage="1" showErrorMessage="1" xr:uid="{00000000-0002-0000-0300-000005000000}">
          <x14:formula1>
            <xm:f>STD!$P$1:$P$10</xm:f>
          </x14:formula1>
          <xm:sqref>AJ14:AO14</xm:sqref>
        </x14:dataValidation>
        <x14:dataValidation type="list" allowBlank="1" showInputMessage="1" showErrorMessage="1" xr:uid="{00000000-0002-0000-0300-000006000000}">
          <x14:formula1>
            <xm:f>STD!$P$12:$P$15</xm:f>
          </x14:formula1>
          <xm:sqref>AE13:AS13</xm:sqref>
        </x14:dataValidation>
        <x14:dataValidation type="list" allowBlank="1" showInputMessage="1" showErrorMessage="1" xr:uid="{00000000-0002-0000-0300-000007000000}">
          <x14:formula1>
            <xm:f>Data!$A$3:$A$54</xm:f>
          </x14:formula1>
          <xm:sqref>I6:K6</xm:sqref>
        </x14:dataValidation>
        <x14:dataValidation type="list" allowBlank="1" showInputMessage="1" showErrorMessage="1" xr:uid="{FA5621C8-0F6D-425A-A94A-1114AED613B4}">
          <x14:formula1>
            <xm:f>STD!$A$26:$A$32</xm:f>
          </x14:formula1>
          <xm:sqref>C23:H23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57"/>
  <sheetViews>
    <sheetView topLeftCell="D1" zoomScaleNormal="100" workbookViewId="0">
      <selection activeCell="K14" sqref="K14"/>
    </sheetView>
  </sheetViews>
  <sheetFormatPr defaultColWidth="9.140625" defaultRowHeight="18.75"/>
  <cols>
    <col min="1" max="1" width="8.85546875" style="57" bestFit="1" customWidth="1"/>
    <col min="2" max="2" width="31.28515625" style="57" customWidth="1"/>
    <col min="3" max="3" width="55.28515625" style="57" bestFit="1" customWidth="1"/>
    <col min="4" max="4" width="57.7109375" style="57" bestFit="1" customWidth="1"/>
    <col min="5" max="5" width="21.5703125" style="57" bestFit="1" customWidth="1"/>
    <col min="6" max="6" width="11.5703125" style="57" customWidth="1"/>
    <col min="7" max="7" width="6.85546875" style="57" customWidth="1"/>
    <col min="8" max="8" width="27.42578125" style="57" customWidth="1"/>
    <col min="9" max="9" width="10.85546875" style="57" customWidth="1"/>
    <col min="10" max="10" width="9.140625" style="57"/>
    <col min="11" max="12" width="47.7109375" style="57" customWidth="1"/>
    <col min="13" max="16384" width="9.140625" style="57"/>
  </cols>
  <sheetData>
    <row r="1" spans="1:11">
      <c r="A1" s="512" t="s">
        <v>59</v>
      </c>
      <c r="B1" s="512"/>
      <c r="C1" s="512"/>
      <c r="D1" s="512"/>
      <c r="E1" s="512"/>
      <c r="F1" s="513"/>
      <c r="H1" s="511" t="s">
        <v>286</v>
      </c>
      <c r="I1" s="511"/>
      <c r="J1" s="58"/>
      <c r="K1" s="58" t="s">
        <v>10</v>
      </c>
    </row>
    <row r="2" spans="1:11">
      <c r="A2" s="61" t="s">
        <v>36</v>
      </c>
      <c r="B2" s="62" t="s">
        <v>190</v>
      </c>
      <c r="C2" s="62" t="s">
        <v>285</v>
      </c>
      <c r="D2" s="62" t="s">
        <v>283</v>
      </c>
      <c r="E2" s="62" t="s">
        <v>284</v>
      </c>
      <c r="F2" s="63" t="s">
        <v>191</v>
      </c>
      <c r="G2" s="59"/>
      <c r="H2" s="60" t="s">
        <v>84</v>
      </c>
      <c r="I2" s="60" t="s">
        <v>290</v>
      </c>
      <c r="J2" s="58"/>
      <c r="K2" s="57" t="s">
        <v>163</v>
      </c>
    </row>
    <row r="3" spans="1:11" ht="21.75">
      <c r="A3" s="39">
        <f>IF(Data[[#This Row],[Customer]]="","",Data[[#This Row],[Customer]])</f>
        <v>101</v>
      </c>
      <c r="B3" s="39" t="str">
        <f>IF(Data[[#This Row],[Column2]]="","",Data[[#This Row],[Column2]])</f>
        <v>กรมแพทย์ทหารบก</v>
      </c>
      <c r="C3" s="39" t="str">
        <f>IF(Data[[#This Row],[Column3]]="","",Data[[#This Row],[Column3]])</f>
        <v>Army Medical Department</v>
      </c>
      <c r="D3" s="39" t="str">
        <f>IF(Data[[#This Row],[Column4]]="","",Data[[#This Row],[Column4]])</f>
        <v>8 Phayathai, Thung phayathai, Ratchathewi</v>
      </c>
      <c r="E3" s="39" t="str">
        <f>IF(Data[[#This Row],[Column5]]="","",Data[[#This Row],[Column5]])</f>
        <v>Bangkok</v>
      </c>
      <c r="F3" s="39">
        <f>IF(Data[[#This Row],[Column6]]="","",Data[[#This Row],[Column6]])</f>
        <v>10400</v>
      </c>
      <c r="H3" s="40" t="str">
        <f>IF(Data[[#This Row],[Personnel]]="","",Data[[#This Row],[Personnel]])</f>
        <v>Satit  Tipmanee</v>
      </c>
      <c r="I3" s="40" t="str">
        <f>IF(Data[[#This Row],[Column9]]="","",Data[[#This Row],[Column9]])</f>
        <v>Col.</v>
      </c>
      <c r="J3" s="33"/>
      <c r="K3" s="57" t="s">
        <v>109</v>
      </c>
    </row>
    <row r="4" spans="1:11" ht="21.75">
      <c r="A4" s="39">
        <f>IF(Data[[#This Row],[Customer]]="","",Data[[#This Row],[Customer]])</f>
        <v>102</v>
      </c>
      <c r="B4" s="39" t="str">
        <f>IF(Data[[#This Row],[Column2]]="","",Data[[#This Row],[Column2]])</f>
        <v>รพ.พระมงกุฏเกล้า</v>
      </c>
      <c r="C4" s="39" t="str">
        <f>IF(Data[[#This Row],[Column3]]="","",Data[[#This Row],[Column3]])</f>
        <v>Phramongkutklao Hospital</v>
      </c>
      <c r="D4" s="39" t="str">
        <f>IF(Data[[#This Row],[Column4]]="","",Data[[#This Row],[Column4]])</f>
        <v>315 Ratchawithi, Thung phayathai, Ratchathewi</v>
      </c>
      <c r="E4" s="39" t="str">
        <f>IF(Data[[#This Row],[Column5]]="","",Data[[#This Row],[Column5]])</f>
        <v>Bangkok</v>
      </c>
      <c r="F4" s="39">
        <f>IF(Data[[#This Row],[Column6]]="","",Data[[#This Row],[Column6]])</f>
        <v>10400</v>
      </c>
      <c r="H4" s="40" t="str">
        <f>IF(Data[[#This Row],[Personnel]]="","",Data[[#This Row],[Personnel]])</f>
        <v>Santipap  Chankan</v>
      </c>
      <c r="I4" s="40" t="str">
        <f>IF(Data[[#This Row],[Column9]]="","",Data[[#This Row],[Column9]])</f>
        <v>Lt.Col.</v>
      </c>
      <c r="J4" s="33"/>
      <c r="K4" s="57" t="s">
        <v>110</v>
      </c>
    </row>
    <row r="5" spans="1:11" ht="21.75">
      <c r="A5" s="39">
        <f>IF(Data[[#This Row],[Customer]]="","",Data[[#This Row],[Customer]])</f>
        <v>103</v>
      </c>
      <c r="B5" s="39" t="str">
        <f>IF(Data[[#This Row],[Column2]]="","",Data[[#This Row],[Column2]])</f>
        <v>สถาบันพยาธิวิทยา</v>
      </c>
      <c r="C5" s="39" t="str">
        <f>IF(Data[[#This Row],[Column3]]="","",Data[[#This Row],[Column3]])</f>
        <v>Institute of Pathology</v>
      </c>
      <c r="D5" s="39" t="str">
        <f>IF(Data[[#This Row],[Column4]]="","",Data[[#This Row],[Column4]])</f>
        <v>2/2 Phayathai , Thung phayathai, Ratchathewi</v>
      </c>
      <c r="E5" s="39" t="str">
        <f>IF(Data[[#This Row],[Column5]]="","",Data[[#This Row],[Column5]])</f>
        <v>Bangkok</v>
      </c>
      <c r="F5" s="39">
        <f>IF(Data[[#This Row],[Column6]]="","",Data[[#This Row],[Column6]])</f>
        <v>10400</v>
      </c>
      <c r="H5" s="40" t="str">
        <f>IF(Data[[#This Row],[Personnel]]="","",Data[[#This Row],[Personnel]])</f>
        <v>Totsaphon  Alunpipatthanachai</v>
      </c>
      <c r="I5" s="40" t="str">
        <f>IF(Data[[#This Row],[Column9]]="","",Data[[#This Row],[Column9]])</f>
        <v>Maj.</v>
      </c>
      <c r="J5" s="33"/>
      <c r="K5" s="57" t="s">
        <v>171</v>
      </c>
    </row>
    <row r="6" spans="1:11" ht="21.75">
      <c r="A6" s="39">
        <f>IF(Data[[#This Row],[Customer]]="","",Data[[#This Row],[Customer]])</f>
        <v>104</v>
      </c>
      <c r="B6" s="39" t="str">
        <f>IF(Data[[#This Row],[Column2]]="","",Data[[#This Row],[Column2]])</f>
        <v>รพ.อานันทมหิดล</v>
      </c>
      <c r="C6" s="39" t="str">
        <f>IF(Data[[#This Row],[Column3]]="","",Data[[#This Row],[Column3]])</f>
        <v>Ananda Mahidol Hospital</v>
      </c>
      <c r="D6" s="39" t="str">
        <f>IF(Data[[#This Row],[Column4]]="","",Data[[#This Row],[Column4]])</f>
        <v>35 Khao Sam Yot , Mueang Lopburi</v>
      </c>
      <c r="E6" s="39" t="str">
        <f>IF(Data[[#This Row],[Column5]]="","",Data[[#This Row],[Column5]])</f>
        <v xml:space="preserve"> Lopburi</v>
      </c>
      <c r="F6" s="39">
        <f>IF(Data[[#This Row],[Column6]]="","",Data[[#This Row],[Column6]])</f>
        <v>15000</v>
      </c>
      <c r="H6" s="40" t="str">
        <f>IF(Data[[#This Row],[Personnel]]="","",Data[[#This Row],[Personnel]])</f>
        <v>Tawatchai  Inhom</v>
      </c>
      <c r="I6" s="40" t="str">
        <f>IF(Data[[#This Row],[Column9]]="","",Data[[#This Row],[Column9]])</f>
        <v>Lt.</v>
      </c>
      <c r="J6" s="33"/>
      <c r="K6" s="57" t="s">
        <v>172</v>
      </c>
    </row>
    <row r="7" spans="1:11" ht="21.75">
      <c r="A7" s="39">
        <f>IF(Data[[#This Row],[Customer]]="","",Data[[#This Row],[Customer]])</f>
        <v>105</v>
      </c>
      <c r="B7" s="39" t="str">
        <f>IF(Data[[#This Row],[Column2]]="","",Data[[#This Row],[Column2]])</f>
        <v>รพ.ค่ายธนะรัชต์</v>
      </c>
      <c r="C7" s="39" t="str">
        <f>IF(Data[[#This Row],[Column3]]="","",Data[[#This Row],[Column3]])</f>
        <v>Fort Thanarat Hospital</v>
      </c>
      <c r="D7" s="39" t="str">
        <f>IF(Data[[#This Row],[Column4]]="","",Data[[#This Row],[Column4]])</f>
        <v>125 Phetkasem, Khao Noi, Pranburi</v>
      </c>
      <c r="E7" s="39" t="str">
        <f>IF(Data[[#This Row],[Column5]]="","",Data[[#This Row],[Column5]])</f>
        <v>Prachuap Khiri Khan</v>
      </c>
      <c r="F7" s="39">
        <f>IF(Data[[#This Row],[Column6]]="","",Data[[#This Row],[Column6]])</f>
        <v>77120</v>
      </c>
      <c r="H7" s="40" t="str">
        <f>IF(Data[[#This Row],[Personnel]]="","",Data[[#This Row],[Personnel]])</f>
        <v>Sataporn Rakjaroen</v>
      </c>
      <c r="I7" s="40" t="str">
        <f>IF(Data[[#This Row],[Column9]]="","",Data[[#This Row],[Column9]])</f>
        <v>SubLt.</v>
      </c>
      <c r="J7" s="33"/>
      <c r="K7" s="57" t="s">
        <v>173</v>
      </c>
    </row>
    <row r="8" spans="1:11" ht="21.75">
      <c r="A8" s="39">
        <f>IF(Data[[#This Row],[Customer]]="","",Data[[#This Row],[Customer]])</f>
        <v>106</v>
      </c>
      <c r="B8" s="39" t="str">
        <f>IF(Data[[#This Row],[Column2]]="","",Data[[#This Row],[Column2]])</f>
        <v>รพ.รร.นายร้อยพระจุลจอมเกล้า</v>
      </c>
      <c r="C8" s="39" t="str">
        <f>IF(Data[[#This Row],[Column3]]="","",Data[[#This Row],[Column3]])</f>
        <v>Chulachomklao Royal Military Academy Hospital</v>
      </c>
      <c r="D8" s="39" t="str">
        <f>IF(Data[[#This Row],[Column4]]="","",Data[[#This Row],[Column4]])</f>
        <v>99 Suwansorn , Brahmani, Muang Nakhon Nayok</v>
      </c>
      <c r="E8" s="39" t="str">
        <f>IF(Data[[#This Row],[Column5]]="","",Data[[#This Row],[Column5]])</f>
        <v>Nakhon Nayok</v>
      </c>
      <c r="F8" s="39">
        <f>IF(Data[[#This Row],[Column6]]="","",Data[[#This Row],[Column6]])</f>
        <v>26001</v>
      </c>
      <c r="H8" s="40" t="str">
        <f>IF(Data[[#This Row],[Personnel]]="","",Data[[#This Row],[Personnel]])</f>
        <v>Kriangkrai  Taisawang</v>
      </c>
      <c r="I8" s="40" t="str">
        <f>IF(Data[[#This Row],[Column9]]="","",Data[[#This Row],[Column9]])</f>
        <v>SM1</v>
      </c>
      <c r="J8" s="33"/>
      <c r="K8" s="57" t="s">
        <v>174</v>
      </c>
    </row>
    <row r="9" spans="1:11" ht="21.75">
      <c r="A9" s="39">
        <f>IF(Data[[#This Row],[Customer]]="","",Data[[#This Row],[Customer]])</f>
        <v>107</v>
      </c>
      <c r="B9" s="39" t="str">
        <f>IF(Data[[#This Row],[Column2]]="","",Data[[#This Row],[Column2]])</f>
        <v>รพ.ค่ายจักรพงษ์</v>
      </c>
      <c r="C9" s="39" t="str">
        <f>IF(Data[[#This Row],[Column3]]="","",Data[[#This Row],[Column3]])</f>
        <v>Fort Chakkraphong Hospital</v>
      </c>
      <c r="D9" s="39" t="str">
        <f>IF(Data[[#This Row],[Column4]]="","",Data[[#This Row],[Column4]])</f>
        <v>779 Na Mueang, Muang Prachinburi</v>
      </c>
      <c r="E9" s="39" t="str">
        <f>IF(Data[[#This Row],[Column5]]="","",Data[[#This Row],[Column5]])</f>
        <v>Prachinburi</v>
      </c>
      <c r="F9" s="39">
        <f>IF(Data[[#This Row],[Column6]]="","",Data[[#This Row],[Column6]])</f>
        <v>25000</v>
      </c>
      <c r="H9" s="40" t="str">
        <f>IF(Data[[#This Row],[Personnel]]="","",Data[[#This Row],[Personnel]])</f>
        <v>Sarayut  Ek-onsang</v>
      </c>
      <c r="I9" s="40" t="str">
        <f>IF(Data[[#This Row],[Column9]]="","",Data[[#This Row],[Column9]])</f>
        <v>SM1</v>
      </c>
      <c r="J9" s="33"/>
      <c r="K9" s="57" t="s">
        <v>111</v>
      </c>
    </row>
    <row r="10" spans="1:11" ht="21.75">
      <c r="A10" s="39">
        <f>IF(Data[[#This Row],[Customer]]="","",Data[[#This Row],[Customer]])</f>
        <v>108</v>
      </c>
      <c r="B10" s="39" t="str">
        <f>IF(Data[[#This Row],[Column2]]="","",Data[[#This Row],[Column2]])</f>
        <v>รพ.ค่ายสุรสีห์</v>
      </c>
      <c r="C10" s="39" t="str">
        <f>IF(Data[[#This Row],[Column3]]="","",Data[[#This Row],[Column3]])</f>
        <v>Fort Surasi Hospital</v>
      </c>
      <c r="D10" s="39" t="str">
        <f>IF(Data[[#This Row],[Column4]]="","",Data[[#This Row],[Column4]])</f>
        <v>281 Lat Ya, Muang Kanchanaburi</v>
      </c>
      <c r="E10" s="39" t="str">
        <f>IF(Data[[#This Row],[Column5]]="","",Data[[#This Row],[Column5]])</f>
        <v>Kanchanaburi</v>
      </c>
      <c r="F10" s="39">
        <f>IF(Data[[#This Row],[Column6]]="","",Data[[#This Row],[Column6]])</f>
        <v>71190</v>
      </c>
      <c r="H10" s="40" t="str">
        <f>IF(Data[[#This Row],[Personnel]]="","",Data[[#This Row],[Personnel]])</f>
        <v>Songkiet  Yamaumpon</v>
      </c>
      <c r="I10" s="40" t="str">
        <f>IF(Data[[#This Row],[Column9]]="","",Data[[#This Row],[Column9]])</f>
        <v>SM1</v>
      </c>
      <c r="J10" s="33"/>
      <c r="K10" s="57" t="s">
        <v>112</v>
      </c>
    </row>
    <row r="11" spans="1:11" ht="21.75">
      <c r="A11" s="39">
        <f>IF(Data[[#This Row],[Customer]]="","",Data[[#This Row],[Customer]])</f>
        <v>109</v>
      </c>
      <c r="B11" s="39" t="str">
        <f>IF(Data[[#This Row],[Column2]]="","",Data[[#This Row],[Column2]])</f>
        <v>รพ.ค่ายสุรสิงหนาท</v>
      </c>
      <c r="C11" s="39" t="str">
        <f>IF(Data[[#This Row],[Column3]]="","",Data[[#This Row],[Column3]])</f>
        <v>Fort Surasinghanart Hospital</v>
      </c>
      <c r="D11" s="39" t="str">
        <f>IF(Data[[#This Row],[Column4]]="","",Data[[#This Row],[Column4]])</f>
        <v>1/30 Phak Huai , Aranyaprathet</v>
      </c>
      <c r="E11" s="39" t="str">
        <f>IF(Data[[#This Row],[Column5]]="","",Data[[#This Row],[Column5]])</f>
        <v>Sa Kaeo</v>
      </c>
      <c r="F11" s="39">
        <f>IF(Data[[#This Row],[Column6]]="","",Data[[#This Row],[Column6]])</f>
        <v>27120</v>
      </c>
      <c r="H11" s="40" t="str">
        <f>IF(Data[[#This Row],[Personnel]]="","",Data[[#This Row],[Personnel]])</f>
        <v>Thawadchai  Pruksarattananon</v>
      </c>
      <c r="I11" s="40" t="str">
        <f>IF(Data[[#This Row],[Column9]]="","",Data[[#This Row],[Column9]])</f>
        <v>SM1</v>
      </c>
      <c r="J11" s="33"/>
      <c r="K11" s="57" t="s">
        <v>113</v>
      </c>
    </row>
    <row r="12" spans="1:11" ht="21.75">
      <c r="A12" s="39">
        <f>IF(Data[[#This Row],[Customer]]="","",Data[[#This Row],[Customer]])</f>
        <v>110</v>
      </c>
      <c r="B12" s="39" t="str">
        <f>IF(Data[[#This Row],[Column2]]="","",Data[[#This Row],[Column2]])</f>
        <v>รพ.ค่ายภาณุรังษี</v>
      </c>
      <c r="C12" s="39" t="str">
        <f>IF(Data[[#This Row],[Column3]]="","",Data[[#This Row],[Column3]])</f>
        <v>Fort Panurangsi Hospital</v>
      </c>
      <c r="D12" s="39" t="str">
        <f>IF(Data[[#This Row],[Column4]]="","",Data[[#This Row],[Column4]])</f>
        <v>285/1 Khok Mo , Muang Ratchaburi</v>
      </c>
      <c r="E12" s="39" t="str">
        <f>IF(Data[[#This Row],[Column5]]="","",Data[[#This Row],[Column5]])</f>
        <v>Ratchaburi</v>
      </c>
      <c r="F12" s="39">
        <f>IF(Data[[#This Row],[Column6]]="","",Data[[#This Row],[Column6]])</f>
        <v>70000</v>
      </c>
      <c r="H12" s="40" t="str">
        <f>IF(Data[[#This Row],[Personnel]]="","",Data[[#This Row],[Personnel]])</f>
        <v>Nattapong  Yubram</v>
      </c>
      <c r="I12" s="40" t="str">
        <f>IF(Data[[#This Row],[Column9]]="","",Data[[#This Row],[Column9]])</f>
        <v>SM2</v>
      </c>
      <c r="J12" s="33"/>
      <c r="K12" s="57" t="s">
        <v>114</v>
      </c>
    </row>
    <row r="13" spans="1:11" ht="21.75">
      <c r="A13" s="39">
        <f>IF(Data[[#This Row],[Customer]]="","",Data[[#This Row],[Customer]])</f>
        <v>111</v>
      </c>
      <c r="B13" s="39" t="str">
        <f>IF(Data[[#This Row],[Column2]]="","",Data[[#This Row],[Column2]])</f>
        <v>รพ.ค่ายอดิศร</v>
      </c>
      <c r="C13" s="39" t="str">
        <f>IF(Data[[#This Row],[Column3]]="","",Data[[#This Row],[Column3]])</f>
        <v>Fort Adison Hospital</v>
      </c>
      <c r="D13" s="39" t="str">
        <f>IF(Data[[#This Row],[Column4]]="","",Data[[#This Row],[Column4]])</f>
        <v>54 Pak Sleao, Mitraphap, Mueang Saraburi</v>
      </c>
      <c r="E13" s="39" t="str">
        <f>IF(Data[[#This Row],[Column5]]="","",Data[[#This Row],[Column5]])</f>
        <v>Saraburi</v>
      </c>
      <c r="F13" s="39">
        <f>IF(Data[[#This Row],[Column6]]="","",Data[[#This Row],[Column6]])</f>
        <v>18000</v>
      </c>
      <c r="H13" s="40" t="str">
        <f>IF(Data[[#This Row],[Personnel]]="","",Data[[#This Row],[Personnel]])</f>
        <v>Chaloem Thongim</v>
      </c>
      <c r="I13" s="40" t="str">
        <f>IF(Data[[#This Row],[Column9]]="","",Data[[#This Row],[Column9]])</f>
        <v>Sgt.</v>
      </c>
      <c r="J13" s="33"/>
    </row>
    <row r="14" spans="1:11" ht="21.75">
      <c r="A14" s="39">
        <f>IF(Data[[#This Row],[Customer]]="","",Data[[#This Row],[Customer]])</f>
        <v>112</v>
      </c>
      <c r="B14" s="39" t="str">
        <f>IF(Data[[#This Row],[Column2]]="","",Data[[#This Row],[Column2]])</f>
        <v>รพ.ค่ายนวมินทราชินี</v>
      </c>
      <c r="C14" s="39" t="str">
        <f>IF(Data[[#This Row],[Column3]]="","",Data[[#This Row],[Column3]])</f>
        <v>Fort Nawamintharachini Hospital</v>
      </c>
      <c r="D14" s="39" t="str">
        <f>IF(Data[[#This Row],[Column4]]="","",Data[[#This Row],[Column4]])</f>
        <v>301 Ban Suan, Mueang Chon Buri</v>
      </c>
      <c r="E14" s="39" t="str">
        <f>IF(Data[[#This Row],[Column5]]="","",Data[[#This Row],[Column5]])</f>
        <v>Chon Buri</v>
      </c>
      <c r="F14" s="39">
        <f>IF(Data[[#This Row],[Column6]]="","",Data[[#This Row],[Column6]])</f>
        <v>20000</v>
      </c>
      <c r="H14" s="40" t="str">
        <f>IF(Data[[#This Row],[Personnel]]="","",Data[[#This Row],[Personnel]])</f>
        <v>Kritdanai  Rergwitee</v>
      </c>
      <c r="I14" s="40" t="str">
        <f>IF(Data[[#This Row],[Column9]]="","",Data[[#This Row],[Column9]])</f>
        <v>Sgt.</v>
      </c>
      <c r="J14" s="33"/>
    </row>
    <row r="15" spans="1:11">
      <c r="A15" s="39">
        <f>IF(Data[[#This Row],[Customer]]="","",Data[[#This Row],[Customer]])</f>
        <v>113</v>
      </c>
      <c r="B15" s="39" t="str">
        <f>IF(Data[[#This Row],[Column2]]="","",Data[[#This Row],[Column2]])</f>
        <v>รพ.ค่ายรามราชนิเวศน์</v>
      </c>
      <c r="C15" s="39" t="str">
        <f>IF(Data[[#This Row],[Column3]]="","",Data[[#This Row],[Column3]])</f>
        <v>Fort Ramratchaniwet Hospital</v>
      </c>
      <c r="D15" s="39" t="str">
        <f>IF(Data[[#This Row],[Column4]]="","",Data[[#This Row],[Column4]])</f>
        <v>121 Khlong Krasang, Mueang Phetchaburi</v>
      </c>
      <c r="E15" s="39" t="str">
        <f>IF(Data[[#This Row],[Column5]]="","",Data[[#This Row],[Column5]])</f>
        <v>Phetchaburi</v>
      </c>
      <c r="F15" s="39">
        <f>IF(Data[[#This Row],[Column6]]="","",Data[[#This Row],[Column6]])</f>
        <v>76000</v>
      </c>
      <c r="H15" s="40" t="str">
        <f>IF(Data[[#This Row],[Personnel]]="","",Data[[#This Row],[Personnel]])</f>
        <v>Ramesh  Autsadayuth</v>
      </c>
      <c r="I15" s="40" t="str">
        <f>IF(Data[[#This Row],[Column9]]="","",Data[[#This Row],[Column9]])</f>
        <v>Sgt.</v>
      </c>
    </row>
    <row r="16" spans="1:11">
      <c r="A16" s="39">
        <f>IF(Data[[#This Row],[Customer]]="","",Data[[#This Row],[Customer]])</f>
        <v>114</v>
      </c>
      <c r="B16" s="39" t="str">
        <f>IF(Data[[#This Row],[Column2]]="","",Data[[#This Row],[Column2]])</f>
        <v>วิทยาลัยแพทยศาสตร์พระมงกุฎเกล้า</v>
      </c>
      <c r="C16" s="39" t="str">
        <f>IF(Data[[#This Row],[Column3]]="","",Data[[#This Row],[Column3]])</f>
        <v>Phramongkutklao College of Medicine</v>
      </c>
      <c r="D16" s="39" t="str">
        <f>IF(Data[[#This Row],[Column4]]="","",Data[[#This Row],[Column4]])</f>
        <v>317 Ratchawithi, Thung phayathai, Ratchathewi</v>
      </c>
      <c r="E16" s="39" t="str">
        <f>IF(Data[[#This Row],[Column5]]="","",Data[[#This Row],[Column5]])</f>
        <v>Bangkok</v>
      </c>
      <c r="F16" s="39">
        <f>IF(Data[[#This Row],[Column6]]="","",Data[[#This Row],[Column6]])</f>
        <v>10400</v>
      </c>
      <c r="H16" s="40" t="str">
        <f>IF(Data[[#This Row],[Personnel]]="","",Data[[#This Row],[Personnel]])</f>
        <v>Anotai  Kloekratok</v>
      </c>
      <c r="I16" s="40" t="str">
        <f>IF(Data[[#This Row],[Column9]]="","",Data[[#This Row],[Column9]])</f>
        <v>Sgt.</v>
      </c>
    </row>
    <row r="17" spans="1:9">
      <c r="A17" s="39">
        <f>IF(Data[[#This Row],[Customer]]="","",Data[[#This Row],[Customer]])</f>
        <v>115</v>
      </c>
      <c r="B17" s="39" t="str">
        <f>IF(Data[[#This Row],[Column2]]="","",Data[[#This Row],[Column2]])</f>
        <v>วิทยาลัยพยาบาลกองทัพบก</v>
      </c>
      <c r="C17" s="39" t="str">
        <f>IF(Data[[#This Row],[Column3]]="","",Data[[#This Row],[Column3]])</f>
        <v>The Royal Thai Army Nursing College</v>
      </c>
      <c r="D17" s="39" t="str">
        <f>IF(Data[[#This Row],[Column4]]="","",Data[[#This Row],[Column4]])</f>
        <v>317/6 Ratchawithi, Thung phayathai, Ratchathewi</v>
      </c>
      <c r="E17" s="39" t="str">
        <f>IF(Data[[#This Row],[Column5]]="","",Data[[#This Row],[Column5]])</f>
        <v>Bangkok</v>
      </c>
      <c r="F17" s="39">
        <f>IF(Data[[#This Row],[Column6]]="","",Data[[#This Row],[Column6]])</f>
        <v>10400</v>
      </c>
      <c r="H17" s="40" t="str">
        <f>IF(Data[[#This Row],[Personnel]]="","",Data[[#This Row],[Personnel]])</f>
        <v>Chombhunut  Thanatphonphakdee</v>
      </c>
      <c r="I17" s="40" t="str">
        <f>IF(Data[[#This Row],[Column9]]="","",Data[[#This Row],[Column9]])</f>
        <v>Miss</v>
      </c>
    </row>
    <row r="18" spans="1:9">
      <c r="A18" s="39">
        <f>IF(Data[[#This Row],[Customer]]="","",Data[[#This Row],[Customer]])</f>
        <v>116</v>
      </c>
      <c r="B18" s="39" t="str">
        <f>IF(Data[[#This Row],[Column2]]="","",Data[[#This Row],[Column2]])</f>
        <v>สถาบันวิจัยวิทยาศาสตร์การแพทย์ทหาร</v>
      </c>
      <c r="C18" s="39" t="str">
        <f>IF(Data[[#This Row],[Column3]]="","",Data[[#This Row],[Column3]])</f>
        <v>Armed Forces Research Institute of Medical Sciences</v>
      </c>
      <c r="D18" s="39" t="str">
        <f>IF(Data[[#This Row],[Column4]]="","",Data[[#This Row],[Column4]])</f>
        <v>315/6 Ratchawithi, Thung phayathai, Ratchathewi</v>
      </c>
      <c r="E18" s="39" t="str">
        <f>IF(Data[[#This Row],[Column5]]="","",Data[[#This Row],[Column5]])</f>
        <v>Bangkok</v>
      </c>
      <c r="F18" s="39">
        <f>IF(Data[[#This Row],[Column6]]="","",Data[[#This Row],[Column6]])</f>
        <v>10400</v>
      </c>
      <c r="H18" s="40" t="str">
        <f>IF(Data[[#This Row],[Personnel]]="","",Data[[#This Row],[Personnel]])</f>
        <v/>
      </c>
      <c r="I18" s="40" t="str">
        <f>IF(Data[[#This Row],[Column9]]="","",Data[[#This Row],[Column9]])</f>
        <v/>
      </c>
    </row>
    <row r="19" spans="1:9">
      <c r="A19" s="39">
        <f>IF(Data[[#This Row],[Customer]]="","",Data[[#This Row],[Customer]])</f>
        <v>201</v>
      </c>
      <c r="B19" s="39" t="str">
        <f>IF(Data[[#This Row],[Column2]]="","",Data[[#This Row],[Column2]])</f>
        <v>รพ.ค่ายสุรนารี</v>
      </c>
      <c r="C19" s="39" t="str">
        <f>IF(Data[[#This Row],[Column3]]="","",Data[[#This Row],[Column3]])</f>
        <v>Fort Suranari Hospital</v>
      </c>
      <c r="D19" s="39" t="str">
        <f>IF(Data[[#This Row],[Column4]]="","",Data[[#This Row],[Column4]])</f>
        <v>211 pibul la-aied, Nong Phai lom, Muang Nakhon Ratchasima</v>
      </c>
      <c r="E19" s="39" t="str">
        <f>IF(Data[[#This Row],[Column5]]="","",Data[[#This Row],[Column5]])</f>
        <v>Nakhon Ratchasima</v>
      </c>
      <c r="F19" s="39">
        <f>IF(Data[[#This Row],[Column6]]="","",Data[[#This Row],[Column6]])</f>
        <v>30000</v>
      </c>
      <c r="H19" s="40" t="str">
        <f>IF(Data[[#This Row],[Personnel]]="","",Data[[#This Row],[Personnel]])</f>
        <v/>
      </c>
      <c r="I19" s="40" t="str">
        <f>IF(Data[[#This Row],[Column9]]="","",Data[[#This Row],[Column9]])</f>
        <v/>
      </c>
    </row>
    <row r="20" spans="1:9">
      <c r="A20" s="39">
        <f>IF(Data[[#This Row],[Customer]]="","",Data[[#This Row],[Customer]])</f>
        <v>202</v>
      </c>
      <c r="B20" s="39" t="str">
        <f>IF(Data[[#This Row],[Column2]]="","",Data[[#This Row],[Column2]])</f>
        <v>รพ.ค่ายสรรพสิทธิประสงค์</v>
      </c>
      <c r="C20" s="39" t="str">
        <f>IF(Data[[#This Row],[Column3]]="","",Data[[#This Row],[Column3]])</f>
        <v>Fort Sunpasitthiprasong Hospital</v>
      </c>
      <c r="D20" s="39" t="str">
        <f>IF(Data[[#This Row],[Column4]]="","",Data[[#This Row],[Column4]])</f>
        <v>383 Warin-Pibul , Saensuk, Warin Chamrap</v>
      </c>
      <c r="E20" s="39" t="str">
        <f>IF(Data[[#This Row],[Column5]]="","",Data[[#This Row],[Column5]])</f>
        <v>Ratchathani</v>
      </c>
      <c r="F20" s="39">
        <f>IF(Data[[#This Row],[Column6]]="","",Data[[#This Row],[Column6]])</f>
        <v>34190</v>
      </c>
      <c r="H20" s="40" t="str">
        <f>IF(Data[[#This Row],[Personnel]]="","",Data[[#This Row],[Personnel]])</f>
        <v/>
      </c>
      <c r="I20" s="40" t="str">
        <f>IF(Data[[#This Row],[Column9]]="","",Data[[#This Row],[Column9]])</f>
        <v/>
      </c>
    </row>
    <row r="21" spans="1:9">
      <c r="A21" s="39">
        <f>IF(Data[[#This Row],[Customer]]="","",Data[[#This Row],[Customer]])</f>
        <v>203</v>
      </c>
      <c r="B21" s="39" t="str">
        <f>IF(Data[[#This Row],[Column2]]="","",Data[[#This Row],[Column2]])</f>
        <v>รพ.ค่ายประจักษ์ศิลปาคม</v>
      </c>
      <c r="C21" s="39" t="str">
        <f>IF(Data[[#This Row],[Column3]]="","",Data[[#This Row],[Column3]])</f>
        <v>Fort Prackaksinlapakhom Hospital</v>
      </c>
      <c r="D21" s="39" t="str">
        <f>IF(Data[[#This Row],[Column4]]="","",Data[[#This Row],[Column4]])</f>
        <v>550 Thahan, Mak Khaeng, Muang Udon Thani</v>
      </c>
      <c r="E21" s="39" t="str">
        <f>IF(Data[[#This Row],[Column5]]="","",Data[[#This Row],[Column5]])</f>
        <v>Udon Thani</v>
      </c>
      <c r="F21" s="39">
        <f>IF(Data[[#This Row],[Column6]]="","",Data[[#This Row],[Column6]])</f>
        <v>41000</v>
      </c>
      <c r="H21" s="40" t="str">
        <f>IF(Data[[#This Row],[Personnel]]="","",Data[[#This Row],[Personnel]])</f>
        <v/>
      </c>
      <c r="I21" s="40" t="str">
        <f>IF(Data[[#This Row],[Column9]]="","",Data[[#This Row],[Column9]])</f>
        <v/>
      </c>
    </row>
    <row r="22" spans="1:9">
      <c r="A22" s="39">
        <f>IF(Data[[#This Row],[Customer]]="","",Data[[#This Row],[Customer]])</f>
        <v>204</v>
      </c>
      <c r="B22" s="39" t="str">
        <f>IF(Data[[#This Row],[Column2]]="","",Data[[#This Row],[Column2]])</f>
        <v>รพ.ค่ายสมเด็จพระพุทธยอดฟ้าฯ</v>
      </c>
      <c r="C22" s="39" t="str">
        <f>IF(Data[[#This Row],[Column3]]="","",Data[[#This Row],[Column3]])</f>
        <v>Fort Somdej Phrabuddha Yodfachulaloke Maharaja Hospital</v>
      </c>
      <c r="D22" s="39" t="str">
        <f>IF(Data[[#This Row],[Column4]]="","",Data[[#This Row],[Column4]])</f>
        <v>124 Chaeng Sanit Rd, Pho Sai, Mueang Roi Et</v>
      </c>
      <c r="E22" s="39" t="str">
        <f>IF(Data[[#This Row],[Column5]]="","",Data[[#This Row],[Column5]])</f>
        <v>Roi Et</v>
      </c>
      <c r="F22" s="39">
        <f>IF(Data[[#This Row],[Column6]]="","",Data[[#This Row],[Column6]])</f>
        <v>45280</v>
      </c>
    </row>
    <row r="23" spans="1:9">
      <c r="A23" s="39">
        <f>IF(Data[[#This Row],[Customer]]="","",Data[[#This Row],[Customer]])</f>
        <v>205</v>
      </c>
      <c r="B23" s="39" t="str">
        <f>IF(Data[[#This Row],[Column2]]="","",Data[[#This Row],[Column2]])</f>
        <v>รพ.ค่ายวีรวัฒน์โยธิน</v>
      </c>
      <c r="C23" s="39" t="str">
        <f>IF(Data[[#This Row],[Column3]]="","",Data[[#This Row],[Column3]])</f>
        <v>Fort Weerawatyothin Hospital</v>
      </c>
      <c r="D23" s="39" t="str">
        <f>IF(Data[[#This Row],[Column4]]="","",Data[[#This Row],[Column4]])</f>
        <v>777 Surin-Prasat , Nong Muang , Mueang Surin</v>
      </c>
      <c r="E23" s="39" t="str">
        <f>IF(Data[[#This Row],[Column5]]="","",Data[[#This Row],[Column5]])</f>
        <v>Surin</v>
      </c>
      <c r="F23" s="39">
        <f>IF(Data[[#This Row],[Column6]]="","",Data[[#This Row],[Column6]])</f>
        <v>32000</v>
      </c>
    </row>
    <row r="24" spans="1:9">
      <c r="A24" s="39">
        <f>IF(Data[[#This Row],[Customer]]="","",Data[[#This Row],[Customer]])</f>
        <v>206</v>
      </c>
      <c r="B24" s="39" t="str">
        <f>IF(Data[[#This Row],[Column2]]="","",Data[[#This Row],[Column2]])</f>
        <v>รพ.ค่ายกฤษณ์สีวะรา</v>
      </c>
      <c r="C24" s="39" t="str">
        <f>IF(Data[[#This Row],[Column3]]="","",Data[[#This Row],[Column3]])</f>
        <v>Fort Krit Siwara Hospital</v>
      </c>
      <c r="D24" s="39" t="str">
        <f>IF(Data[[#This Row],[Column4]]="","",Data[[#This Row],[Column4]])</f>
        <v>100/123 Thatnaweng, Muang Sakon Nakhon</v>
      </c>
      <c r="E24" s="39" t="str">
        <f>IF(Data[[#This Row],[Column5]]="","",Data[[#This Row],[Column5]])</f>
        <v>Sakon Nakhon</v>
      </c>
      <c r="F24" s="39">
        <f>IF(Data[[#This Row],[Column6]]="","",Data[[#This Row],[Column6]])</f>
        <v>47000</v>
      </c>
    </row>
    <row r="25" spans="1:9">
      <c r="A25" s="39">
        <f>IF(Data[[#This Row],[Customer]]="","",Data[[#This Row],[Customer]])</f>
        <v>207</v>
      </c>
      <c r="B25" s="39" t="str">
        <f>IF(Data[[#This Row],[Column2]]="","",Data[[#This Row],[Column2]])</f>
        <v>รพ.ค่ายศรีพัชรินทร</v>
      </c>
      <c r="C25" s="39" t="str">
        <f>IF(Data[[#This Row],[Column3]]="","",Data[[#This Row],[Column3]])</f>
        <v>Fort Sri-patcharinthorn Hospital</v>
      </c>
      <c r="D25" s="39" t="str">
        <f>IF(Data[[#This Row],[Column4]]="","",Data[[#This Row],[Column4]])</f>
        <v>100 Kasikorn ThungSang , Sila , Mueang Khon Kaen</v>
      </c>
      <c r="E25" s="39" t="str">
        <f>IF(Data[[#This Row],[Column5]]="","",Data[[#This Row],[Column5]])</f>
        <v>Khon Kaen</v>
      </c>
      <c r="F25" s="39">
        <f>IF(Data[[#This Row],[Column6]]="","",Data[[#This Row],[Column6]])</f>
        <v>40000</v>
      </c>
    </row>
    <row r="26" spans="1:9">
      <c r="A26" s="39">
        <f>IF(Data[[#This Row],[Customer]]="","",Data[[#This Row],[Customer]])</f>
        <v>208</v>
      </c>
      <c r="B26" s="39" t="str">
        <f>IF(Data[[#This Row],[Column2]]="","",Data[[#This Row],[Column2]])</f>
        <v>รพ.ค่ายสมเด็จเจ้าพระยามหากษัตริย์ศึก</v>
      </c>
      <c r="C26" s="39" t="str">
        <f>IF(Data[[#This Row],[Column3]]="","",Data[[#This Row],[Column3]])</f>
        <v>Fort Somdet Chao Phraya Mahakasatsuek Hospital</v>
      </c>
      <c r="D26" s="39" t="str">
        <f>IF(Data[[#This Row],[Column4]]="","",Data[[#This Row],[Column4]])</f>
        <v>147 Buriram Prakhonchai,  Samet , Mueang Buriram</v>
      </c>
      <c r="E26" s="39" t="str">
        <f>IF(Data[[#This Row],[Column5]]="","",Data[[#This Row],[Column5]])</f>
        <v>Buriram</v>
      </c>
      <c r="F26" s="39">
        <f>IF(Data[[#This Row],[Column6]]="","",Data[[#This Row],[Column6]])</f>
        <v>31000</v>
      </c>
    </row>
    <row r="27" spans="1:9">
      <c r="A27" s="39">
        <f>IF(Data[[#This Row],[Customer]]="","",Data[[#This Row],[Customer]])</f>
        <v>209</v>
      </c>
      <c r="B27" s="39" t="str">
        <f>IF(Data[[#This Row],[Column2]]="","",Data[[#This Row],[Column2]])</f>
        <v>รพ.ค่ายศรีสองรัก</v>
      </c>
      <c r="C27" s="39" t="str">
        <f>IF(Data[[#This Row],[Column3]]="","",Data[[#This Row],[Column3]])</f>
        <v>Fort Srisongrak Hospital</v>
      </c>
      <c r="D27" s="39" t="str">
        <f>IF(Data[[#This Row],[Column4]]="","",Data[[#This Row],[Column4]])</f>
        <v>68 Loei-Chiang Khan , Srisamrak, Muang Loei</v>
      </c>
      <c r="E27" s="39" t="str">
        <f>IF(Data[[#This Row],[Column5]]="","",Data[[#This Row],[Column5]])</f>
        <v>Loei</v>
      </c>
      <c r="F27" s="39">
        <f>IF(Data[[#This Row],[Column6]]="","",Data[[#This Row],[Column6]])</f>
        <v>42100</v>
      </c>
    </row>
    <row r="28" spans="1:9">
      <c r="A28" s="39">
        <f>IF(Data[[#This Row],[Customer]]="","",Data[[#This Row],[Customer]])</f>
        <v>210</v>
      </c>
      <c r="B28" s="39" t="str">
        <f>IF(Data[[#This Row],[Column2]]="","",Data[[#This Row],[Column2]])</f>
        <v>รพ.ค่ายพระยอดเมืองขวาง</v>
      </c>
      <c r="C28" s="39" t="str">
        <f>IF(Data[[#This Row],[Column3]]="","",Data[[#This Row],[Column3]])</f>
        <v>Fort Phrayotmueangkhwang Hospital</v>
      </c>
      <c r="D28" s="39" t="str">
        <f>IF(Data[[#This Row],[Column4]]="","",Data[[#This Row],[Column4]])</f>
        <v>Kurukhu, Mueang Nakhon Phanom</v>
      </c>
      <c r="E28" s="39" t="str">
        <f>IF(Data[[#This Row],[Column5]]="","",Data[[#This Row],[Column5]])</f>
        <v>Nakhon Phanom</v>
      </c>
      <c r="F28" s="39">
        <f>IF(Data[[#This Row],[Column6]]="","",Data[[#This Row],[Column6]])</f>
        <v>48000</v>
      </c>
    </row>
    <row r="29" spans="1:9">
      <c r="A29" s="39">
        <f>IF(Data[[#This Row],[Customer]]="","",Data[[#This Row],[Customer]])</f>
        <v>301</v>
      </c>
      <c r="B29" s="39" t="str">
        <f>IF(Data[[#This Row],[Column2]]="","",Data[[#This Row],[Column2]])</f>
        <v>รพ.ค่ายสมเด็จพระนเรศวรมหาราช</v>
      </c>
      <c r="C29" s="39" t="str">
        <f>IF(Data[[#This Row],[Column3]]="","",Data[[#This Row],[Column3]])</f>
        <v>Fort Somdej Phranaresuan Maharaj Hospital</v>
      </c>
      <c r="D29" s="39" t="str">
        <f>IF(Data[[#This Row],[Column4]]="","",Data[[#This Row],[Column4]])</f>
        <v>9 Ban Khlong, Muang Phitsanulok</v>
      </c>
      <c r="E29" s="39" t="str">
        <f>IF(Data[[#This Row],[Column5]]="","",Data[[#This Row],[Column5]])</f>
        <v>Phitsanulok</v>
      </c>
      <c r="F29" s="39">
        <f>IF(Data[[#This Row],[Column6]]="","",Data[[#This Row],[Column6]])</f>
        <v>65000</v>
      </c>
    </row>
    <row r="30" spans="1:9">
      <c r="A30" s="39">
        <f>IF(Data[[#This Row],[Customer]]="","",Data[[#This Row],[Customer]])</f>
        <v>302</v>
      </c>
      <c r="B30" s="39" t="str">
        <f>IF(Data[[#This Row],[Column2]]="","",Data[[#This Row],[Column2]])</f>
        <v>รพ.ค่ายจิรประวัติ</v>
      </c>
      <c r="C30" s="39" t="str">
        <f>IF(Data[[#This Row],[Column3]]="","",Data[[#This Row],[Column3]])</f>
        <v>Fort Chiraprawat Hospital</v>
      </c>
      <c r="D30" s="39" t="str">
        <f>IF(Data[[#This Row],[Column4]]="","",Data[[#This Row],[Column4]])</f>
        <v>161 Phaholyothin, Klangsaeng, Muang Nakhon Sawan</v>
      </c>
      <c r="E30" s="39" t="str">
        <f>IF(Data[[#This Row],[Column5]]="","",Data[[#This Row],[Column5]])</f>
        <v>Nakhon Sawan</v>
      </c>
      <c r="F30" s="39">
        <f>IF(Data[[#This Row],[Column6]]="","",Data[[#This Row],[Column6]])</f>
        <v>60000</v>
      </c>
    </row>
    <row r="31" spans="1:9">
      <c r="A31" s="39">
        <f>IF(Data[[#This Row],[Customer]]="","",Data[[#This Row],[Customer]])</f>
        <v>303</v>
      </c>
      <c r="B31" s="39" t="str">
        <f>IF(Data[[#This Row],[Column2]]="","",Data[[#This Row],[Column2]])</f>
        <v>รพ.ค่ายกาวิละ</v>
      </c>
      <c r="C31" s="39" t="str">
        <f>IF(Data[[#This Row],[Column3]]="","",Data[[#This Row],[Column3]])</f>
        <v>Fort Kawila Hospital</v>
      </c>
      <c r="D31" s="39" t="str">
        <f>IF(Data[[#This Row],[Column4]]="","",Data[[#This Row],[Column4]])</f>
        <v>285 Chiangmai-lamphun, Wat Ket , Mueang Chiang Mai</v>
      </c>
      <c r="E31" s="39" t="str">
        <f>IF(Data[[#This Row],[Column5]]="","",Data[[#This Row],[Column5]])</f>
        <v>Chiang Mai</v>
      </c>
      <c r="F31" s="39">
        <f>IF(Data[[#This Row],[Column6]]="","",Data[[#This Row],[Column6]])</f>
        <v>50000</v>
      </c>
    </row>
    <row r="32" spans="1:9">
      <c r="A32" s="39">
        <f>IF(Data[[#This Row],[Customer]]="","",Data[[#This Row],[Customer]])</f>
        <v>304</v>
      </c>
      <c r="B32" s="39" t="str">
        <f>IF(Data[[#This Row],[Column2]]="","",Data[[#This Row],[Column2]])</f>
        <v>รพ.ค่ายเม็งรายมหาราช</v>
      </c>
      <c r="C32" s="39" t="str">
        <f>IF(Data[[#This Row],[Column3]]="","",Data[[#This Row],[Column3]])</f>
        <v>Fort Mengraimaharaj Hospital</v>
      </c>
      <c r="D32" s="39" t="str">
        <f>IF(Data[[#This Row],[Column4]]="","",Data[[#This Row],[Column4]])</f>
        <v>256 Rob Wiang, Mueang Chiang Rai</v>
      </c>
      <c r="E32" s="39" t="str">
        <f>IF(Data[[#This Row],[Column5]]="","",Data[[#This Row],[Column5]])</f>
        <v>Chiang Rai</v>
      </c>
      <c r="F32" s="39">
        <f>IF(Data[[#This Row],[Column6]]="","",Data[[#This Row],[Column6]])</f>
        <v>57000</v>
      </c>
    </row>
    <row r="33" spans="1:6">
      <c r="A33" s="39">
        <f>IF(Data[[#This Row],[Customer]]="","",Data[[#This Row],[Customer]])</f>
        <v>305</v>
      </c>
      <c r="B33" s="39" t="str">
        <f>IF(Data[[#This Row],[Column2]]="","",Data[[#This Row],[Column2]])</f>
        <v>รพ.ค่ายพิชัยดาบหัก</v>
      </c>
      <c r="C33" s="39" t="str">
        <f>IF(Data[[#This Row],[Column3]]="","",Data[[#This Row],[Column3]])</f>
        <v>Fort Pichai Dap Hak Hospital</v>
      </c>
      <c r="D33" s="39" t="str">
        <f>IF(Data[[#This Row],[Column4]]="","",Data[[#This Row],[Column4]])</f>
        <v>102 Samranruen, Tha Sao, Mueang Uttaradit</v>
      </c>
      <c r="E33" s="39" t="str">
        <f>IF(Data[[#This Row],[Column5]]="","",Data[[#This Row],[Column5]])</f>
        <v>Uttaradit</v>
      </c>
      <c r="F33" s="39">
        <f>IF(Data[[#This Row],[Column6]]="","",Data[[#This Row],[Column6]])</f>
        <v>53000</v>
      </c>
    </row>
    <row r="34" spans="1:6">
      <c r="A34" s="39">
        <f>IF(Data[[#This Row],[Customer]]="","",Data[[#This Row],[Customer]])</f>
        <v>306</v>
      </c>
      <c r="B34" s="39" t="str">
        <f>IF(Data[[#This Row],[Column2]]="","",Data[[#This Row],[Column2]])</f>
        <v>รพ.ค่ายสุรศักดิ์มนตรี</v>
      </c>
      <c r="C34" s="39" t="str">
        <f>IF(Data[[#This Row],[Column3]]="","",Data[[#This Row],[Column3]])</f>
        <v>Fort Surasakmontri Hospital</v>
      </c>
      <c r="D34" s="39" t="str">
        <f>IF(Data[[#This Row],[Column4]]="","",Data[[#This Row],[Column4]])</f>
        <v>1 Phaholyothin, Phicha, Mueang Lampang</v>
      </c>
      <c r="E34" s="39" t="str">
        <f>IF(Data[[#This Row],[Column5]]="","",Data[[#This Row],[Column5]])</f>
        <v>Lampang</v>
      </c>
      <c r="F34" s="39">
        <f>IF(Data[[#This Row],[Column6]]="","",Data[[#This Row],[Column6]])</f>
        <v>52000</v>
      </c>
    </row>
    <row r="35" spans="1:6">
      <c r="A35" s="39">
        <f>IF(Data[[#This Row],[Customer]]="","",Data[[#This Row],[Customer]])</f>
        <v>307</v>
      </c>
      <c r="B35" s="39" t="str">
        <f>IF(Data[[#This Row],[Column2]]="","",Data[[#This Row],[Column2]])</f>
        <v>รพ.ค่ายพ่อขุนผาเมือง</v>
      </c>
      <c r="C35" s="39" t="str">
        <f>IF(Data[[#This Row],[Column3]]="","",Data[[#This Row],[Column3]])</f>
        <v>Fort Phokhunphamueang Hospital</v>
      </c>
      <c r="D35" s="39" t="str">
        <f>IF(Data[[#This Row],[Column4]]="","",Data[[#This Row],[Column4]])</f>
        <v>99/2329 Saraburi-Lomsak, Satang , Mueang Phetchabun</v>
      </c>
      <c r="E35" s="39" t="str">
        <f>IF(Data[[#This Row],[Column5]]="","",Data[[#This Row],[Column5]])</f>
        <v>Phetchabun</v>
      </c>
      <c r="F35" s="39">
        <f>IF(Data[[#This Row],[Column6]]="","",Data[[#This Row],[Column6]])</f>
        <v>67000</v>
      </c>
    </row>
    <row r="36" spans="1:6">
      <c r="A36" s="39">
        <f>IF(Data[[#This Row],[Customer]]="","",Data[[#This Row],[Customer]])</f>
        <v>308</v>
      </c>
      <c r="B36" s="39" t="str">
        <f>IF(Data[[#This Row],[Column2]]="","",Data[[#This Row],[Column2]])</f>
        <v>รพ.ค่ายวชิรปราการ</v>
      </c>
      <c r="C36" s="39" t="str">
        <f>IF(Data[[#This Row],[Column3]]="","",Data[[#This Row],[Column3]])</f>
        <v>Fort Wachiraprakan Hospital</v>
      </c>
      <c r="D36" s="39" t="str">
        <f>IF(Data[[#This Row],[Column4]]="","",Data[[#This Row],[Column4]])</f>
        <v>337 Mai Ngam, Mueang Tak</v>
      </c>
      <c r="E36" s="39" t="str">
        <f>IF(Data[[#This Row],[Column5]]="","",Data[[#This Row],[Column5]])</f>
        <v>Tak</v>
      </c>
      <c r="F36" s="39">
        <f>IF(Data[[#This Row],[Column6]]="","",Data[[#This Row],[Column6]])</f>
        <v>63000</v>
      </c>
    </row>
    <row r="37" spans="1:6">
      <c r="A37" s="39">
        <f>IF(Data[[#This Row],[Customer]]="","",Data[[#This Row],[Customer]])</f>
        <v>309</v>
      </c>
      <c r="B37" s="39" t="str">
        <f>IF(Data[[#This Row],[Column2]]="","",Data[[#This Row],[Column2]])</f>
        <v xml:space="preserve">รพ.ค่ายขุนเจืองธรรมิกราช </v>
      </c>
      <c r="C37" s="39" t="str">
        <f>IF(Data[[#This Row],[Column3]]="","",Data[[#This Row],[Column3]])</f>
        <v>Fort Khunchueangthammikkarat Hospital</v>
      </c>
      <c r="D37" s="39" t="str">
        <f>IF(Data[[#This Row],[Column4]]="","",Data[[#This Row],[Column4]])</f>
        <v>200 Thawangthong, Muang Phayao</v>
      </c>
      <c r="E37" s="39" t="str">
        <f>IF(Data[[#This Row],[Column5]]="","",Data[[#This Row],[Column5]])</f>
        <v>Phayao</v>
      </c>
      <c r="F37" s="39">
        <f>IF(Data[[#This Row],[Column6]]="","",Data[[#This Row],[Column6]])</f>
        <v>56000</v>
      </c>
    </row>
    <row r="38" spans="1:6">
      <c r="A38" s="39">
        <f>IF(Data[[#This Row],[Customer]]="","",Data[[#This Row],[Customer]])</f>
        <v>310</v>
      </c>
      <c r="B38" s="39" t="str">
        <f>IF(Data[[#This Row],[Column2]]="","",Data[[#This Row],[Column2]])</f>
        <v>รพ.ค่ายสุริยพงษ์</v>
      </c>
      <c r="C38" s="39" t="str">
        <f>IF(Data[[#This Row],[Column3]]="","",Data[[#This Row],[Column3]])</f>
        <v>Fort Suriyaphong Hospital</v>
      </c>
      <c r="D38" s="39" t="str">
        <f>IF(Data[[#This Row],[Column4]]="","",Data[[#This Row],[Column4]])</f>
        <v>330 Nan-Santisuk, fai-kaeo, Phu Phiang</v>
      </c>
      <c r="E38" s="39" t="str">
        <f>IF(Data[[#This Row],[Column5]]="","",Data[[#This Row],[Column5]])</f>
        <v>Nan</v>
      </c>
      <c r="F38" s="39">
        <f>IF(Data[[#This Row],[Column6]]="","",Data[[#This Row],[Column6]])</f>
        <v>55000</v>
      </c>
    </row>
    <row r="39" spans="1:6">
      <c r="A39" s="39">
        <f>IF(Data[[#This Row],[Customer]]="","",Data[[#This Row],[Customer]])</f>
        <v>401</v>
      </c>
      <c r="B39" s="39" t="str">
        <f>IF(Data[[#This Row],[Column2]]="","",Data[[#This Row],[Column2]])</f>
        <v>รพ.ค่ายวชิราวุธ</v>
      </c>
      <c r="C39" s="39" t="str">
        <f>IF(Data[[#This Row],[Column3]]="","",Data[[#This Row],[Column3]])</f>
        <v>Fort Wachirawut Hospital</v>
      </c>
      <c r="D39" s="39" t="str">
        <f>IF(Data[[#This Row],[Column4]]="","",Data[[#This Row],[Column4]])</f>
        <v>283 Ratchadamnoen, Pakpoon, Mueang Nakhon Si Thammarat</v>
      </c>
      <c r="E39" s="39" t="str">
        <f>IF(Data[[#This Row],[Column5]]="","",Data[[#This Row],[Column5]])</f>
        <v>Nakhon Si Thammarat</v>
      </c>
      <c r="F39" s="39">
        <f>IF(Data[[#This Row],[Column6]]="","",Data[[#This Row],[Column6]])</f>
        <v>80000</v>
      </c>
    </row>
    <row r="40" spans="1:6">
      <c r="A40" s="39">
        <f>IF(Data[[#This Row],[Customer]]="","",Data[[#This Row],[Customer]])</f>
        <v>402</v>
      </c>
      <c r="B40" s="39" t="str">
        <f>IF(Data[[#This Row],[Column2]]="","",Data[[#This Row],[Column2]])</f>
        <v>รพ.ค่ายเสนาณรงค์</v>
      </c>
      <c r="C40" s="39" t="str">
        <f>IF(Data[[#This Row],[Column3]]="","",Data[[#This Row],[Column3]])</f>
        <v>Fort Senanarong Hospital</v>
      </c>
      <c r="D40" s="39" t="str">
        <f>IF(Data[[#This Row],[Column4]]="","",Data[[#This Row],[Column4]])</f>
        <v>191 Kanchanavanich, Kho Hong, Hat Yai</v>
      </c>
      <c r="E40" s="39" t="str">
        <f>IF(Data[[#This Row],[Column5]]="","",Data[[#This Row],[Column5]])</f>
        <v>Songkhla</v>
      </c>
      <c r="F40" s="39">
        <f>IF(Data[[#This Row],[Column6]]="","",Data[[#This Row],[Column6]])</f>
        <v>90110</v>
      </c>
    </row>
    <row r="41" spans="1:6">
      <c r="A41" s="39">
        <f>IF(Data[[#This Row],[Customer]]="","",Data[[#This Row],[Customer]])</f>
        <v>403</v>
      </c>
      <c r="B41" s="39" t="str">
        <f>IF(Data[[#This Row],[Column2]]="","",Data[[#This Row],[Column2]])</f>
        <v>รพ.ค่ายวิภาวดีรังสิต</v>
      </c>
      <c r="C41" s="39" t="str">
        <f>IF(Data[[#This Row],[Column3]]="","",Data[[#This Row],[Column3]])</f>
        <v>Fort Wiphavadirangsit Hospital</v>
      </c>
      <c r="D41" s="39" t="str">
        <f>IF(Data[[#This Row],[Column4]]="","",Data[[#This Row],[Column4]])</f>
        <v>233 Makham Tia, Muang Surat Thani</v>
      </c>
      <c r="E41" s="39" t="str">
        <f>IF(Data[[#This Row],[Column5]]="","",Data[[#This Row],[Column5]])</f>
        <v>Surat Thani</v>
      </c>
      <c r="F41" s="39">
        <f>IF(Data[[#This Row],[Column6]]="","",Data[[#This Row],[Column6]])</f>
        <v>84000</v>
      </c>
    </row>
    <row r="42" spans="1:6">
      <c r="A42" s="39">
        <f>IF(Data[[#This Row],[Customer]]="","",Data[[#This Row],[Customer]])</f>
        <v>404</v>
      </c>
      <c r="B42" s="39" t="str">
        <f>IF(Data[[#This Row],[Column2]]="","",Data[[#This Row],[Column2]])</f>
        <v>รพ.ค่ายเทพสตรีศรีสุนทร</v>
      </c>
      <c r="C42" s="39" t="str">
        <f>IF(Data[[#This Row],[Column3]]="","",Data[[#This Row],[Column3]])</f>
        <v>Fort Thepsatsrisunthon Hospital</v>
      </c>
      <c r="D42" s="39" t="str">
        <f>IF(Data[[#This Row],[Column4]]="","",Data[[#This Row],[Column4]])</f>
        <v>181 Kapang, Thungsong</v>
      </c>
      <c r="E42" s="39" t="str">
        <f>IF(Data[[#This Row],[Column5]]="","",Data[[#This Row],[Column5]])</f>
        <v>Nakhon Si Thammarat</v>
      </c>
      <c r="F42" s="39">
        <f>IF(Data[[#This Row],[Column6]]="","",Data[[#This Row],[Column6]])</f>
        <v>80310</v>
      </c>
    </row>
    <row r="43" spans="1:6">
      <c r="A43" s="39">
        <f>IF(Data[[#This Row],[Customer]]="","",Data[[#This Row],[Customer]])</f>
        <v>405</v>
      </c>
      <c r="B43" s="39" t="str">
        <f>IF(Data[[#This Row],[Column2]]="","",Data[[#This Row],[Column2]])</f>
        <v>รพ.ค่ายอิงคยุทธบริหาร</v>
      </c>
      <c r="C43" s="39" t="str">
        <f>IF(Data[[#This Row],[Column3]]="","",Data[[#This Row],[Column3]])</f>
        <v>Fort Ingkhayutthaborihan Hospital</v>
      </c>
      <c r="D43" s="39" t="str">
        <f>IF(Data[[#This Row],[Column4]]="","",Data[[#This Row],[Column4]])</f>
        <v>2 Bo Thong, Nong Chik</v>
      </c>
      <c r="E43" s="39" t="str">
        <f>IF(Data[[#This Row],[Column5]]="","",Data[[#This Row],[Column5]])</f>
        <v>Pattani</v>
      </c>
      <c r="F43" s="39">
        <f>IF(Data[[#This Row],[Column6]]="","",Data[[#This Row],[Column6]])</f>
        <v>94170</v>
      </c>
    </row>
    <row r="44" spans="1:6">
      <c r="A44" s="39">
        <f>IF(Data[[#This Row],[Customer]]="","",Data[[#This Row],[Customer]])</f>
        <v>406</v>
      </c>
      <c r="B44" s="39" t="str">
        <f>IF(Data[[#This Row],[Column2]]="","",Data[[#This Row],[Column2]])</f>
        <v>รพ.ค่ายเขตอุดมศักดิ์</v>
      </c>
      <c r="C44" s="39" t="str">
        <f>IF(Data[[#This Row],[Column3]]="","",Data[[#This Row],[Column3]])</f>
        <v>Fort Khetudomsak Hospital</v>
      </c>
      <c r="D44" s="39" t="str">
        <f>IF(Data[[#This Row],[Column4]]="","",Data[[#This Row],[Column4]])</f>
        <v>193 Moo 1, Wang Mai, Mueang Chumphon</v>
      </c>
      <c r="E44" s="39" t="str">
        <f>IF(Data[[#This Row],[Column5]]="","",Data[[#This Row],[Column5]])</f>
        <v>Chumphon</v>
      </c>
      <c r="F44" s="39">
        <f>IF(Data[[#This Row],[Column6]]="","",Data[[#This Row],[Column6]])</f>
        <v>86190</v>
      </c>
    </row>
    <row r="45" spans="1:6">
      <c r="A45" s="39">
        <f>IF(Data[[#This Row],[Customer]]="","",Data[[#This Row],[Customer]])</f>
        <v>501</v>
      </c>
      <c r="B45" s="39" t="str">
        <f>IF(Data[[#This Row],[Column2]]="","",Data[[#This Row],[Column2]])</f>
        <v>พัน.สร.1</v>
      </c>
      <c r="C45" s="39" t="str">
        <f>IF(Data[[#This Row],[Column3]]="","",Data[[#This Row],[Column3]])</f>
        <v>1st Combat Medical Battalion</v>
      </c>
      <c r="D45" s="39" t="str">
        <f>IF(Data[[#This Row],[Column4]]="","",Data[[#This Row],[Column4]])</f>
        <v>35 Phichaidadhak, Khao Sam Yot, Mueang Lopburi</v>
      </c>
      <c r="E45" s="39" t="str">
        <f>IF(Data[[#This Row],[Column5]]="","",Data[[#This Row],[Column5]])</f>
        <v xml:space="preserve"> Lopburi</v>
      </c>
      <c r="F45" s="39">
        <f>IF(Data[[#This Row],[Column6]]="","",Data[[#This Row],[Column6]])</f>
        <v>15000</v>
      </c>
    </row>
    <row r="46" spans="1:6">
      <c r="A46" s="39">
        <f>IF(Data[[#This Row],[Customer]]="","",Data[[#This Row],[Customer]])</f>
        <v>502</v>
      </c>
      <c r="B46" s="39" t="str">
        <f>IF(Data[[#This Row],[Column2]]="","",Data[[#This Row],[Column2]])</f>
        <v>พัน.สร.2</v>
      </c>
      <c r="C46" s="39" t="str">
        <f>IF(Data[[#This Row],[Column3]]="","",Data[[#This Row],[Column3]])</f>
        <v>2nd Combat Medical Battalion</v>
      </c>
      <c r="D46" s="39" t="str">
        <f>IF(Data[[#This Row],[Column4]]="","",Data[[#This Row],[Column4]])</f>
        <v>Mai ked, Muang Prachinburi</v>
      </c>
      <c r="E46" s="39" t="str">
        <f>IF(Data[[#This Row],[Column5]]="","",Data[[#This Row],[Column5]])</f>
        <v>Prachinburi</v>
      </c>
      <c r="F46" s="39">
        <f>IF(Data[[#This Row],[Column6]]="","",Data[[#This Row],[Column6]])</f>
        <v>25230</v>
      </c>
    </row>
    <row r="47" spans="1:6">
      <c r="A47" s="39">
        <f>IF(Data[[#This Row],[Customer]]="","",Data[[#This Row],[Customer]])</f>
        <v>503</v>
      </c>
      <c r="B47" s="39" t="str">
        <f>IF(Data[[#This Row],[Column2]]="","",Data[[#This Row],[Column2]])</f>
        <v>พัน.สร.3</v>
      </c>
      <c r="C47" s="39" t="str">
        <f>IF(Data[[#This Row],[Column3]]="","",Data[[#This Row],[Column3]])</f>
        <v>3rd Combat Medical Battalion</v>
      </c>
      <c r="D47" s="39" t="str">
        <f>IF(Data[[#This Row],[Column4]]="","",Data[[#This Row],[Column4]])</f>
        <v>Pho glang, Muang Nakhon Ratchasima</v>
      </c>
      <c r="E47" s="39" t="str">
        <f>IF(Data[[#This Row],[Column5]]="","",Data[[#This Row],[Column5]])</f>
        <v>Nakhon Ratchasima</v>
      </c>
      <c r="F47" s="39">
        <f>IF(Data[[#This Row],[Column6]]="","",Data[[#This Row],[Column6]])</f>
        <v>30000</v>
      </c>
    </row>
    <row r="48" spans="1:6">
      <c r="A48" s="39">
        <f>IF(Data[[#This Row],[Customer]]="","",Data[[#This Row],[Customer]])</f>
        <v>504</v>
      </c>
      <c r="B48" s="39" t="str">
        <f>IF(Data[[#This Row],[Column2]]="","",Data[[#This Row],[Column2]])</f>
        <v>พัน.สร.4</v>
      </c>
      <c r="C48" s="39" t="str">
        <f>IF(Data[[#This Row],[Column3]]="","",Data[[#This Row],[Column3]])</f>
        <v>4th Combat Medical Battalion</v>
      </c>
      <c r="D48" s="39" t="str">
        <f>IF(Data[[#This Row],[Column4]]="","",Data[[#This Row],[Column4]])</f>
        <v>Ban Khlong, Muang Phitsanulok</v>
      </c>
      <c r="E48" s="39" t="str">
        <f>IF(Data[[#This Row],[Column5]]="","",Data[[#This Row],[Column5]])</f>
        <v>Phitsanulok</v>
      </c>
      <c r="F48" s="39">
        <f>IF(Data[[#This Row],[Column6]]="","",Data[[#This Row],[Column6]])</f>
        <v>65000</v>
      </c>
    </row>
    <row r="49" spans="1:6">
      <c r="A49" s="39">
        <f>IF(Data[[#This Row],[Customer]]="","",Data[[#This Row],[Customer]])</f>
        <v>505</v>
      </c>
      <c r="B49" s="39" t="str">
        <f>IF(Data[[#This Row],[Column2]]="","",Data[[#This Row],[Column2]])</f>
        <v>พัน.สร.5</v>
      </c>
      <c r="C49" s="39" t="str">
        <f>IF(Data[[#This Row],[Column3]]="","",Data[[#This Row],[Column3]])</f>
        <v>5th Combat Medical Battalion</v>
      </c>
      <c r="D49" s="39" t="str">
        <f>IF(Data[[#This Row],[Column4]]="","",Data[[#This Row],[Column4]])</f>
        <v>181 Kapang, Thungsong</v>
      </c>
      <c r="E49" s="39" t="str">
        <f>IF(Data[[#This Row],[Column5]]="","",Data[[#This Row],[Column5]])</f>
        <v>Nakhon Si Thammarat</v>
      </c>
      <c r="F49" s="39">
        <f>IF(Data[[#This Row],[Column6]]="","",Data[[#This Row],[Column6]])</f>
        <v>80310</v>
      </c>
    </row>
    <row r="50" spans="1:6">
      <c r="A50" s="39">
        <f>IF(Data[[#This Row],[Customer]]="","",Data[[#This Row],[Customer]])</f>
        <v>506</v>
      </c>
      <c r="B50" s="39" t="str">
        <f>IF(Data[[#This Row],[Column2]]="","",Data[[#This Row],[Column2]])</f>
        <v>พัน.สร.6</v>
      </c>
      <c r="C50" s="39" t="str">
        <f>IF(Data[[#This Row],[Column3]]="","",Data[[#This Row],[Column3]])</f>
        <v>6th Combat Medical Battalion</v>
      </c>
      <c r="D50" s="39" t="str">
        <f>IF(Data[[#This Row],[Column4]]="","",Data[[#This Row],[Column4]])</f>
        <v>119 , Phosai, Srisomdet</v>
      </c>
      <c r="E50" s="39" t="str">
        <f>IF(Data[[#This Row],[Column5]]="","",Data[[#This Row],[Column5]])</f>
        <v>Roi Et</v>
      </c>
      <c r="F50" s="39">
        <f>IF(Data[[#This Row],[Column6]]="","",Data[[#This Row],[Column6]])</f>
        <v>45280</v>
      </c>
    </row>
    <row r="51" spans="1:6">
      <c r="A51" s="39">
        <f>IF(Data[[#This Row],[Customer]]="","",Data[[#This Row],[Customer]])</f>
        <v>507</v>
      </c>
      <c r="B51" s="39" t="str">
        <f>IF(Data[[#This Row],[Column2]]="","",Data[[#This Row],[Column2]])</f>
        <v>พัน.สร.8</v>
      </c>
      <c r="C51" s="39" t="str">
        <f>IF(Data[[#This Row],[Column3]]="","",Data[[#This Row],[Column3]])</f>
        <v>8th Combat Medical Battalion</v>
      </c>
      <c r="D51" s="39" t="str">
        <f>IF(Data[[#This Row],[Column4]]="","",Data[[#This Row],[Column4]])</f>
        <v>Sadiang, Mueang Phetchabun</v>
      </c>
      <c r="E51" s="39" t="str">
        <f>IF(Data[[#This Row],[Column5]]="","",Data[[#This Row],[Column5]])</f>
        <v>Phetchabun</v>
      </c>
      <c r="F51" s="39">
        <f>IF(Data[[#This Row],[Column6]]="","",Data[[#This Row],[Column6]])</f>
        <v>67000</v>
      </c>
    </row>
    <row r="52" spans="1:6">
      <c r="A52" s="39">
        <f>IF(Data[[#This Row],[Customer]]="","",Data[[#This Row],[Customer]])</f>
        <v>508</v>
      </c>
      <c r="B52" s="39" t="str">
        <f>IF(Data[[#This Row],[Column2]]="","",Data[[#This Row],[Column2]])</f>
        <v>พัน.สร.กรม สน.พล.ร.9</v>
      </c>
      <c r="C52" s="39" t="str">
        <f>IF(Data[[#This Row],[Column3]]="","",Data[[#This Row],[Column3]])</f>
        <v>Combat Medical Battalion, 9th Service Support Regiment</v>
      </c>
      <c r="D52" s="39" t="str">
        <f>IF(Data[[#This Row],[Column4]]="","",Data[[#This Row],[Column4]])</f>
        <v>286 Lat Ya, Mueang Kanchanaburi</v>
      </c>
      <c r="E52" s="39" t="str">
        <f>IF(Data[[#This Row],[Column5]]="","",Data[[#This Row],[Column5]])</f>
        <v>Kanchanaburi</v>
      </c>
      <c r="F52" s="39">
        <f>IF(Data[[#This Row],[Column6]]="","",Data[[#This Row],[Column6]])</f>
        <v>71190</v>
      </c>
    </row>
    <row r="53" spans="1:6">
      <c r="A53" s="39">
        <f>IF(Data[[#This Row],[Customer]]="","",Data[[#This Row],[Customer]])</f>
        <v>509</v>
      </c>
      <c r="B53" s="39" t="str">
        <f>IF(Data[[#This Row],[Column2]]="","",Data[[#This Row],[Column2]])</f>
        <v>พัน.สร.13</v>
      </c>
      <c r="C53" s="39" t="str">
        <f>IF(Data[[#This Row],[Column3]]="","",Data[[#This Row],[Column3]])</f>
        <v>13th Combat Medical Battalion</v>
      </c>
      <c r="D53" s="39" t="str">
        <f>IF(Data[[#This Row],[Column4]]="","",Data[[#This Row],[Column4]])</f>
        <v>51/8 Thahan, Nakhonchaisri, Dusit</v>
      </c>
      <c r="E53" s="39" t="str">
        <f>IF(Data[[#This Row],[Column5]]="","",Data[[#This Row],[Column5]])</f>
        <v>Bangkok</v>
      </c>
      <c r="F53" s="39">
        <f>IF(Data[[#This Row],[Column6]]="","",Data[[#This Row],[Column6]])</f>
        <v>10300</v>
      </c>
    </row>
    <row r="54" spans="1:6">
      <c r="A54" s="39">
        <f>IF(Data[[#This Row],[Customer]]="","",Data[[#This Row],[Customer]])</f>
        <v>510</v>
      </c>
      <c r="B54" s="39" t="str">
        <f>IF(Data[[#This Row],[Column2]]="","",Data[[#This Row],[Column2]])</f>
        <v>พัน.สร.กรม สน.พล.ร.15</v>
      </c>
      <c r="C54" s="39" t="str">
        <f>IF(Data[[#This Row],[Column3]]="","",Data[[#This Row],[Column3]])</f>
        <v>Combat Medical Battalion, 15th Service Support Regiment</v>
      </c>
      <c r="D54" s="39" t="str">
        <f>IF(Data[[#This Row],[Column4]]="","",Data[[#This Row],[Column4]])</f>
        <v>108 Koh sa bha, Thepha</v>
      </c>
      <c r="E54" s="39" t="str">
        <f>IF(Data[[#This Row],[Column5]]="","",Data[[#This Row],[Column5]])</f>
        <v>Songkhla</v>
      </c>
      <c r="F54" s="39">
        <f>IF(Data[[#This Row],[Column6]]="","",Data[[#This Row],[Column6]])</f>
        <v>90150</v>
      </c>
    </row>
    <row r="55" spans="1:6">
      <c r="A55" s="39">
        <f>IF(Data[[#This Row],[Customer]]="","",Data[[#This Row],[Customer]])</f>
        <v>511</v>
      </c>
      <c r="B55" s="39" t="str">
        <f>IF(Data[[#This Row],[Column2]]="","",Data[[#This Row],[Column2]])</f>
        <v>พัน.สร.22 บชร.2</v>
      </c>
      <c r="C55" s="39" t="str">
        <f>IF(Data[[#This Row],[Column3]]="","",Data[[#This Row],[Column3]])</f>
        <v>22nd Combat Medical Battalion</v>
      </c>
      <c r="D55" s="39" t="str">
        <f>IF(Data[[#This Row],[Column4]]="","",Data[[#This Row],[Column4]])</f>
        <v>Nong Phai lom, Muang Nakhon Ratchasima</v>
      </c>
      <c r="E55" s="39" t="str">
        <f>IF(Data[[#This Row],[Column5]]="","",Data[[#This Row],[Column5]])</f>
        <v>Nakhon Ratchasima</v>
      </c>
      <c r="F55" s="39">
        <f>IF(Data[[#This Row],[Column6]]="","",Data[[#This Row],[Column6]])</f>
        <v>30000</v>
      </c>
    </row>
    <row r="56" spans="1:6">
      <c r="A56" s="39">
        <f>IF(Data[[#This Row],[Customer]]="","",Data[[#This Row],[Customer]])</f>
        <v>512</v>
      </c>
      <c r="B56" s="39" t="str">
        <f>IF(Data[[#This Row],[Column2]]="","",Data[[#This Row],[Column2]])</f>
        <v>พัน.สร.23 บชร.3</v>
      </c>
      <c r="C56" s="39" t="str">
        <f>IF(Data[[#This Row],[Column3]]="","",Data[[#This Row],[Column3]])</f>
        <v>23rd Combat Medical Battalion</v>
      </c>
      <c r="D56" s="39" t="str">
        <f>IF(Data[[#This Row],[Column4]]="","",Data[[#This Row],[Column4]])</f>
        <v>Aranyik, Mueang Phitsanulok</v>
      </c>
      <c r="E56" s="39" t="str">
        <f>IF(Data[[#This Row],[Column5]]="","",Data[[#This Row],[Column5]])</f>
        <v>Phitsanulok</v>
      </c>
      <c r="F56" s="39">
        <f>IF(Data[[#This Row],[Column6]]="","",Data[[#This Row],[Column6]])</f>
        <v>65000</v>
      </c>
    </row>
    <row r="57" spans="1:6">
      <c r="A57" s="39">
        <f>IF(Data[[#This Row],[Customer]]="","",Data[[#This Row],[Customer]])</f>
        <v>513</v>
      </c>
      <c r="B57" s="39" t="str">
        <f>IF(Data[[#This Row],[Column2]]="","",Data[[#This Row],[Column2]])</f>
        <v>ควภ.บชร.4</v>
      </c>
      <c r="C57" s="39" t="str">
        <f>IF(Data[[#This Row],[Column3]]="","",Data[[#This Row],[Column3]])</f>
        <v>4th Army Support Command</v>
      </c>
      <c r="D57" s="39" t="str">
        <f>IF(Data[[#This Row],[Column4]]="","",Data[[#This Row],[Column4]])</f>
        <v>181 Kapang, Thungsong</v>
      </c>
      <c r="E57" s="39" t="str">
        <f>IF(Data[[#This Row],[Column5]]="","",Data[[#This Row],[Column5]])</f>
        <v>Nakhon Si Thammarat</v>
      </c>
      <c r="F57" s="39">
        <f>IF(Data[[#This Row],[Column6]]="","",Data[[#This Row],[Column6]])</f>
        <v>80310</v>
      </c>
    </row>
  </sheetData>
  <dataConsolidate/>
  <mergeCells count="2">
    <mergeCell ref="H1:I1"/>
    <mergeCell ref="A1:F1"/>
  </mergeCells>
  <pageMargins left="0.7" right="0.7" top="0.75" bottom="0.75" header="0.3" footer="0.3"/>
  <pageSetup paperSize="9" orientation="portrait" verticalDpi="0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3E0A3-C479-4D43-978F-A9A04D76E2B1}">
  <dimension ref="A1:K57"/>
  <sheetViews>
    <sheetView workbookViewId="0"/>
  </sheetViews>
  <sheetFormatPr defaultRowHeight="12.75"/>
  <cols>
    <col min="1" max="1" width="11.85546875" bestFit="1" customWidth="1"/>
    <col min="2" max="2" width="31.28515625" bestFit="1" customWidth="1"/>
    <col min="3" max="3" width="51.5703125" bestFit="1" customWidth="1"/>
    <col min="4" max="4" width="54.7109375" bestFit="1" customWidth="1"/>
    <col min="5" max="5" width="19.7109375" bestFit="1" customWidth="1"/>
    <col min="6" max="7" width="11.28515625" bestFit="1" customWidth="1"/>
    <col min="8" max="8" width="29.85546875" bestFit="1" customWidth="1"/>
    <col min="9" max="9" width="11.28515625" bestFit="1" customWidth="1"/>
    <col min="10" max="10" width="12.28515625" bestFit="1" customWidth="1"/>
    <col min="11" max="11" width="44.7109375" bestFit="1" customWidth="1"/>
  </cols>
  <sheetData>
    <row r="1" spans="1:11">
      <c r="A1" t="s">
        <v>59</v>
      </c>
      <c r="B1" t="s">
        <v>526</v>
      </c>
      <c r="C1" t="s">
        <v>527</v>
      </c>
      <c r="D1" t="s">
        <v>528</v>
      </c>
      <c r="E1" t="s">
        <v>529</v>
      </c>
      <c r="F1" t="s">
        <v>530</v>
      </c>
      <c r="G1" t="s">
        <v>531</v>
      </c>
      <c r="H1" t="s">
        <v>286</v>
      </c>
      <c r="I1" t="s">
        <v>533</v>
      </c>
      <c r="J1" t="s">
        <v>534</v>
      </c>
      <c r="K1" t="s">
        <v>10</v>
      </c>
    </row>
    <row r="2" spans="1:11">
      <c r="A2" t="s">
        <v>36</v>
      </c>
      <c r="B2" t="s">
        <v>190</v>
      </c>
      <c r="C2" t="s">
        <v>285</v>
      </c>
      <c r="D2" t="s">
        <v>283</v>
      </c>
      <c r="E2" t="s">
        <v>284</v>
      </c>
      <c r="F2" t="s">
        <v>191</v>
      </c>
      <c r="H2" t="s">
        <v>84</v>
      </c>
      <c r="I2" t="s">
        <v>290</v>
      </c>
      <c r="K2" t="s">
        <v>163</v>
      </c>
    </row>
    <row r="3" spans="1:11">
      <c r="A3">
        <v>101</v>
      </c>
      <c r="B3" t="s">
        <v>116</v>
      </c>
      <c r="C3" t="s">
        <v>115</v>
      </c>
      <c r="D3" t="s">
        <v>192</v>
      </c>
      <c r="E3" t="s">
        <v>170</v>
      </c>
      <c r="F3">
        <v>10400</v>
      </c>
      <c r="H3" t="s">
        <v>489</v>
      </c>
      <c r="I3" t="s">
        <v>164</v>
      </c>
      <c r="K3" t="s">
        <v>109</v>
      </c>
    </row>
    <row r="4" spans="1:11">
      <c r="A4">
        <v>102</v>
      </c>
      <c r="B4" t="s">
        <v>193</v>
      </c>
      <c r="C4" t="s">
        <v>169</v>
      </c>
      <c r="D4" t="s">
        <v>194</v>
      </c>
      <c r="E4" t="s">
        <v>170</v>
      </c>
      <c r="F4">
        <v>10400</v>
      </c>
      <c r="H4" t="s">
        <v>83</v>
      </c>
      <c r="I4" t="s">
        <v>165</v>
      </c>
      <c r="K4" t="s">
        <v>110</v>
      </c>
    </row>
    <row r="5" spans="1:11">
      <c r="A5">
        <v>103</v>
      </c>
      <c r="B5" t="s">
        <v>117</v>
      </c>
      <c r="C5" t="s">
        <v>195</v>
      </c>
      <c r="D5" t="s">
        <v>196</v>
      </c>
      <c r="E5" t="s">
        <v>170</v>
      </c>
      <c r="F5">
        <v>10400</v>
      </c>
      <c r="H5" t="s">
        <v>490</v>
      </c>
      <c r="I5" t="s">
        <v>517</v>
      </c>
      <c r="K5" t="s">
        <v>171</v>
      </c>
    </row>
    <row r="6" spans="1:11">
      <c r="A6">
        <v>104</v>
      </c>
      <c r="B6" t="s">
        <v>119</v>
      </c>
      <c r="C6" t="s">
        <v>334</v>
      </c>
      <c r="D6" t="s">
        <v>321</v>
      </c>
      <c r="E6" t="s">
        <v>306</v>
      </c>
      <c r="F6">
        <v>15000</v>
      </c>
      <c r="H6" t="s">
        <v>491</v>
      </c>
      <c r="I6" t="s">
        <v>520</v>
      </c>
      <c r="K6" t="s">
        <v>172</v>
      </c>
    </row>
    <row r="7" spans="1:11">
      <c r="A7">
        <v>105</v>
      </c>
      <c r="B7" t="s">
        <v>118</v>
      </c>
      <c r="C7" t="s">
        <v>197</v>
      </c>
      <c r="D7" t="s">
        <v>322</v>
      </c>
      <c r="E7" t="s">
        <v>307</v>
      </c>
      <c r="F7">
        <v>77120</v>
      </c>
      <c r="H7" t="s">
        <v>521</v>
      </c>
      <c r="I7" t="s">
        <v>518</v>
      </c>
      <c r="K7" t="s">
        <v>173</v>
      </c>
    </row>
    <row r="8" spans="1:11">
      <c r="A8">
        <v>106</v>
      </c>
      <c r="B8" t="s">
        <v>198</v>
      </c>
      <c r="C8" t="s">
        <v>199</v>
      </c>
      <c r="D8" t="s">
        <v>200</v>
      </c>
      <c r="E8" t="s">
        <v>201</v>
      </c>
      <c r="F8">
        <v>26001</v>
      </c>
      <c r="H8" t="s">
        <v>492</v>
      </c>
      <c r="I8" t="s">
        <v>166</v>
      </c>
      <c r="K8" t="s">
        <v>174</v>
      </c>
    </row>
    <row r="9" spans="1:11">
      <c r="A9">
        <v>107</v>
      </c>
      <c r="B9" t="s">
        <v>121</v>
      </c>
      <c r="C9" t="s">
        <v>202</v>
      </c>
      <c r="D9" t="s">
        <v>203</v>
      </c>
      <c r="E9" t="s">
        <v>308</v>
      </c>
      <c r="F9">
        <v>25000</v>
      </c>
      <c r="H9" t="s">
        <v>493</v>
      </c>
      <c r="I9" t="s">
        <v>166</v>
      </c>
      <c r="K9" t="s">
        <v>111</v>
      </c>
    </row>
    <row r="10" spans="1:11">
      <c r="A10">
        <v>108</v>
      </c>
      <c r="B10" t="s">
        <v>124</v>
      </c>
      <c r="C10" t="s">
        <v>204</v>
      </c>
      <c r="D10" t="s">
        <v>205</v>
      </c>
      <c r="E10" t="s">
        <v>206</v>
      </c>
      <c r="F10">
        <v>71190</v>
      </c>
      <c r="H10" t="s">
        <v>494</v>
      </c>
      <c r="I10" t="s">
        <v>166</v>
      </c>
      <c r="K10" t="s">
        <v>112</v>
      </c>
    </row>
    <row r="11" spans="1:11">
      <c r="A11">
        <v>109</v>
      </c>
      <c r="B11" t="s">
        <v>122</v>
      </c>
      <c r="C11" t="s">
        <v>207</v>
      </c>
      <c r="D11" t="s">
        <v>208</v>
      </c>
      <c r="E11" t="s">
        <v>209</v>
      </c>
      <c r="F11">
        <v>27120</v>
      </c>
      <c r="H11" t="s">
        <v>495</v>
      </c>
      <c r="I11" t="s">
        <v>166</v>
      </c>
      <c r="K11" t="s">
        <v>113</v>
      </c>
    </row>
    <row r="12" spans="1:11">
      <c r="A12">
        <v>110</v>
      </c>
      <c r="B12" t="s">
        <v>125</v>
      </c>
      <c r="C12" t="s">
        <v>210</v>
      </c>
      <c r="D12" t="s">
        <v>211</v>
      </c>
      <c r="E12" t="s">
        <v>212</v>
      </c>
      <c r="F12">
        <v>70000</v>
      </c>
      <c r="H12" t="s">
        <v>496</v>
      </c>
      <c r="I12" t="s">
        <v>565</v>
      </c>
      <c r="K12" t="s">
        <v>114</v>
      </c>
    </row>
    <row r="13" spans="1:11">
      <c r="A13">
        <v>111</v>
      </c>
      <c r="B13" t="s">
        <v>120</v>
      </c>
      <c r="C13" t="s">
        <v>458</v>
      </c>
      <c r="D13" t="s">
        <v>323</v>
      </c>
      <c r="E13" t="s">
        <v>213</v>
      </c>
      <c r="F13">
        <v>18000</v>
      </c>
      <c r="H13" t="s">
        <v>519</v>
      </c>
      <c r="I13" t="s">
        <v>167</v>
      </c>
    </row>
    <row r="14" spans="1:11">
      <c r="A14">
        <v>112</v>
      </c>
      <c r="B14" t="s">
        <v>123</v>
      </c>
      <c r="C14" t="s">
        <v>459</v>
      </c>
      <c r="D14" t="s">
        <v>214</v>
      </c>
      <c r="E14" t="s">
        <v>309</v>
      </c>
      <c r="F14">
        <v>20000</v>
      </c>
      <c r="H14" t="s">
        <v>500</v>
      </c>
      <c r="I14" t="s">
        <v>167</v>
      </c>
    </row>
    <row r="15" spans="1:11">
      <c r="A15">
        <v>113</v>
      </c>
      <c r="B15" t="s">
        <v>126</v>
      </c>
      <c r="C15" t="s">
        <v>215</v>
      </c>
      <c r="D15" t="s">
        <v>324</v>
      </c>
      <c r="E15" t="s">
        <v>310</v>
      </c>
      <c r="F15">
        <v>76000</v>
      </c>
      <c r="H15" t="s">
        <v>497</v>
      </c>
      <c r="I15" t="s">
        <v>167</v>
      </c>
    </row>
    <row r="16" spans="1:11">
      <c r="A16">
        <v>114</v>
      </c>
      <c r="B16" t="s">
        <v>566</v>
      </c>
      <c r="C16" t="s">
        <v>567</v>
      </c>
      <c r="D16" t="s">
        <v>568</v>
      </c>
      <c r="E16" t="s">
        <v>170</v>
      </c>
      <c r="F16">
        <v>10400</v>
      </c>
      <c r="H16" t="s">
        <v>498</v>
      </c>
      <c r="I16" t="s">
        <v>167</v>
      </c>
    </row>
    <row r="17" spans="1:9">
      <c r="A17">
        <v>115</v>
      </c>
      <c r="B17" t="s">
        <v>569</v>
      </c>
      <c r="C17" t="s">
        <v>570</v>
      </c>
      <c r="D17" t="s">
        <v>571</v>
      </c>
      <c r="E17" t="s">
        <v>170</v>
      </c>
      <c r="F17">
        <v>10400</v>
      </c>
      <c r="H17" t="s">
        <v>522</v>
      </c>
      <c r="I17" t="s">
        <v>168</v>
      </c>
    </row>
    <row r="18" spans="1:9">
      <c r="A18">
        <v>116</v>
      </c>
      <c r="B18" t="s">
        <v>572</v>
      </c>
      <c r="C18" t="s">
        <v>573</v>
      </c>
      <c r="D18" t="s">
        <v>574</v>
      </c>
      <c r="E18" t="s">
        <v>170</v>
      </c>
      <c r="F18">
        <v>10400</v>
      </c>
    </row>
    <row r="19" spans="1:9">
      <c r="A19">
        <v>201</v>
      </c>
      <c r="B19" t="s">
        <v>127</v>
      </c>
      <c r="C19" t="s">
        <v>216</v>
      </c>
      <c r="D19" t="s">
        <v>217</v>
      </c>
      <c r="E19" t="s">
        <v>311</v>
      </c>
      <c r="F19">
        <v>30000</v>
      </c>
    </row>
    <row r="20" spans="1:9">
      <c r="A20">
        <v>202</v>
      </c>
      <c r="B20" t="s">
        <v>134</v>
      </c>
      <c r="C20" t="s">
        <v>218</v>
      </c>
      <c r="D20" t="s">
        <v>325</v>
      </c>
      <c r="E20" t="s">
        <v>546</v>
      </c>
      <c r="F20">
        <v>34190</v>
      </c>
    </row>
    <row r="21" spans="1:9">
      <c r="A21">
        <v>203</v>
      </c>
      <c r="B21" t="s">
        <v>132</v>
      </c>
      <c r="C21" t="s">
        <v>219</v>
      </c>
      <c r="D21" t="s">
        <v>220</v>
      </c>
      <c r="E21" t="s">
        <v>221</v>
      </c>
      <c r="F21">
        <v>41000</v>
      </c>
    </row>
    <row r="22" spans="1:9">
      <c r="A22">
        <v>204</v>
      </c>
      <c r="B22" t="s">
        <v>130</v>
      </c>
      <c r="C22" t="s">
        <v>222</v>
      </c>
      <c r="D22" t="s">
        <v>499</v>
      </c>
      <c r="E22" t="s">
        <v>223</v>
      </c>
      <c r="F22">
        <v>45280</v>
      </c>
    </row>
    <row r="23" spans="1:9">
      <c r="A23">
        <v>205</v>
      </c>
      <c r="B23" t="s">
        <v>129</v>
      </c>
      <c r="C23" t="s">
        <v>335</v>
      </c>
      <c r="D23" t="s">
        <v>326</v>
      </c>
      <c r="E23" t="s">
        <v>312</v>
      </c>
      <c r="F23">
        <v>32000</v>
      </c>
    </row>
    <row r="24" spans="1:9">
      <c r="A24">
        <v>206</v>
      </c>
      <c r="B24" t="s">
        <v>135</v>
      </c>
      <c r="C24" t="s">
        <v>224</v>
      </c>
      <c r="D24" t="s">
        <v>327</v>
      </c>
      <c r="E24" t="s">
        <v>313</v>
      </c>
      <c r="F24">
        <v>47000</v>
      </c>
    </row>
    <row r="25" spans="1:9">
      <c r="A25">
        <v>207</v>
      </c>
      <c r="B25" t="s">
        <v>131</v>
      </c>
      <c r="C25" t="s">
        <v>460</v>
      </c>
      <c r="D25" t="s">
        <v>328</v>
      </c>
      <c r="E25" t="s">
        <v>314</v>
      </c>
      <c r="F25">
        <v>40000</v>
      </c>
    </row>
    <row r="26" spans="1:9">
      <c r="A26">
        <v>208</v>
      </c>
      <c r="B26" t="s">
        <v>128</v>
      </c>
      <c r="C26" t="s">
        <v>461</v>
      </c>
      <c r="D26" t="s">
        <v>329</v>
      </c>
      <c r="E26" t="s">
        <v>315</v>
      </c>
      <c r="F26">
        <v>31000</v>
      </c>
    </row>
    <row r="27" spans="1:9">
      <c r="A27">
        <v>209</v>
      </c>
      <c r="B27" t="s">
        <v>133</v>
      </c>
      <c r="C27" t="s">
        <v>225</v>
      </c>
      <c r="D27" t="s">
        <v>330</v>
      </c>
      <c r="E27" t="s">
        <v>226</v>
      </c>
      <c r="F27">
        <v>42100</v>
      </c>
    </row>
    <row r="28" spans="1:9">
      <c r="A28">
        <v>210</v>
      </c>
      <c r="B28" t="s">
        <v>462</v>
      </c>
      <c r="C28" t="s">
        <v>463</v>
      </c>
      <c r="D28" t="s">
        <v>464</v>
      </c>
      <c r="E28" t="s">
        <v>465</v>
      </c>
      <c r="F28">
        <v>48000</v>
      </c>
    </row>
    <row r="29" spans="1:9">
      <c r="A29">
        <v>301</v>
      </c>
      <c r="B29" t="s">
        <v>466</v>
      </c>
      <c r="C29" t="s">
        <v>227</v>
      </c>
      <c r="D29" t="s">
        <v>228</v>
      </c>
      <c r="E29" t="s">
        <v>268</v>
      </c>
      <c r="F29">
        <v>65000</v>
      </c>
    </row>
    <row r="30" spans="1:9">
      <c r="A30">
        <v>302</v>
      </c>
      <c r="B30" t="s">
        <v>136</v>
      </c>
      <c r="C30" t="s">
        <v>467</v>
      </c>
      <c r="D30" t="s">
        <v>331</v>
      </c>
      <c r="E30" t="s">
        <v>229</v>
      </c>
      <c r="F30">
        <v>60000</v>
      </c>
    </row>
    <row r="31" spans="1:9">
      <c r="A31">
        <v>303</v>
      </c>
      <c r="B31" t="s">
        <v>142</v>
      </c>
      <c r="C31" t="s">
        <v>336</v>
      </c>
      <c r="D31" t="s">
        <v>230</v>
      </c>
      <c r="E31" t="s">
        <v>231</v>
      </c>
      <c r="F31">
        <v>50000</v>
      </c>
    </row>
    <row r="32" spans="1:9">
      <c r="A32">
        <v>304</v>
      </c>
      <c r="B32" t="s">
        <v>143</v>
      </c>
      <c r="C32" t="s">
        <v>232</v>
      </c>
      <c r="D32" t="s">
        <v>332</v>
      </c>
      <c r="E32" t="s">
        <v>316</v>
      </c>
      <c r="F32">
        <v>57000</v>
      </c>
    </row>
    <row r="33" spans="1:6">
      <c r="A33">
        <v>305</v>
      </c>
      <c r="B33" t="s">
        <v>139</v>
      </c>
      <c r="C33" t="s">
        <v>233</v>
      </c>
      <c r="D33" t="s">
        <v>234</v>
      </c>
      <c r="E33" t="s">
        <v>235</v>
      </c>
      <c r="F33">
        <v>53000</v>
      </c>
    </row>
    <row r="34" spans="1:6">
      <c r="A34">
        <v>306</v>
      </c>
      <c r="B34" t="s">
        <v>236</v>
      </c>
      <c r="C34" t="s">
        <v>140</v>
      </c>
      <c r="D34" t="s">
        <v>237</v>
      </c>
      <c r="E34" t="s">
        <v>238</v>
      </c>
      <c r="F34">
        <v>52000</v>
      </c>
    </row>
    <row r="35" spans="1:6">
      <c r="A35">
        <v>307</v>
      </c>
      <c r="B35" t="s">
        <v>137</v>
      </c>
      <c r="C35" t="s">
        <v>239</v>
      </c>
      <c r="D35" t="s">
        <v>240</v>
      </c>
      <c r="E35" t="s">
        <v>273</v>
      </c>
      <c r="F35">
        <v>67000</v>
      </c>
    </row>
    <row r="36" spans="1:6">
      <c r="A36">
        <v>308</v>
      </c>
      <c r="B36" t="s">
        <v>138</v>
      </c>
      <c r="C36" t="s">
        <v>241</v>
      </c>
      <c r="D36" t="s">
        <v>333</v>
      </c>
      <c r="E36" t="s">
        <v>317</v>
      </c>
      <c r="F36">
        <v>63000</v>
      </c>
    </row>
    <row r="37" spans="1:6">
      <c r="A37">
        <v>309</v>
      </c>
      <c r="B37" t="s">
        <v>242</v>
      </c>
      <c r="C37" t="s">
        <v>468</v>
      </c>
      <c r="D37" t="s">
        <v>243</v>
      </c>
      <c r="E37" t="s">
        <v>244</v>
      </c>
      <c r="F37">
        <v>56000</v>
      </c>
    </row>
    <row r="38" spans="1:6">
      <c r="A38">
        <v>310</v>
      </c>
      <c r="B38" t="s">
        <v>141</v>
      </c>
      <c r="C38" t="s">
        <v>245</v>
      </c>
      <c r="D38" t="s">
        <v>246</v>
      </c>
      <c r="E38" t="s">
        <v>247</v>
      </c>
      <c r="F38">
        <v>55000</v>
      </c>
    </row>
    <row r="39" spans="1:6">
      <c r="A39">
        <v>401</v>
      </c>
      <c r="B39" t="s">
        <v>146</v>
      </c>
      <c r="C39" t="s">
        <v>248</v>
      </c>
      <c r="D39" t="s">
        <v>249</v>
      </c>
      <c r="E39" t="s">
        <v>305</v>
      </c>
      <c r="F39">
        <v>80000</v>
      </c>
    </row>
    <row r="40" spans="1:6">
      <c r="A40">
        <v>402</v>
      </c>
      <c r="B40" t="s">
        <v>148</v>
      </c>
      <c r="C40" t="s">
        <v>469</v>
      </c>
      <c r="D40" t="s">
        <v>250</v>
      </c>
      <c r="E40" t="s">
        <v>251</v>
      </c>
      <c r="F40">
        <v>90110</v>
      </c>
    </row>
    <row r="41" spans="1:6">
      <c r="A41">
        <v>403</v>
      </c>
      <c r="B41" t="s">
        <v>145</v>
      </c>
      <c r="C41" t="s">
        <v>252</v>
      </c>
      <c r="D41" t="s">
        <v>253</v>
      </c>
      <c r="E41" t="s">
        <v>254</v>
      </c>
      <c r="F41">
        <v>84000</v>
      </c>
    </row>
    <row r="42" spans="1:6">
      <c r="A42">
        <v>404</v>
      </c>
      <c r="B42" t="s">
        <v>147</v>
      </c>
      <c r="C42" t="s">
        <v>255</v>
      </c>
      <c r="D42" t="s">
        <v>256</v>
      </c>
      <c r="E42" t="s">
        <v>305</v>
      </c>
      <c r="F42">
        <v>80310</v>
      </c>
    </row>
    <row r="43" spans="1:6">
      <c r="A43">
        <v>405</v>
      </c>
      <c r="B43" t="s">
        <v>149</v>
      </c>
      <c r="C43" t="s">
        <v>257</v>
      </c>
      <c r="D43" t="s">
        <v>258</v>
      </c>
      <c r="E43" t="s">
        <v>259</v>
      </c>
      <c r="F43">
        <v>94170</v>
      </c>
    </row>
    <row r="44" spans="1:6">
      <c r="A44">
        <v>406</v>
      </c>
      <c r="B44" t="s">
        <v>144</v>
      </c>
      <c r="C44" t="s">
        <v>260</v>
      </c>
      <c r="D44" t="s">
        <v>548</v>
      </c>
      <c r="E44" t="s">
        <v>318</v>
      </c>
      <c r="F44">
        <v>86190</v>
      </c>
    </row>
    <row r="45" spans="1:6">
      <c r="A45">
        <v>501</v>
      </c>
      <c r="B45" t="s">
        <v>150</v>
      </c>
      <c r="C45" t="s">
        <v>261</v>
      </c>
      <c r="D45" t="s">
        <v>320</v>
      </c>
      <c r="E45" t="s">
        <v>306</v>
      </c>
      <c r="F45">
        <v>15000</v>
      </c>
    </row>
    <row r="46" spans="1:6">
      <c r="A46">
        <v>502</v>
      </c>
      <c r="B46" t="s">
        <v>151</v>
      </c>
      <c r="C46" t="s">
        <v>262</v>
      </c>
      <c r="D46" t="s">
        <v>263</v>
      </c>
      <c r="E46" t="s">
        <v>308</v>
      </c>
      <c r="F46">
        <v>25230</v>
      </c>
    </row>
    <row r="47" spans="1:6">
      <c r="A47">
        <v>503</v>
      </c>
      <c r="B47" t="s">
        <v>152</v>
      </c>
      <c r="C47" t="s">
        <v>264</v>
      </c>
      <c r="D47" t="s">
        <v>265</v>
      </c>
      <c r="E47" t="s">
        <v>311</v>
      </c>
      <c r="F47">
        <v>30000</v>
      </c>
    </row>
    <row r="48" spans="1:6">
      <c r="A48">
        <v>504</v>
      </c>
      <c r="B48" t="s">
        <v>153</v>
      </c>
      <c r="C48" t="s">
        <v>266</v>
      </c>
      <c r="D48" t="s">
        <v>267</v>
      </c>
      <c r="E48" t="s">
        <v>268</v>
      </c>
      <c r="F48">
        <v>65000</v>
      </c>
    </row>
    <row r="49" spans="1:6">
      <c r="A49">
        <v>505</v>
      </c>
      <c r="B49" t="s">
        <v>154</v>
      </c>
      <c r="C49" t="s">
        <v>269</v>
      </c>
      <c r="D49" t="s">
        <v>256</v>
      </c>
      <c r="E49" t="s">
        <v>305</v>
      </c>
      <c r="F49">
        <v>80310</v>
      </c>
    </row>
    <row r="50" spans="1:6">
      <c r="A50">
        <v>506</v>
      </c>
      <c r="B50" t="s">
        <v>155</v>
      </c>
      <c r="C50" t="s">
        <v>270</v>
      </c>
      <c r="D50" t="s">
        <v>547</v>
      </c>
      <c r="E50" t="s">
        <v>223</v>
      </c>
      <c r="F50">
        <v>45280</v>
      </c>
    </row>
    <row r="51" spans="1:6">
      <c r="A51">
        <v>507</v>
      </c>
      <c r="B51" t="s">
        <v>156</v>
      </c>
      <c r="C51" t="s">
        <v>271</v>
      </c>
      <c r="D51" t="s">
        <v>272</v>
      </c>
      <c r="E51" t="s">
        <v>273</v>
      </c>
      <c r="F51">
        <v>67000</v>
      </c>
    </row>
    <row r="52" spans="1:6">
      <c r="A52">
        <v>508</v>
      </c>
      <c r="B52" t="s">
        <v>157</v>
      </c>
      <c r="C52" t="s">
        <v>274</v>
      </c>
      <c r="D52" t="s">
        <v>319</v>
      </c>
      <c r="E52" t="s">
        <v>206</v>
      </c>
      <c r="F52">
        <v>71190</v>
      </c>
    </row>
    <row r="53" spans="1:6">
      <c r="A53">
        <v>509</v>
      </c>
      <c r="B53" t="s">
        <v>158</v>
      </c>
      <c r="C53" t="s">
        <v>275</v>
      </c>
      <c r="D53" t="s">
        <v>302</v>
      </c>
      <c r="E53" t="s">
        <v>170</v>
      </c>
      <c r="F53">
        <v>10300</v>
      </c>
    </row>
    <row r="54" spans="1:6">
      <c r="A54">
        <v>510</v>
      </c>
      <c r="B54" t="s">
        <v>159</v>
      </c>
      <c r="C54" t="s">
        <v>276</v>
      </c>
      <c r="D54" t="s">
        <v>277</v>
      </c>
      <c r="E54" t="s">
        <v>251</v>
      </c>
      <c r="F54">
        <v>90150</v>
      </c>
    </row>
    <row r="55" spans="1:6">
      <c r="A55">
        <v>511</v>
      </c>
      <c r="B55" t="s">
        <v>160</v>
      </c>
      <c r="C55" t="s">
        <v>278</v>
      </c>
      <c r="D55" t="s">
        <v>279</v>
      </c>
      <c r="E55" t="s">
        <v>311</v>
      </c>
      <c r="F55">
        <v>30000</v>
      </c>
    </row>
    <row r="56" spans="1:6">
      <c r="A56">
        <v>512</v>
      </c>
      <c r="B56" t="s">
        <v>161</v>
      </c>
      <c r="C56" t="s">
        <v>280</v>
      </c>
      <c r="D56" t="s">
        <v>281</v>
      </c>
      <c r="E56" t="s">
        <v>268</v>
      </c>
      <c r="F56">
        <v>65000</v>
      </c>
    </row>
    <row r="57" spans="1:6">
      <c r="A57">
        <v>513</v>
      </c>
      <c r="B57" t="s">
        <v>162</v>
      </c>
      <c r="C57" t="s">
        <v>282</v>
      </c>
      <c r="D57" t="s">
        <v>256</v>
      </c>
      <c r="E57" t="s">
        <v>305</v>
      </c>
      <c r="F57">
        <v>80310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E5920-DEAE-491B-8619-0EDE2BBF8F7C}">
  <dimension ref="A1:T33"/>
  <sheetViews>
    <sheetView topLeftCell="D1" workbookViewId="0">
      <selection activeCell="S24" sqref="S24"/>
    </sheetView>
  </sheetViews>
  <sheetFormatPr defaultRowHeight="12.75"/>
  <cols>
    <col min="1" max="1" width="17.5703125" bestFit="1" customWidth="1"/>
    <col min="2" max="2" width="41" bestFit="1" customWidth="1"/>
    <col min="3" max="4" width="11.28515625" bestFit="1" customWidth="1"/>
    <col min="5" max="5" width="13.140625" bestFit="1" customWidth="1"/>
    <col min="6" max="6" width="18" bestFit="1" customWidth="1"/>
    <col min="7" max="9" width="11.28515625" bestFit="1" customWidth="1"/>
    <col min="10" max="10" width="12.28515625" bestFit="1" customWidth="1"/>
    <col min="11" max="11" width="15.5703125" bestFit="1" customWidth="1"/>
    <col min="12" max="14" width="13.42578125" bestFit="1" customWidth="1"/>
    <col min="15" max="15" width="12.28515625" bestFit="1" customWidth="1"/>
    <col min="16" max="16" width="30.28515625" bestFit="1" customWidth="1"/>
    <col min="17" max="17" width="12.28515625" bestFit="1" customWidth="1"/>
    <col min="18" max="18" width="27.7109375" bestFit="1" customWidth="1"/>
    <col min="19" max="19" width="30" bestFit="1" customWidth="1"/>
    <col min="20" max="20" width="12.28515625" bestFit="1" customWidth="1"/>
  </cols>
  <sheetData>
    <row r="1" spans="1:20">
      <c r="A1" t="s">
        <v>525</v>
      </c>
      <c r="B1" t="s">
        <v>526</v>
      </c>
      <c r="C1" t="s">
        <v>527</v>
      </c>
      <c r="D1" t="s">
        <v>528</v>
      </c>
      <c r="E1" t="s">
        <v>529</v>
      </c>
      <c r="F1" t="s">
        <v>530</v>
      </c>
      <c r="G1" t="s">
        <v>531</v>
      </c>
      <c r="H1" t="s">
        <v>532</v>
      </c>
      <c r="I1" t="s">
        <v>533</v>
      </c>
      <c r="J1" t="s">
        <v>534</v>
      </c>
      <c r="K1" t="s">
        <v>535</v>
      </c>
      <c r="L1" t="s">
        <v>536</v>
      </c>
      <c r="M1" t="s">
        <v>537</v>
      </c>
      <c r="N1" t="s">
        <v>538</v>
      </c>
      <c r="O1" t="s">
        <v>539</v>
      </c>
      <c r="P1" t="s">
        <v>540</v>
      </c>
      <c r="Q1" t="s">
        <v>541</v>
      </c>
      <c r="R1" t="s">
        <v>542</v>
      </c>
      <c r="S1" t="s">
        <v>543</v>
      </c>
      <c r="T1" t="s">
        <v>551</v>
      </c>
    </row>
    <row r="2" spans="1:20">
      <c r="A2" t="s">
        <v>26</v>
      </c>
      <c r="K2" t="s">
        <v>301</v>
      </c>
      <c r="P2" t="s">
        <v>485</v>
      </c>
      <c r="Q2" t="s">
        <v>513</v>
      </c>
      <c r="R2" t="s">
        <v>479</v>
      </c>
      <c r="S2" t="s">
        <v>387</v>
      </c>
    </row>
    <row r="3" spans="1:20">
      <c r="A3" t="s">
        <v>293</v>
      </c>
      <c r="B3" t="s">
        <v>292</v>
      </c>
      <c r="C3" t="s">
        <v>294</v>
      </c>
      <c r="D3" t="s">
        <v>27</v>
      </c>
      <c r="E3" t="s">
        <v>28</v>
      </c>
      <c r="F3" t="s">
        <v>291</v>
      </c>
      <c r="G3" t="s">
        <v>179</v>
      </c>
      <c r="K3" t="s">
        <v>404</v>
      </c>
      <c r="L3" t="s">
        <v>470</v>
      </c>
      <c r="M3" t="s">
        <v>471</v>
      </c>
      <c r="N3" t="s">
        <v>472</v>
      </c>
      <c r="P3" t="s">
        <v>486</v>
      </c>
      <c r="Q3" t="s">
        <v>514</v>
      </c>
      <c r="R3" t="s">
        <v>505</v>
      </c>
      <c r="S3" t="s">
        <v>387</v>
      </c>
    </row>
    <row r="4" spans="1:20">
      <c r="A4" t="s">
        <v>471</v>
      </c>
      <c r="B4" t="s">
        <v>295</v>
      </c>
      <c r="C4" t="s">
        <v>102</v>
      </c>
      <c r="D4" t="s">
        <v>103</v>
      </c>
      <c r="E4" t="s">
        <v>288</v>
      </c>
      <c r="F4" t="s">
        <v>575</v>
      </c>
      <c r="G4" t="s">
        <v>576</v>
      </c>
      <c r="K4" t="s">
        <v>511</v>
      </c>
      <c r="L4" t="s">
        <v>474</v>
      </c>
      <c r="M4" t="s">
        <v>476</v>
      </c>
      <c r="N4" t="s">
        <v>478</v>
      </c>
      <c r="P4" t="s">
        <v>482</v>
      </c>
      <c r="Q4" t="s">
        <v>515</v>
      </c>
      <c r="R4" t="s">
        <v>386</v>
      </c>
      <c r="S4" t="s">
        <v>387</v>
      </c>
    </row>
    <row r="5" spans="1:20">
      <c r="A5" t="s">
        <v>472</v>
      </c>
      <c r="B5" t="s">
        <v>295</v>
      </c>
      <c r="C5" t="s">
        <v>102</v>
      </c>
      <c r="D5" t="s">
        <v>103</v>
      </c>
      <c r="E5" t="s">
        <v>107</v>
      </c>
      <c r="F5" t="s">
        <v>577</v>
      </c>
      <c r="G5" t="s">
        <v>578</v>
      </c>
      <c r="K5" t="s">
        <v>405</v>
      </c>
      <c r="L5" t="s">
        <v>475</v>
      </c>
      <c r="M5" t="s">
        <v>477</v>
      </c>
      <c r="P5" t="s">
        <v>483</v>
      </c>
      <c r="Q5" t="s">
        <v>516</v>
      </c>
      <c r="R5" t="s">
        <v>484</v>
      </c>
      <c r="S5" t="s">
        <v>387</v>
      </c>
    </row>
    <row r="6" spans="1:20">
      <c r="A6" t="s">
        <v>470</v>
      </c>
      <c r="B6" t="s">
        <v>295</v>
      </c>
      <c r="C6" t="s">
        <v>102</v>
      </c>
      <c r="D6" t="s">
        <v>103</v>
      </c>
      <c r="E6" t="s">
        <v>289</v>
      </c>
      <c r="F6" t="s">
        <v>579</v>
      </c>
      <c r="G6" t="s">
        <v>580</v>
      </c>
      <c r="P6" t="s">
        <v>487</v>
      </c>
      <c r="Q6" t="s">
        <v>488</v>
      </c>
      <c r="R6" t="s">
        <v>480</v>
      </c>
      <c r="S6" t="s">
        <v>388</v>
      </c>
    </row>
    <row r="7" spans="1:20">
      <c r="A7" t="s">
        <v>404</v>
      </c>
      <c r="B7" t="s">
        <v>399</v>
      </c>
      <c r="C7" t="s">
        <v>397</v>
      </c>
      <c r="D7" t="s">
        <v>398</v>
      </c>
      <c r="E7" t="s">
        <v>400</v>
      </c>
      <c r="F7">
        <v>45908</v>
      </c>
      <c r="G7" t="s">
        <v>558</v>
      </c>
      <c r="P7" t="s">
        <v>376</v>
      </c>
      <c r="Q7" t="s">
        <v>389</v>
      </c>
      <c r="R7" t="s">
        <v>390</v>
      </c>
      <c r="S7" t="s">
        <v>376</v>
      </c>
    </row>
    <row r="8" spans="1:20">
      <c r="P8" t="s">
        <v>395</v>
      </c>
      <c r="Q8" t="s">
        <v>395</v>
      </c>
      <c r="R8" t="s">
        <v>544</v>
      </c>
      <c r="S8" t="s">
        <v>387</v>
      </c>
    </row>
    <row r="9" spans="1:20">
      <c r="P9" t="s">
        <v>507</v>
      </c>
      <c r="Q9" t="s">
        <v>392</v>
      </c>
      <c r="R9" t="s">
        <v>545</v>
      </c>
      <c r="S9" t="s">
        <v>507</v>
      </c>
    </row>
    <row r="12" spans="1:20">
      <c r="A12" t="s">
        <v>1</v>
      </c>
    </row>
    <row r="13" spans="1:20">
      <c r="A13" t="s">
        <v>293</v>
      </c>
      <c r="B13" t="s">
        <v>292</v>
      </c>
      <c r="C13" t="s">
        <v>294</v>
      </c>
      <c r="D13" t="s">
        <v>27</v>
      </c>
      <c r="E13" t="s">
        <v>28</v>
      </c>
      <c r="F13" t="s">
        <v>291</v>
      </c>
      <c r="G13" t="s">
        <v>179</v>
      </c>
      <c r="P13" t="s">
        <v>391</v>
      </c>
      <c r="Q13" t="s">
        <v>392</v>
      </c>
    </row>
    <row r="14" spans="1:20">
      <c r="A14" t="s">
        <v>501</v>
      </c>
      <c r="B14" t="s">
        <v>101</v>
      </c>
      <c r="C14" t="s">
        <v>104</v>
      </c>
      <c r="D14" t="s">
        <v>75</v>
      </c>
      <c r="E14" t="s">
        <v>97</v>
      </c>
      <c r="F14" t="s">
        <v>562</v>
      </c>
      <c r="G14" t="s">
        <v>563</v>
      </c>
      <c r="P14" t="s">
        <v>393</v>
      </c>
      <c r="Q14" t="s">
        <v>394</v>
      </c>
    </row>
    <row r="15" spans="1:20">
      <c r="A15" t="s">
        <v>502</v>
      </c>
      <c r="B15" t="s">
        <v>101</v>
      </c>
      <c r="C15" t="s">
        <v>104</v>
      </c>
      <c r="D15" t="s">
        <v>75</v>
      </c>
      <c r="E15" t="s">
        <v>105</v>
      </c>
      <c r="F15" t="s">
        <v>552</v>
      </c>
      <c r="G15" t="s">
        <v>553</v>
      </c>
      <c r="P15" t="s">
        <v>374</v>
      </c>
      <c r="Q15" t="s">
        <v>395</v>
      </c>
    </row>
    <row r="16" spans="1:20">
      <c r="A16" t="s">
        <v>503</v>
      </c>
      <c r="B16" t="s">
        <v>101</v>
      </c>
      <c r="C16" t="s">
        <v>104</v>
      </c>
      <c r="D16" t="s">
        <v>75</v>
      </c>
      <c r="E16" t="s">
        <v>106</v>
      </c>
      <c r="F16" t="s">
        <v>554</v>
      </c>
      <c r="G16" t="s">
        <v>555</v>
      </c>
    </row>
    <row r="17" spans="1:7">
      <c r="A17" t="s">
        <v>512</v>
      </c>
      <c r="B17" t="s">
        <v>101</v>
      </c>
      <c r="C17" t="s">
        <v>104</v>
      </c>
      <c r="D17" t="s">
        <v>75</v>
      </c>
      <c r="E17" t="s">
        <v>510</v>
      </c>
      <c r="F17" t="s">
        <v>552</v>
      </c>
      <c r="G17" t="s">
        <v>556</v>
      </c>
    </row>
    <row r="18" spans="1:7">
      <c r="A18" t="s">
        <v>473</v>
      </c>
      <c r="B18" t="s">
        <v>175</v>
      </c>
      <c r="C18" t="s">
        <v>102</v>
      </c>
      <c r="D18" t="s">
        <v>176</v>
      </c>
      <c r="E18" t="s">
        <v>178</v>
      </c>
      <c r="F18">
        <v>45931</v>
      </c>
      <c r="G18" t="s">
        <v>559</v>
      </c>
    </row>
    <row r="19" spans="1:7">
      <c r="A19" t="s">
        <v>504</v>
      </c>
      <c r="B19" t="s">
        <v>175</v>
      </c>
      <c r="C19" t="s">
        <v>102</v>
      </c>
      <c r="D19" t="s">
        <v>176</v>
      </c>
      <c r="E19" t="s">
        <v>177</v>
      </c>
      <c r="F19">
        <v>45883</v>
      </c>
      <c r="G19" t="s">
        <v>557</v>
      </c>
    </row>
    <row r="25" spans="1:7">
      <c r="A25" t="s">
        <v>300</v>
      </c>
    </row>
    <row r="26" spans="1:7">
      <c r="A26" t="s">
        <v>293</v>
      </c>
      <c r="B26" t="s">
        <v>292</v>
      </c>
      <c r="C26" t="s">
        <v>294</v>
      </c>
      <c r="D26" t="s">
        <v>27</v>
      </c>
      <c r="E26" t="s">
        <v>28</v>
      </c>
      <c r="F26" t="s">
        <v>291</v>
      </c>
      <c r="G26" t="s">
        <v>179</v>
      </c>
    </row>
    <row r="27" spans="1:7">
      <c r="A27" t="s">
        <v>511</v>
      </c>
      <c r="B27" t="s">
        <v>401</v>
      </c>
      <c r="C27" t="s">
        <v>102</v>
      </c>
      <c r="D27" t="s">
        <v>402</v>
      </c>
      <c r="E27" t="s">
        <v>403</v>
      </c>
      <c r="F27">
        <v>45944</v>
      </c>
      <c r="G27" t="s">
        <v>564</v>
      </c>
    </row>
    <row r="28" spans="1:7">
      <c r="A28" t="s">
        <v>405</v>
      </c>
      <c r="B28" t="s">
        <v>401</v>
      </c>
      <c r="C28" t="s">
        <v>102</v>
      </c>
      <c r="D28" t="s">
        <v>402</v>
      </c>
      <c r="E28" t="s">
        <v>509</v>
      </c>
      <c r="F28">
        <v>45896</v>
      </c>
      <c r="G28" t="s">
        <v>560</v>
      </c>
    </row>
    <row r="29" spans="1:7">
      <c r="A29" t="s">
        <v>476</v>
      </c>
      <c r="B29" t="s">
        <v>298</v>
      </c>
      <c r="C29" t="s">
        <v>102</v>
      </c>
      <c r="D29" t="s">
        <v>296</v>
      </c>
      <c r="E29" t="s">
        <v>479</v>
      </c>
    </row>
    <row r="30" spans="1:7">
      <c r="A30" t="s">
        <v>477</v>
      </c>
      <c r="B30" t="s">
        <v>299</v>
      </c>
      <c r="C30" t="s">
        <v>102</v>
      </c>
      <c r="D30" t="s">
        <v>296</v>
      </c>
      <c r="E30" t="s">
        <v>505</v>
      </c>
    </row>
    <row r="31" spans="1:7">
      <c r="A31" t="s">
        <v>478</v>
      </c>
      <c r="B31" t="s">
        <v>298</v>
      </c>
      <c r="C31" t="s">
        <v>102</v>
      </c>
      <c r="D31" t="s">
        <v>296</v>
      </c>
      <c r="E31" t="s">
        <v>386</v>
      </c>
    </row>
    <row r="32" spans="1:7">
      <c r="A32" t="s">
        <v>506</v>
      </c>
      <c r="B32" t="s">
        <v>299</v>
      </c>
      <c r="C32" t="s">
        <v>102</v>
      </c>
      <c r="D32" t="s">
        <v>297</v>
      </c>
      <c r="E32" t="s">
        <v>484</v>
      </c>
    </row>
    <row r="33" spans="1:5">
      <c r="A33" t="s">
        <v>475</v>
      </c>
      <c r="B33" t="s">
        <v>299</v>
      </c>
      <c r="C33" t="s">
        <v>102</v>
      </c>
      <c r="D33" t="s">
        <v>296</v>
      </c>
      <c r="E33" t="s">
        <v>480</v>
      </c>
    </row>
  </sheetData>
  <phoneticPr fontId="9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T38"/>
  <sheetViews>
    <sheetView workbookViewId="0">
      <selection activeCell="I34" sqref="I34"/>
    </sheetView>
  </sheetViews>
  <sheetFormatPr defaultColWidth="68" defaultRowHeight="15.75"/>
  <cols>
    <col min="1" max="1" width="18.42578125" style="34" bestFit="1" customWidth="1"/>
    <col min="2" max="2" width="49.5703125" style="34" customWidth="1"/>
    <col min="3" max="3" width="12.5703125" style="34" bestFit="1" customWidth="1"/>
    <col min="4" max="4" width="11.85546875" style="34" bestFit="1" customWidth="1"/>
    <col min="5" max="5" width="15.140625" style="34" customWidth="1"/>
    <col min="6" max="6" width="17.85546875" style="34" customWidth="1"/>
    <col min="7" max="7" width="17.5703125" style="34" customWidth="1"/>
    <col min="8" max="8" width="18.140625" style="34" customWidth="1"/>
    <col min="9" max="10" width="8" style="34" customWidth="1"/>
    <col min="11" max="11" width="12.85546875" style="34" bestFit="1" customWidth="1"/>
    <col min="12" max="14" width="17.140625" style="34" customWidth="1"/>
    <col min="15" max="15" width="10" style="34" customWidth="1"/>
    <col min="16" max="16" width="23.7109375" style="34" customWidth="1"/>
    <col min="17" max="17" width="15.5703125" style="34" customWidth="1"/>
    <col min="18" max="18" width="18.5703125" style="34" customWidth="1"/>
    <col min="19" max="19" width="34.85546875" style="34" customWidth="1"/>
    <col min="20" max="20" width="25.28515625" style="34" customWidth="1"/>
    <col min="21" max="16384" width="68" style="34"/>
  </cols>
  <sheetData>
    <row r="1" spans="1:20" s="10" customFormat="1" ht="20.25" customHeight="1">
      <c r="A1" s="74" t="s">
        <v>26</v>
      </c>
      <c r="B1" s="34"/>
      <c r="C1" s="34"/>
      <c r="D1" s="34"/>
      <c r="E1" s="34"/>
      <c r="F1" s="34"/>
      <c r="G1" s="34"/>
      <c r="K1" s="10" t="s">
        <v>301</v>
      </c>
      <c r="P1" s="90" t="str">
        <f>IF(DTM!P2="","",DTM!P2)</f>
        <v>1586-2586(026)-1</v>
      </c>
      <c r="Q1" s="90" t="str">
        <f>IF(DTM!Q2="","",DTM!Q2)</f>
        <v>026-1</v>
      </c>
      <c r="R1" s="90" t="str">
        <f>IF(DTM!R2="","",DTM!R2)</f>
        <v>47305007</v>
      </c>
      <c r="S1" s="90" t="str">
        <f>IF(DTM!S2="","",DTM!S2)</f>
        <v>1586-2586 High-Capacity Module</v>
      </c>
      <c r="T1" s="90"/>
    </row>
    <row r="2" spans="1:20">
      <c r="A2" s="68" t="s">
        <v>293</v>
      </c>
      <c r="B2" s="69" t="s">
        <v>292</v>
      </c>
      <c r="C2" s="69" t="s">
        <v>294</v>
      </c>
      <c r="D2" s="69" t="s">
        <v>27</v>
      </c>
      <c r="E2" s="69" t="s">
        <v>28</v>
      </c>
      <c r="F2" s="69" t="s">
        <v>291</v>
      </c>
      <c r="G2" s="70" t="s">
        <v>179</v>
      </c>
      <c r="K2" s="75" t="str">
        <f>IF(DTM!K3="","",DTM!K3)</f>
        <v>S_TEM_001</v>
      </c>
      <c r="L2" s="75" t="str">
        <f>IF(DTM!L3="","",DTM!L3)</f>
        <v>W_TEM_007</v>
      </c>
      <c r="M2" s="75" t="str">
        <f>IF(DTM!M3="","",DTM!M3)</f>
        <v>W_TEM_005</v>
      </c>
      <c r="N2" s="75" t="str">
        <f>IF(DTM!N3="","",DTM!N3)</f>
        <v>W_TEM_006</v>
      </c>
      <c r="P2" s="90" t="str">
        <f>IF(DTM!P3="","",DTM!P3)</f>
        <v>1586-2586(026)-2</v>
      </c>
      <c r="Q2" s="90" t="str">
        <f>IF(DTM!Q3="","",DTM!Q3)</f>
        <v>026-2</v>
      </c>
      <c r="R2" s="90" t="str">
        <f>IF(DTM!R3="","",DTM!R3)</f>
        <v>50195015</v>
      </c>
      <c r="S2" s="90" t="str">
        <f>IF(DTM!S3="","",DTM!S3)</f>
        <v>1586-2586 High-Capacity Module</v>
      </c>
      <c r="T2" s="90"/>
    </row>
    <row r="3" spans="1:20">
      <c r="A3" s="67" t="str">
        <f>IF(DTM!A4="","",DTM!A4)</f>
        <v>W_TEM_005</v>
      </c>
      <c r="B3" s="173" t="str">
        <f>IF(DTM!B4="","",DTM!B4)</f>
        <v>Super-DAQ Precision Temperature Scanner</v>
      </c>
      <c r="C3" s="67" t="str">
        <f>IF(DTM!C4="","",DTM!C4)</f>
        <v>FLUKE</v>
      </c>
      <c r="D3" s="67" t="str">
        <f>IF(DTM!D4="","",DTM!D4)</f>
        <v xml:space="preserve">1586A </v>
      </c>
      <c r="E3" s="67" t="str">
        <f>IF(DTM!E4="","",DTM!E4)</f>
        <v>44990026</v>
      </c>
      <c r="F3" s="67" t="str">
        <f>IF(DTM!F4="","",DTM!F4)</f>
        <v>21-25 April 2026</v>
      </c>
      <c r="G3" s="67" t="str">
        <f>IF(DTM!G4="","",DTM!G4)</f>
        <v>5397/69</v>
      </c>
      <c r="K3" s="75" t="str">
        <f>IF(DTM!K4="","",DTM!K4)</f>
        <v>S_TEM_002</v>
      </c>
      <c r="L3" s="75" t="str">
        <f>IF(DTM!L4="","",DTM!L4)</f>
        <v>W_TEM_007/1</v>
      </c>
      <c r="M3" s="75" t="str">
        <f>IF(DTM!M4="","",DTM!M4)</f>
        <v>W_TEM_005/1</v>
      </c>
      <c r="N3" s="75" t="str">
        <f>IF(DTM!N4="","",DTM!N4)</f>
        <v>W_TEM_006/1</v>
      </c>
      <c r="P3" s="90" t="str">
        <f>IF(DTM!P4="","",DTM!P4)</f>
        <v>1586-2586(022)-1</v>
      </c>
      <c r="Q3" s="90" t="str">
        <f>IF(DTM!Q4="","",DTM!Q4)</f>
        <v>022-1</v>
      </c>
      <c r="R3" s="90" t="str">
        <f>IF(DTM!R4="","",DTM!R4)</f>
        <v>44000189</v>
      </c>
      <c r="S3" s="90" t="str">
        <f>IF(DTM!S4="","",DTM!S4)</f>
        <v>1586-2586 High-Capacity Module</v>
      </c>
      <c r="T3" s="90"/>
    </row>
    <row r="4" spans="1:20" ht="31.5">
      <c r="A4" s="67" t="str">
        <f>IF(DTM!A5="","",DTM!A5)</f>
        <v>W_TEM_006</v>
      </c>
      <c r="B4" s="173" t="str">
        <f>IF(DTM!B5="","",DTM!B5)</f>
        <v>Super-DAQ Precision Temperature Scanner</v>
      </c>
      <c r="C4" s="67" t="str">
        <f>IF(DTM!C5="","",DTM!C5)</f>
        <v>FLUKE</v>
      </c>
      <c r="D4" s="67" t="str">
        <f>IF(DTM!D5="","",DTM!D5)</f>
        <v xml:space="preserve">1586A </v>
      </c>
      <c r="E4" s="67" t="str">
        <f>IF(DTM!E5="","",DTM!E5)</f>
        <v>50125022</v>
      </c>
      <c r="F4" s="67" t="str">
        <f>IF(DTM!F5="","",DTM!F5)</f>
        <v>24-26 March 2026</v>
      </c>
      <c r="G4" s="67" t="str">
        <f>IF(DTM!G5="","",DTM!G5)</f>
        <v>4920/69</v>
      </c>
      <c r="K4" s="75" t="str">
        <f>IF(DTM!K5="","",DTM!K5)</f>
        <v>S_TEM_005</v>
      </c>
      <c r="L4" s="75" t="str">
        <f>IF(DTM!L5="","",DTM!L5)</f>
        <v>W_TEM_007/2</v>
      </c>
      <c r="M4" s="75" t="str">
        <f>IF(DTM!M5="","",DTM!M5)</f>
        <v>W_TEM_005/2</v>
      </c>
      <c r="N4" s="75" t="str">
        <f>IF(DTM!N5="","",DTM!N5)</f>
        <v/>
      </c>
      <c r="P4" s="90" t="str">
        <f>IF(DTM!P5="","",DTM!P5)</f>
        <v>1586-2586(022)-2</v>
      </c>
      <c r="Q4" s="90" t="str">
        <f>IF(DTM!Q5="","",DTM!Q5)</f>
        <v>022-2</v>
      </c>
      <c r="R4" s="90" t="str">
        <f>IF(DTM!R5="","",DTM!R5)</f>
        <v>59895012</v>
      </c>
      <c r="S4" s="90" t="str">
        <f>IF(DTM!S5="","",DTM!S5)</f>
        <v>1586-2586 High-Capacity Module</v>
      </c>
      <c r="T4" s="90"/>
    </row>
    <row r="5" spans="1:20">
      <c r="A5" s="67" t="str">
        <f>IF(DTM!A6="","",DTM!A6)</f>
        <v>W_TEM_007</v>
      </c>
      <c r="B5" s="173" t="str">
        <f>IF(DTM!B6="","",DTM!B6)</f>
        <v>Super-DAQ Precision Temperature Scanner</v>
      </c>
      <c r="C5" s="67" t="str">
        <f>IF(DTM!C6="","",DTM!C6)</f>
        <v>FLUKE</v>
      </c>
      <c r="D5" s="67" t="str">
        <f>IF(DTM!D6="","",DTM!D6)</f>
        <v xml:space="preserve">1586A </v>
      </c>
      <c r="E5" s="67" t="str">
        <f>IF(DTM!E6="","",DTM!E6)</f>
        <v>47305009</v>
      </c>
      <c r="F5" s="67" t="str">
        <f>IF(DTM!F6="","",DTM!F6)</f>
        <v>26-28 April 2026</v>
      </c>
      <c r="G5" s="67" t="str">
        <f>IF(DTM!G6="","",DTM!G6)</f>
        <v>5065/69</v>
      </c>
      <c r="K5" s="75" t="str">
        <f>IF(DTM!K6="","",DTM!K6)</f>
        <v/>
      </c>
      <c r="L5" s="75" t="str">
        <f>IF(DTM!L6="","",DTM!L6)</f>
        <v/>
      </c>
      <c r="M5" s="75" t="str">
        <f>IF(DTM!M6="","",DTM!M6)</f>
        <v/>
      </c>
      <c r="N5" s="75" t="str">
        <f>IF(DTM!N6="","",DTM!N6)</f>
        <v/>
      </c>
      <c r="P5" s="90" t="str">
        <f>IF(DTM!P6="","",DTM!P6)</f>
        <v>1586-2588(009)</v>
      </c>
      <c r="Q5" s="90" t="str">
        <f>IF(DTM!Q6="","",DTM!Q6)</f>
        <v>Daq Staq</v>
      </c>
      <c r="R5" s="90" t="str">
        <f>IF(DTM!R6="","",DTM!R6)</f>
        <v>47305008</v>
      </c>
      <c r="S5" s="90" t="str">
        <f>IF(DTM!S6="","",DTM!S6)</f>
        <v>1586-2588 DAQ-STAQ Multiplexer</v>
      </c>
      <c r="T5" s="90"/>
    </row>
    <row r="6" spans="1:20">
      <c r="A6" s="67" t="str">
        <f>IF(DTM!A7="","",DTM!A7)</f>
        <v>S_TEM_001</v>
      </c>
      <c r="B6" s="173" t="str">
        <f>IF(DTM!B7="","",DTM!B7)</f>
        <v>Reference Thermometer Readout</v>
      </c>
      <c r="C6" s="67" t="str">
        <f>IF(DTM!C7="","",DTM!C7)</f>
        <v>Additel</v>
      </c>
      <c r="D6" s="67" t="str">
        <f>IF(DTM!D7="","",DTM!D7)</f>
        <v>286</v>
      </c>
      <c r="E6" s="67" t="str">
        <f>IF(DTM!E7="","",DTM!E7)</f>
        <v>685020010017</v>
      </c>
      <c r="F6" s="172">
        <f>IF(DTM!F7="","",DTM!F7)</f>
        <v>45908</v>
      </c>
      <c r="G6" s="67" t="str">
        <f>IF(DTM!G7="","",DTM!G7)</f>
        <v>ER-0109-25</v>
      </c>
      <c r="K6" s="75" t="str">
        <f>IF(DTM!K7="","",DTM!K7)</f>
        <v/>
      </c>
      <c r="L6" s="75" t="str">
        <f>IF(DTM!L7="","",DTM!L7)</f>
        <v/>
      </c>
      <c r="M6" s="75" t="str">
        <f>IF(DTM!M7="","",DTM!M7)</f>
        <v/>
      </c>
      <c r="N6" s="75" t="str">
        <f>IF(DTM!N7="","",DTM!N7)</f>
        <v/>
      </c>
      <c r="P6" s="90" t="str">
        <f>IF(DTM!P7="","",DTM!P7)</f>
        <v>Channel: 001</v>
      </c>
      <c r="Q6" s="90" t="str">
        <f>IF(DTM!Q7="","",DTM!Q7)</f>
        <v>ช่องหน้า</v>
      </c>
      <c r="R6" s="90" t="str">
        <f>IF(DTM!R7="","",DTM!R7)</f>
        <v>PRT-CVD</v>
      </c>
      <c r="S6" s="90" t="str">
        <f>IF(DTM!S7="","",DTM!S7)</f>
        <v>Channel: 001</v>
      </c>
      <c r="T6" s="90"/>
    </row>
    <row r="7" spans="1:20">
      <c r="A7" s="67" t="str">
        <f>IF(DTM!A8="","",DTM!A8)</f>
        <v/>
      </c>
      <c r="B7" s="67" t="str">
        <f>IF(DTM!B8="","",DTM!B8)</f>
        <v/>
      </c>
      <c r="C7" s="67" t="str">
        <f>IF(DTM!C8="","",DTM!C8)</f>
        <v/>
      </c>
      <c r="D7" s="67" t="str">
        <f>IF(DTM!D8="","",DTM!D8)</f>
        <v/>
      </c>
      <c r="E7" s="67" t="str">
        <f>IF(DTM!E8="","",DTM!E8)</f>
        <v/>
      </c>
      <c r="F7" s="67" t="str">
        <f>IF(DTM!F8="","",DTM!F8)</f>
        <v/>
      </c>
      <c r="G7" s="67" t="str">
        <f>IF(DTM!G8="","",DTM!G8)</f>
        <v/>
      </c>
      <c r="K7" s="75" t="str">
        <f>IF(DTM!K8="","",DTM!K8)</f>
        <v/>
      </c>
      <c r="L7" s="75" t="str">
        <f>IF(DTM!L8="","",DTM!L8)</f>
        <v/>
      </c>
      <c r="M7" s="75" t="str">
        <f>IF(DTM!M8="","",DTM!M8)</f>
        <v/>
      </c>
      <c r="N7" s="75" t="str">
        <f>IF(DTM!N8="","",DTM!N8)</f>
        <v/>
      </c>
      <c r="P7" s="90" t="str">
        <f>IF(DTM!P8="","",DTM!P8)</f>
        <v>PRT</v>
      </c>
      <c r="Q7" s="90" t="str">
        <f>IF(DTM!Q8="","",DTM!Q8)</f>
        <v>PRT</v>
      </c>
      <c r="R7" s="90" t="str">
        <f>IF('Cal Ref'!$AB$4="-","-",STD!T7)</f>
        <v>ใส่ S/N ในหน้า Cal Ref</v>
      </c>
      <c r="S7" s="90" t="str">
        <f>IF(DTM!S8="","",DTM!S8)</f>
        <v>1586-2586 High-Capacity Module</v>
      </c>
      <c r="T7" s="90" t="str">
        <f>IF('Cal Ref'!$AB$4="","ใส่ S/N ในหน้า Cal Ref",'Cal Ref'!$AB$4)</f>
        <v>ใส่ S/N ในหน้า Cal Ref</v>
      </c>
    </row>
    <row r="8" spans="1:20">
      <c r="A8" s="67" t="str">
        <f>IF(DTM!A9="","",DTM!A9)</f>
        <v/>
      </c>
      <c r="B8" s="67" t="str">
        <f>IF(DTM!B9="","",DTM!B9)</f>
        <v/>
      </c>
      <c r="C8" s="67" t="str">
        <f>IF(DTM!C9="","",DTM!C9)</f>
        <v/>
      </c>
      <c r="D8" s="67" t="str">
        <f>IF(DTM!D9="","",DTM!D9)</f>
        <v/>
      </c>
      <c r="E8" s="67" t="str">
        <f>IF(DTM!E9="","",DTM!E9)</f>
        <v/>
      </c>
      <c r="F8" s="67" t="str">
        <f>IF(DTM!F9="","",DTM!F9)</f>
        <v/>
      </c>
      <c r="G8" s="67" t="str">
        <f>IF(DTM!G9="","",DTM!G9)</f>
        <v/>
      </c>
      <c r="P8" s="90" t="str">
        <f>IF(DTM!P9="","",DTM!P9)</f>
        <v>RTD Sensor</v>
      </c>
      <c r="Q8" s="90" t="str">
        <f>IF(DTM!Q9="","",DTM!Q9)</f>
        <v>RTD</v>
      </c>
      <c r="R8" s="90" t="str">
        <f>IF('Cal Ref'!$AB$4="-","-",STD!T8)</f>
        <v>ใส่ S/N ในหน้า Cal Ref ไม่มีก็ใส่ -</v>
      </c>
      <c r="S8" s="90" t="str">
        <f>IF(DTM!S9="","",DTM!S9)</f>
        <v>RTD Sensor</v>
      </c>
      <c r="T8" s="90" t="str">
        <f>IF('Cal Ref'!$AB$4="","ใส่ S/N ในหน้า Cal Ref ไม่มีก็ใส่ -",'Cal Ref'!$AB$4)</f>
        <v>ใส่ S/N ในหน้า Cal Ref ไม่มีก็ใส่ -</v>
      </c>
    </row>
    <row r="9" spans="1:20">
      <c r="A9" s="67" t="str">
        <f>IF(DTM!A10="","",DTM!A10)</f>
        <v/>
      </c>
      <c r="B9" s="67" t="str">
        <f>IF(DTM!B10="","",DTM!B10)</f>
        <v/>
      </c>
      <c r="C9" s="67" t="str">
        <f>IF(DTM!C10="","",DTM!C10)</f>
        <v/>
      </c>
      <c r="D9" s="67" t="str">
        <f>IF(DTM!D10="","",DTM!D10)</f>
        <v/>
      </c>
      <c r="E9" s="67" t="str">
        <f>IF(DTM!E10="","",DTM!E10)</f>
        <v/>
      </c>
      <c r="F9" s="67" t="str">
        <f>IF(DTM!F10="","",DTM!F10)</f>
        <v/>
      </c>
      <c r="G9" s="67" t="str">
        <f>IF(DTM!G10="","",DTM!G10)</f>
        <v/>
      </c>
      <c r="P9" s="90" t="str">
        <f>IF(DTM!P10="","",DTM!P10)</f>
        <v/>
      </c>
      <c r="Q9" s="90" t="str">
        <f>IF(DTM!Q10="","",DTM!Q10)</f>
        <v/>
      </c>
      <c r="R9" s="90" t="str">
        <f>IF(DTM!R10="","",DTM!R10)</f>
        <v/>
      </c>
      <c r="S9" s="90" t="str">
        <f>IF(DTM!S10="","",DTM!S10)</f>
        <v/>
      </c>
      <c r="T9" s="90"/>
    </row>
    <row r="10" spans="1:20">
      <c r="A10" s="67" t="str">
        <f>IF(DTM!A11="","",DTM!A11)</f>
        <v/>
      </c>
      <c r="B10" s="67" t="str">
        <f>IF(DTM!B11="","",DTM!B11)</f>
        <v/>
      </c>
      <c r="C10" s="67" t="str">
        <f>IF(DTM!C11="","",DTM!C11)</f>
        <v/>
      </c>
      <c r="D10" s="67" t="str">
        <f>IF(DTM!D11="","",DTM!D11)</f>
        <v/>
      </c>
      <c r="E10" s="67" t="str">
        <f>IF(DTM!E11="","",DTM!E11)</f>
        <v/>
      </c>
      <c r="F10" s="67" t="str">
        <f>IF(DTM!F11="","",DTM!F11)</f>
        <v/>
      </c>
      <c r="G10" s="67" t="str">
        <f>IF(DTM!G11="","",DTM!G11)</f>
        <v/>
      </c>
      <c r="P10" s="90" t="str">
        <f>IF(DTM!P11="","",DTM!P11)</f>
        <v/>
      </c>
      <c r="Q10" s="90" t="str">
        <f>IF(DTM!Q11="","",DTM!Q11)</f>
        <v/>
      </c>
      <c r="R10" s="90" t="str">
        <f>IF(DTM!R11="","",DTM!R11)</f>
        <v/>
      </c>
      <c r="S10" s="90" t="str">
        <f>IF(DTM!S11="","",DTM!S11)</f>
        <v/>
      </c>
      <c r="T10" s="90"/>
    </row>
    <row r="11" spans="1:20" ht="18.75">
      <c r="A11" s="74" t="s">
        <v>1</v>
      </c>
      <c r="P11" s="90" t="str">
        <f>IF(DTM!P12="","",DTM!P12)</f>
        <v/>
      </c>
      <c r="Q11" s="90" t="str">
        <f>IF(DTM!Q12="","",DTM!Q12)</f>
        <v/>
      </c>
      <c r="R11" s="90" t="str">
        <f>IF(DTM!R12="","",DTM!R12)</f>
        <v/>
      </c>
      <c r="S11" s="90" t="str">
        <f>IF(DTM!S12="","",DTM!S12)</f>
        <v/>
      </c>
      <c r="T11" s="90"/>
    </row>
    <row r="12" spans="1:20">
      <c r="A12" s="71" t="s">
        <v>293</v>
      </c>
      <c r="B12" s="72" t="s">
        <v>292</v>
      </c>
      <c r="C12" s="72" t="s">
        <v>294</v>
      </c>
      <c r="D12" s="72" t="s">
        <v>27</v>
      </c>
      <c r="E12" s="72" t="s">
        <v>28</v>
      </c>
      <c r="F12" s="72" t="s">
        <v>291</v>
      </c>
      <c r="G12" s="73" t="s">
        <v>179</v>
      </c>
      <c r="P12" s="90" t="str">
        <f>IF(DTM!P13="","",DTM!P13)</f>
        <v>Resistance Thermometer Detector</v>
      </c>
      <c r="Q12" s="90" t="str">
        <f>IF(DTM!Q13="","",DTM!Q13)</f>
        <v>RTD</v>
      </c>
      <c r="R12" s="90" t="str">
        <f>IF(DTM!R13="","",DTM!R13)</f>
        <v/>
      </c>
      <c r="S12" s="90" t="str">
        <f>IF(DTM!S13="","",DTM!S13)</f>
        <v/>
      </c>
      <c r="T12" s="90"/>
    </row>
    <row r="13" spans="1:20" ht="31.5">
      <c r="A13" s="67" t="str">
        <f>IF(DTM!A14="","",DTM!A14)</f>
        <v>W-ETC-001</v>
      </c>
      <c r="B13" s="173" t="str">
        <f>IF(DTM!B14="","",DTM!B14)</f>
        <v>Digital Thermo Hygrometer</v>
      </c>
      <c r="C13" s="67" t="str">
        <f>IF(DTM!C14="","",DTM!C14)</f>
        <v>ROTRONIC</v>
      </c>
      <c r="D13" s="67" t="str">
        <f>IF(DTM!D14="","",DTM!D14)</f>
        <v>BL-1D</v>
      </c>
      <c r="E13" s="67" t="str">
        <f>IF(DTM!E14="","",DTM!E14)</f>
        <v>A18061013</v>
      </c>
      <c r="F13" s="172" t="str">
        <f>IF(DTM!F14="","",DTM!F14)</f>
        <v>30 Sep - 2 Oct 2025</v>
      </c>
      <c r="G13" s="67" t="str">
        <f>IF(DTM!G14="","",DTM!G14)</f>
        <v>25H1893</v>
      </c>
      <c r="P13" s="90" t="str">
        <f>IF(DTM!P14="","",DTM!P14)</f>
        <v>Thermocouple Type K</v>
      </c>
      <c r="Q13" s="90" t="str">
        <f>IF(DTM!Q14="","",DTM!Q14)</f>
        <v>TC Type K</v>
      </c>
      <c r="R13" s="90" t="str">
        <f>IF(DTM!R14="","",DTM!R14)</f>
        <v/>
      </c>
      <c r="S13" s="90" t="str">
        <f>IF(DTM!S14="","",DTM!S14)</f>
        <v/>
      </c>
      <c r="T13" s="90"/>
    </row>
    <row r="14" spans="1:20">
      <c r="A14" s="67" t="str">
        <f>IF(DTM!A15="","",DTM!A15)</f>
        <v>W-ETC-002</v>
      </c>
      <c r="B14" s="173" t="str">
        <f>IF(DTM!B15="","",DTM!B15)</f>
        <v>Digital Thermo Hygrometer</v>
      </c>
      <c r="C14" s="67" t="str">
        <f>IF(DTM!C15="","",DTM!C15)</f>
        <v>ROTRONIC</v>
      </c>
      <c r="D14" s="67" t="str">
        <f>IF(DTM!D15="","",DTM!D15)</f>
        <v>BL-1D</v>
      </c>
      <c r="E14" s="67" t="str">
        <f>IF(DTM!E15="","",DTM!E15)</f>
        <v>A18061026</v>
      </c>
      <c r="F14" s="172" t="str">
        <f>IF(DTM!F15="","",DTM!F15)</f>
        <v>8-13 Aug 2025</v>
      </c>
      <c r="G14" s="67" t="str">
        <f>IF(DTM!G15="","",DTM!G15)</f>
        <v>25H1571</v>
      </c>
      <c r="P14" s="90" t="str">
        <f>IF(DTM!P15="","",DTM!P15)</f>
        <v>Platinum Resistance Thermometer</v>
      </c>
      <c r="Q14" s="90" t="str">
        <f>IF(DTM!Q15="","",DTM!Q15)</f>
        <v>PRT</v>
      </c>
      <c r="R14" s="90" t="str">
        <f>IF(DTM!R15="","",DTM!R15)</f>
        <v/>
      </c>
      <c r="S14" s="90" t="str">
        <f>IF(DTM!S15="","",DTM!S15)</f>
        <v/>
      </c>
      <c r="T14" s="90"/>
    </row>
    <row r="15" spans="1:20">
      <c r="A15" s="67" t="str">
        <f>IF(DTM!A16="","",DTM!A16)</f>
        <v>W-ETC-003</v>
      </c>
      <c r="B15" s="173" t="str">
        <f>IF(DTM!B16="","",DTM!B16)</f>
        <v>Digital Thermo Hygrometer</v>
      </c>
      <c r="C15" s="67" t="str">
        <f>IF(DTM!C16="","",DTM!C16)</f>
        <v>ROTRONIC</v>
      </c>
      <c r="D15" s="67" t="str">
        <f>IF(DTM!D16="","",DTM!D16)</f>
        <v>BL-1D</v>
      </c>
      <c r="E15" s="67" t="str">
        <f>IF(DTM!E16="","",DTM!E16)</f>
        <v>A18061029</v>
      </c>
      <c r="F15" s="172" t="str">
        <f>IF(DTM!F16="","",DTM!F16)</f>
        <v>23-31 Jul 2025</v>
      </c>
      <c r="G15" s="67" t="str">
        <f>IF(DTM!G16="","",DTM!G16)</f>
        <v>25H1490</v>
      </c>
      <c r="P15" s="90" t="str">
        <f>IF(DTM!P16="","",DTM!P16)</f>
        <v/>
      </c>
      <c r="Q15" s="90" t="str">
        <f>IF(DTM!Q16="","",DTM!Q16)</f>
        <v/>
      </c>
      <c r="R15" s="90" t="str">
        <f>IF(DTM!R16="","",DTM!R16)</f>
        <v/>
      </c>
      <c r="S15" s="90" t="str">
        <f>IF(DTM!S16="","",DTM!S16)</f>
        <v/>
      </c>
      <c r="T15" s="90"/>
    </row>
    <row r="16" spans="1:20">
      <c r="A16" s="67" t="str">
        <f>IF(DTM!A17="","",DTM!A17)</f>
        <v>W-ETC-007</v>
      </c>
      <c r="B16" s="173" t="str">
        <f>IF(DTM!B17="","",DTM!B17)</f>
        <v>Digital Thermo Hygrometer</v>
      </c>
      <c r="C16" s="67" t="str">
        <f>IF(DTM!C17="","",DTM!C17)</f>
        <v>ROTRONIC</v>
      </c>
      <c r="D16" s="67" t="str">
        <f>IF(DTM!D17="","",DTM!D17)</f>
        <v>BL-1D</v>
      </c>
      <c r="E16" s="67" t="str">
        <f>IF(DTM!E17="","",DTM!E17)</f>
        <v>A18061028</v>
      </c>
      <c r="F16" s="172" t="str">
        <f>IF(DTM!F17="","",DTM!F17)</f>
        <v>8-13 Aug 2025</v>
      </c>
      <c r="G16" s="67" t="str">
        <f>IF(DTM!G17="","",DTM!G17)</f>
        <v>25H1572</v>
      </c>
      <c r="P16" s="90" t="str">
        <f>IF(DTM!P17="","",DTM!P17)</f>
        <v/>
      </c>
      <c r="Q16" s="90" t="str">
        <f>IF(DTM!Q17="","",DTM!Q17)</f>
        <v/>
      </c>
      <c r="R16" s="90" t="str">
        <f>IF(DTM!R17="","",DTM!R17)</f>
        <v/>
      </c>
      <c r="S16" s="90" t="str">
        <f>IF(DTM!S17="","",DTM!S17)</f>
        <v/>
      </c>
      <c r="T16" s="90"/>
    </row>
    <row r="17" spans="1:20">
      <c r="A17" s="67" t="str">
        <f>IF(DTM!A18="","",DTM!A18)</f>
        <v>W-ETC-006</v>
      </c>
      <c r="B17" s="173" t="str">
        <f>IF(DTM!B18="","",DTM!B18)</f>
        <v>True RMS Logging Multimeters</v>
      </c>
      <c r="C17" s="67" t="str">
        <f>IF(DTM!C18="","",DTM!C18)</f>
        <v>FLUKE</v>
      </c>
      <c r="D17" s="67" t="str">
        <f>IF(DTM!D18="","",DTM!D18)</f>
        <v>289</v>
      </c>
      <c r="E17" s="67" t="str">
        <f>IF(DTM!E18="","",DTM!E18)</f>
        <v>48620135</v>
      </c>
      <c r="F17" s="172">
        <f>IF(DTM!F18="","",DTM!F18)</f>
        <v>45931</v>
      </c>
      <c r="G17" s="67" t="str">
        <f>IF(DTM!G18="","",DTM!G18)</f>
        <v>25E3134</v>
      </c>
      <c r="P17" s="90" t="str">
        <f>IF(DTM!P18="","",DTM!P18)</f>
        <v/>
      </c>
      <c r="Q17" s="90" t="str">
        <f>IF(DTM!Q18="","",DTM!Q18)</f>
        <v/>
      </c>
      <c r="R17" s="90" t="str">
        <f>IF(DTM!R18="","",DTM!R18)</f>
        <v/>
      </c>
      <c r="S17" s="90" t="str">
        <f>IF(DTM!S18="","",DTM!S18)</f>
        <v/>
      </c>
      <c r="T17" s="90"/>
    </row>
    <row r="18" spans="1:20">
      <c r="A18" s="67" t="str">
        <f>IF(DTM!A19="","",DTM!A19)</f>
        <v>W-ETC-011</v>
      </c>
      <c r="B18" s="173" t="str">
        <f>IF(DTM!B19="","",DTM!B19)</f>
        <v>True RMS Logging Multimeters</v>
      </c>
      <c r="C18" s="67" t="str">
        <f>IF(DTM!C19="","",DTM!C19)</f>
        <v>FLUKE</v>
      </c>
      <c r="D18" s="67" t="str">
        <f>IF(DTM!D19="","",DTM!D19)</f>
        <v>289</v>
      </c>
      <c r="E18" s="67" t="str">
        <f>IF(DTM!E19="","",DTM!E19)</f>
        <v>50310144</v>
      </c>
      <c r="F18" s="172">
        <f>IF(DTM!F19="","",DTM!F19)</f>
        <v>45883</v>
      </c>
      <c r="G18" s="67" t="str">
        <f>IF(DTM!G19="","",DTM!G19)</f>
        <v>25E2622</v>
      </c>
      <c r="P18" s="90" t="str">
        <f>IF(DTM!P19="","",DTM!P19)</f>
        <v/>
      </c>
      <c r="Q18" s="90" t="str">
        <f>IF(DTM!Q19="","",DTM!Q19)</f>
        <v/>
      </c>
      <c r="R18" s="90" t="str">
        <f>IF(DTM!R19="","",DTM!R19)</f>
        <v/>
      </c>
      <c r="S18" s="90" t="str">
        <f>IF(DTM!S19="","",DTM!S19)</f>
        <v/>
      </c>
      <c r="T18" s="90"/>
    </row>
    <row r="19" spans="1:20">
      <c r="A19" s="67" t="str">
        <f>IF(DTM!A20="","",DTM!A20)</f>
        <v/>
      </c>
      <c r="B19" s="173" t="str">
        <f>IF(DTM!B20="","",DTM!B20)</f>
        <v/>
      </c>
      <c r="C19" s="67" t="str">
        <f>IF(DTM!C20="","",DTM!C20)</f>
        <v/>
      </c>
      <c r="D19" s="67" t="str">
        <f>IF(DTM!D20="","",DTM!D20)</f>
        <v/>
      </c>
      <c r="E19" s="67" t="str">
        <f>IF(DTM!E20="","",DTM!E20)</f>
        <v/>
      </c>
      <c r="F19" s="172" t="str">
        <f>IF(DTM!F20="","",DTM!F20)</f>
        <v/>
      </c>
      <c r="G19" s="67" t="str">
        <f>IF(DTM!G20="","",DTM!G20)</f>
        <v/>
      </c>
      <c r="P19" s="90" t="str">
        <f>IF(DTM!P20="","",DTM!P20)</f>
        <v/>
      </c>
      <c r="Q19" s="90" t="str">
        <f>IF(DTM!Q20="","",DTM!Q20)</f>
        <v/>
      </c>
      <c r="R19" s="90" t="str">
        <f>IF(DTM!R20="","",DTM!R20)</f>
        <v/>
      </c>
      <c r="S19" s="90" t="str">
        <f>IF(DTM!S20="","",DTM!S20)</f>
        <v/>
      </c>
      <c r="T19" s="90"/>
    </row>
    <row r="20" spans="1:20">
      <c r="A20" s="67" t="str">
        <f>IF(DTM!A21="","",DTM!A21)</f>
        <v/>
      </c>
      <c r="B20" s="173" t="str">
        <f>IF(DTM!B21="","",DTM!B21)</f>
        <v/>
      </c>
      <c r="C20" s="67" t="str">
        <f>IF(DTM!C21="","",DTM!C21)</f>
        <v/>
      </c>
      <c r="D20" s="67" t="str">
        <f>IF(DTM!D21="","",DTM!D21)</f>
        <v/>
      </c>
      <c r="E20" s="67" t="str">
        <f>IF(DTM!E21="","",DTM!E21)</f>
        <v/>
      </c>
      <c r="F20" s="172" t="str">
        <f>IF(DTM!F21="","",DTM!F21)</f>
        <v/>
      </c>
      <c r="G20" s="67" t="str">
        <f>IF(DTM!G21="","",DTM!G21)</f>
        <v/>
      </c>
      <c r="P20" s="90" t="str">
        <f>IF(DTM!P21="","",DTM!P21)</f>
        <v/>
      </c>
      <c r="Q20" s="90" t="str">
        <f>IF(DTM!Q21="","",DTM!Q21)</f>
        <v/>
      </c>
      <c r="R20" s="90" t="str">
        <f>IF(DTM!R21="","",DTM!R21)</f>
        <v/>
      </c>
      <c r="S20" s="90" t="str">
        <f>IF(DTM!S21="","",DTM!S21)</f>
        <v/>
      </c>
      <c r="T20" s="90"/>
    </row>
    <row r="21" spans="1:20">
      <c r="A21" s="67" t="str">
        <f>IF(DTM!A22="","",DTM!A22)</f>
        <v/>
      </c>
      <c r="B21" s="173" t="str">
        <f>IF(DTM!B22="","",DTM!B22)</f>
        <v/>
      </c>
      <c r="C21" s="67" t="str">
        <f>IF(DTM!C22="","",DTM!C22)</f>
        <v/>
      </c>
      <c r="D21" s="67" t="str">
        <f>IF(DTM!D22="","",DTM!D22)</f>
        <v/>
      </c>
      <c r="E21" s="67" t="str">
        <f>IF(DTM!E22="","",DTM!E22)</f>
        <v/>
      </c>
      <c r="F21" s="172" t="str">
        <f>IF(DTM!F22="","",DTM!F22)</f>
        <v/>
      </c>
      <c r="G21" s="67" t="str">
        <f>IF(DTM!G22="","",DTM!G22)</f>
        <v/>
      </c>
      <c r="P21" s="90" t="str">
        <f>IF(DTM!P22="","",DTM!P22)</f>
        <v/>
      </c>
      <c r="Q21" s="90" t="str">
        <f>IF(DTM!Q22="","",DTM!Q22)</f>
        <v/>
      </c>
      <c r="R21" s="90" t="str">
        <f>IF(DTM!R22="","",DTM!R22)</f>
        <v/>
      </c>
      <c r="S21" s="90" t="str">
        <f>IF(DTM!S22="","",DTM!S22)</f>
        <v/>
      </c>
      <c r="T21" s="90"/>
    </row>
    <row r="22" spans="1:20">
      <c r="P22" s="90" t="str">
        <f>IF(DTM!P23="","",DTM!P23)</f>
        <v/>
      </c>
      <c r="Q22" s="90" t="str">
        <f>IF(DTM!Q23="","",DTM!Q23)</f>
        <v/>
      </c>
      <c r="R22" s="90" t="str">
        <f>IF(DTM!R23="","",DTM!R23)</f>
        <v/>
      </c>
      <c r="S22" s="90" t="str">
        <f>IF(DTM!S23="","",DTM!S23)</f>
        <v/>
      </c>
      <c r="T22" s="90"/>
    </row>
    <row r="23" spans="1:20">
      <c r="P23" s="90" t="str">
        <f>IF(DTM!P24="","",DTM!P24)</f>
        <v/>
      </c>
      <c r="Q23" s="90" t="str">
        <f>IF(DTM!Q24="","",DTM!Q24)</f>
        <v/>
      </c>
      <c r="R23" s="90" t="str">
        <f>IF(DTM!R24="","",DTM!R24)</f>
        <v/>
      </c>
      <c r="S23" s="90" t="str">
        <f>IF(DTM!S24="","",DTM!S24)</f>
        <v/>
      </c>
      <c r="T23" s="90"/>
    </row>
    <row r="24" spans="1:20">
      <c r="A24" s="34" t="s">
        <v>300</v>
      </c>
      <c r="P24" s="90" t="str">
        <f>IF(DTM!P25="","",DTM!P25)</f>
        <v/>
      </c>
      <c r="Q24" s="90" t="str">
        <f>IF(DTM!Q25="","",DTM!Q25)</f>
        <v/>
      </c>
      <c r="R24" s="90" t="str">
        <f>IF(DTM!R25="","",DTM!R25)</f>
        <v/>
      </c>
      <c r="S24" s="90" t="str">
        <f>IF(DTM!S25="","",DTM!S25)</f>
        <v/>
      </c>
      <c r="T24" s="90"/>
    </row>
    <row r="25" spans="1:20">
      <c r="A25" s="76" t="s">
        <v>293</v>
      </c>
      <c r="B25" s="77" t="s">
        <v>292</v>
      </c>
      <c r="C25" s="77" t="s">
        <v>294</v>
      </c>
      <c r="D25" s="77" t="s">
        <v>27</v>
      </c>
      <c r="E25" s="77" t="s">
        <v>28</v>
      </c>
      <c r="F25" s="77" t="s">
        <v>291</v>
      </c>
      <c r="G25" s="78" t="s">
        <v>179</v>
      </c>
      <c r="P25" s="90" t="str">
        <f>IF(DTM!P26="","",DTM!P26)</f>
        <v/>
      </c>
      <c r="Q25" s="90" t="str">
        <f>IF(DTM!Q26="","",DTM!Q26)</f>
        <v/>
      </c>
      <c r="R25" s="90" t="str">
        <f>IF(DTM!R26="","",DTM!R26)</f>
        <v/>
      </c>
      <c r="S25" s="90" t="str">
        <f>IF(DTM!S26="","",DTM!S26)</f>
        <v/>
      </c>
      <c r="T25" s="90"/>
    </row>
    <row r="26" spans="1:20">
      <c r="A26" s="67" t="str">
        <f>IF(DTM!A27="","",DTM!A27)</f>
        <v>S_TEM_002</v>
      </c>
      <c r="B26" s="173" t="str">
        <f>IF(DTM!B27="","",DTM!B27)</f>
        <v>Standard Platinum Resistance Thermometer</v>
      </c>
      <c r="C26" s="67" t="str">
        <f>IF(DTM!C27="","",DTM!C27)</f>
        <v>FLUKE</v>
      </c>
      <c r="D26" s="67" t="str">
        <f>IF(DTM!D27="","",DTM!D27)</f>
        <v>5699</v>
      </c>
      <c r="E26" s="67" t="str">
        <f>IF(DTM!E27="","",DTM!E27)</f>
        <v>1400</v>
      </c>
      <c r="F26" s="172">
        <f>IF(DTM!F27="","",DTM!F27)</f>
        <v>45944</v>
      </c>
      <c r="G26" s="67" t="str">
        <f>IF(DTM!G27="","",DTM!G27)</f>
        <v>TC-0044-25</v>
      </c>
      <c r="P26" s="90" t="str">
        <f>IF(DTM!P27="","",DTM!P27)</f>
        <v/>
      </c>
      <c r="Q26" s="90" t="str">
        <f>IF(DTM!Q27="","",DTM!Q27)</f>
        <v/>
      </c>
      <c r="R26" s="90" t="str">
        <f>IF(DTM!R27="","",DTM!R27)</f>
        <v/>
      </c>
      <c r="S26" s="90" t="str">
        <f>IF(DTM!S27="","",DTM!S27)</f>
        <v/>
      </c>
      <c r="T26" s="90"/>
    </row>
    <row r="27" spans="1:20">
      <c r="A27" s="67" t="str">
        <f>IF(DTM!A28="","",DTM!A28)</f>
        <v>S_TEM_005</v>
      </c>
      <c r="B27" s="173" t="str">
        <f>IF(DTM!B28="","",DTM!B28)</f>
        <v>Standard Platinum Resistance Thermometer</v>
      </c>
      <c r="C27" s="67" t="str">
        <f>IF(DTM!C28="","",DTM!C28)</f>
        <v>FLUKE</v>
      </c>
      <c r="D27" s="67" t="str">
        <f>IF(DTM!D28="","",DTM!D28)</f>
        <v>5699</v>
      </c>
      <c r="E27" s="67" t="str">
        <f>IF(DTM!E28="","",DTM!E28)</f>
        <v>1449</v>
      </c>
      <c r="F27" s="172">
        <f>IF(DTM!F28="","",DTM!F28)</f>
        <v>45896</v>
      </c>
      <c r="G27" s="67" t="str">
        <f>IF(DTM!G28="","",DTM!G28)</f>
        <v>TC-0039-25</v>
      </c>
      <c r="P27" s="90" t="str">
        <f>IF(DTM!P28="","",DTM!P28)</f>
        <v/>
      </c>
      <c r="Q27" s="90" t="str">
        <f>IF(DTM!Q28="","",DTM!Q28)</f>
        <v/>
      </c>
      <c r="R27" s="90" t="str">
        <f>IF(DTM!R28="","",DTM!R28)</f>
        <v/>
      </c>
      <c r="S27" s="90" t="str">
        <f>IF(DTM!S28="","",DTM!S28)</f>
        <v/>
      </c>
      <c r="T27" s="90"/>
    </row>
    <row r="28" spans="1:20">
      <c r="A28" s="67" t="str">
        <f>IF(DTM!A29="","",DTM!A29)</f>
        <v>W_TEM_005/1</v>
      </c>
      <c r="B28" s="173" t="str">
        <f>IF(DTM!B29="","",DTM!B29)</f>
        <v>High-Capacity Module with RTD ID.No. 101-110</v>
      </c>
      <c r="C28" s="67" t="str">
        <f>IF(DTM!C29="","",DTM!C29)</f>
        <v>FLUKE</v>
      </c>
      <c r="D28" s="67" t="str">
        <f>IF(DTM!D29="","",DTM!D29)</f>
        <v>1586-2586</v>
      </c>
      <c r="E28" s="67" t="str">
        <f>IF(DTM!E29="","",DTM!E29)</f>
        <v>47305007</v>
      </c>
      <c r="F28" s="172" t="str">
        <f>IF(DTM!F29="","",DTM!F29)</f>
        <v/>
      </c>
      <c r="G28" s="67" t="str">
        <f>IF(DTM!G29="","",DTM!G29)</f>
        <v/>
      </c>
      <c r="P28" s="90" t="str">
        <f>IF(DTM!P29="","",DTM!P29)</f>
        <v/>
      </c>
      <c r="Q28" s="90" t="str">
        <f>IF(DTM!Q29="","",DTM!Q29)</f>
        <v/>
      </c>
      <c r="R28" s="90" t="str">
        <f>IF(DTM!R29="","",DTM!R29)</f>
        <v/>
      </c>
      <c r="S28" s="90" t="str">
        <f>IF(DTM!S29="","",DTM!S29)</f>
        <v/>
      </c>
      <c r="T28" s="90"/>
    </row>
    <row r="29" spans="1:20">
      <c r="A29" s="67" t="str">
        <f>IF(DTM!A30="","",DTM!A30)</f>
        <v>W_TEM_005/2</v>
      </c>
      <c r="B29" s="173" t="str">
        <f>IF(DTM!B30="","",DTM!B30)</f>
        <v>High-Capacity Module with RTD ID.No. 201-210</v>
      </c>
      <c r="C29" s="67" t="str">
        <f>IF(DTM!C30="","",DTM!C30)</f>
        <v>FLUKE</v>
      </c>
      <c r="D29" s="67" t="str">
        <f>IF(DTM!D30="","",DTM!D30)</f>
        <v>1586-2586</v>
      </c>
      <c r="E29" s="67" t="str">
        <f>IF(DTM!E30="","",DTM!E30)</f>
        <v>50195015</v>
      </c>
      <c r="F29" s="172" t="str">
        <f>IF(DTM!F30="","",DTM!F30)</f>
        <v/>
      </c>
      <c r="G29" s="67" t="str">
        <f>IF(DTM!G30="","",DTM!G30)</f>
        <v/>
      </c>
      <c r="P29" s="90" t="str">
        <f>IF(DTM!P30="","",DTM!P30)</f>
        <v/>
      </c>
      <c r="Q29" s="90" t="str">
        <f>IF(DTM!Q30="","",DTM!Q30)</f>
        <v/>
      </c>
      <c r="R29" s="90" t="str">
        <f>IF(DTM!R30="","",DTM!R30)</f>
        <v/>
      </c>
      <c r="S29" s="90" t="str">
        <f>IF(DTM!S30="","",DTM!S30)</f>
        <v/>
      </c>
      <c r="T29" s="90"/>
    </row>
    <row r="30" spans="1:20">
      <c r="A30" s="67" t="str">
        <f>IF(DTM!A31="","",DTM!A31)</f>
        <v>W_TEM_006/1</v>
      </c>
      <c r="B30" s="173" t="str">
        <f>IF(DTM!B31="","",DTM!B31)</f>
        <v>High-Capacity Module with RTD ID.No. 101-110</v>
      </c>
      <c r="C30" s="67" t="str">
        <f>IF(DTM!C31="","",DTM!C31)</f>
        <v>FLUKE</v>
      </c>
      <c r="D30" s="67" t="str">
        <f>IF(DTM!D31="","",DTM!D31)</f>
        <v>1586-2586</v>
      </c>
      <c r="E30" s="67" t="str">
        <f>IF(DTM!E31="","",DTM!E31)</f>
        <v>44000189</v>
      </c>
      <c r="F30" s="172" t="str">
        <f>IF(DTM!F31="","",DTM!F31)</f>
        <v/>
      </c>
      <c r="G30" s="67" t="str">
        <f>IF(DTM!G31="","",DTM!G31)</f>
        <v/>
      </c>
      <c r="P30" s="90" t="str">
        <f>IF(DTM!P31="","",DTM!P31)</f>
        <v/>
      </c>
      <c r="Q30" s="90" t="str">
        <f>IF(DTM!Q31="","",DTM!Q31)</f>
        <v/>
      </c>
      <c r="R30" s="90" t="str">
        <f>IF(DTM!R31="","",DTM!R31)</f>
        <v/>
      </c>
      <c r="S30" s="90" t="str">
        <f>IF(DTM!S31="","",DTM!S31)</f>
        <v/>
      </c>
      <c r="T30" s="90"/>
    </row>
    <row r="31" spans="1:20">
      <c r="A31" s="67" t="str">
        <f>IF(DTM!A32="","",DTM!A32)</f>
        <v>W_TEM_006/2</v>
      </c>
      <c r="B31" s="173" t="str">
        <f>IF(DTM!B32="","",DTM!B32)</f>
        <v>High-Capacity Module with RTD ID.No. 201-210</v>
      </c>
      <c r="C31" s="67" t="str">
        <f>IF(DTM!C32="","",DTM!C32)</f>
        <v>FLUKE</v>
      </c>
      <c r="D31" s="67" t="str">
        <f>IF(DTM!D32="","",DTM!D32)</f>
        <v>1586-2588</v>
      </c>
      <c r="E31" s="67" t="str">
        <f>IF(DTM!E32="","",DTM!E32)</f>
        <v>59895012</v>
      </c>
      <c r="F31" s="172" t="str">
        <f>IF(DTM!F32="","",DTM!F32)</f>
        <v/>
      </c>
      <c r="G31" s="67" t="str">
        <f>IF(DTM!G32="","",DTM!G32)</f>
        <v/>
      </c>
      <c r="P31" s="90" t="str">
        <f>IF(DTM!P32="","",DTM!P32)</f>
        <v/>
      </c>
      <c r="Q31" s="90" t="str">
        <f>IF(DTM!Q32="","",DTM!Q32)</f>
        <v/>
      </c>
      <c r="R31" s="90" t="str">
        <f>IF(DTM!R32="","",DTM!R32)</f>
        <v/>
      </c>
      <c r="S31" s="90" t="str">
        <f>IF(DTM!S32="","",DTM!S32)</f>
        <v/>
      </c>
      <c r="T31" s="90"/>
    </row>
    <row r="32" spans="1:20">
      <c r="A32" s="67" t="str">
        <f>IF(DTM!A37="","",DTM!A37)</f>
        <v/>
      </c>
      <c r="B32" s="173" t="str">
        <f>IF(DTM!B37="","",DTM!B37)</f>
        <v/>
      </c>
      <c r="C32" s="67" t="str">
        <f>IF(DTM!C37="","",DTM!C37)</f>
        <v/>
      </c>
      <c r="D32" s="67" t="str">
        <f>IF(DTM!D37="","",DTM!D37)</f>
        <v/>
      </c>
      <c r="E32" s="67" t="str">
        <f>IF(DTM!E37="","",DTM!E37)</f>
        <v/>
      </c>
      <c r="F32" s="172" t="str">
        <f>IF(DTM!F37="","",DTM!F37)</f>
        <v/>
      </c>
      <c r="G32" s="67" t="str">
        <f>IF(DTM!G37="","",DTM!G37)</f>
        <v/>
      </c>
      <c r="P32" s="90" t="str">
        <f>IF(DTM!P37="","",DTM!P37)</f>
        <v/>
      </c>
      <c r="Q32" s="90" t="str">
        <f>IF(DTM!Q37="","",DTM!Q37)</f>
        <v/>
      </c>
      <c r="R32" s="90" t="str">
        <f>IF(DTM!R37="","",DTM!R37)</f>
        <v/>
      </c>
      <c r="S32" s="90" t="str">
        <f>IF(DTM!S37="","",DTM!S37)</f>
        <v/>
      </c>
      <c r="T32" s="90"/>
    </row>
    <row r="33" spans="1:20">
      <c r="A33" s="67" t="str">
        <f>IF(DTM!A38="","",DTM!A38)</f>
        <v/>
      </c>
      <c r="B33" s="173" t="str">
        <f>IF(DTM!B38="","",DTM!B38)</f>
        <v/>
      </c>
      <c r="C33" s="67" t="str">
        <f>IF(DTM!C38="","",DTM!C38)</f>
        <v/>
      </c>
      <c r="D33" s="67" t="str">
        <f>IF(DTM!D38="","",DTM!D38)</f>
        <v/>
      </c>
      <c r="E33" s="67" t="str">
        <f>IF(DTM!E38="","",DTM!E38)</f>
        <v/>
      </c>
      <c r="F33" s="172" t="str">
        <f>IF(DTM!F38="","",DTM!F38)</f>
        <v/>
      </c>
      <c r="G33" s="67" t="str">
        <f>IF(DTM!G38="","",DTM!G38)</f>
        <v/>
      </c>
      <c r="P33" s="90" t="str">
        <f>IF(DTM!P38="","",DTM!P38)</f>
        <v/>
      </c>
      <c r="Q33" s="90" t="str">
        <f>IF(DTM!Q38="","",DTM!Q38)</f>
        <v/>
      </c>
      <c r="R33" s="90" t="str">
        <f>IF(DTM!R38="","",DTM!R38)</f>
        <v/>
      </c>
      <c r="S33" s="90" t="str">
        <f>IF(DTM!S38="","",DTM!S38)</f>
        <v/>
      </c>
      <c r="T33" s="90"/>
    </row>
    <row r="34" spans="1:20">
      <c r="A34" s="67" t="str">
        <f>IF(DTM!A39="","",DTM!A39)</f>
        <v/>
      </c>
      <c r="B34" s="173" t="str">
        <f>IF(DTM!B39="","",DTM!B39)</f>
        <v/>
      </c>
      <c r="C34" s="67" t="str">
        <f>IF(DTM!C39="","",DTM!C39)</f>
        <v/>
      </c>
      <c r="D34" s="67" t="str">
        <f>IF(DTM!D39="","",DTM!D39)</f>
        <v/>
      </c>
      <c r="E34" s="67" t="str">
        <f>IF(DTM!E39="","",DTM!E39)</f>
        <v/>
      </c>
      <c r="F34" s="172" t="str">
        <f>IF(DTM!F39="","",DTM!F39)</f>
        <v/>
      </c>
      <c r="G34" s="67" t="str">
        <f>IF(DTM!G39="","",DTM!G39)</f>
        <v/>
      </c>
    </row>
    <row r="35" spans="1:20">
      <c r="A35" s="67" t="str">
        <f>IF(DTM!A40="","",DTM!A40)</f>
        <v/>
      </c>
      <c r="B35" s="173" t="str">
        <f>IF(DTM!B40="","",DTM!B40)</f>
        <v/>
      </c>
      <c r="C35" s="67" t="str">
        <f>IF(DTM!C40="","",DTM!C40)</f>
        <v/>
      </c>
      <c r="D35" s="67" t="str">
        <f>IF(DTM!D40="","",DTM!D40)</f>
        <v/>
      </c>
      <c r="E35" s="67" t="str">
        <f>IF(DTM!E40="","",DTM!E40)</f>
        <v/>
      </c>
      <c r="F35" s="172" t="str">
        <f>IF(DTM!F40="","",DTM!F40)</f>
        <v/>
      </c>
      <c r="G35" s="67" t="str">
        <f>IF(DTM!G40="","",DTM!G40)</f>
        <v/>
      </c>
    </row>
    <row r="36" spans="1:20">
      <c r="A36" s="67" t="str">
        <f>IF(DTM!A41="","",DTM!A41)</f>
        <v/>
      </c>
      <c r="B36" s="173" t="str">
        <f>IF(DTM!B41="","",DTM!B41)</f>
        <v/>
      </c>
      <c r="C36" s="67" t="str">
        <f>IF(DTM!C41="","",DTM!C41)</f>
        <v/>
      </c>
      <c r="D36" s="67" t="str">
        <f>IF(DTM!D41="","",DTM!D41)</f>
        <v/>
      </c>
      <c r="E36" s="67" t="str">
        <f>IF(DTM!E41="","",DTM!E41)</f>
        <v/>
      </c>
      <c r="F36" s="172" t="str">
        <f>IF(DTM!F41="","",DTM!F41)</f>
        <v/>
      </c>
      <c r="G36" s="67" t="str">
        <f>IF(DTM!G41="","",DTM!G41)</f>
        <v/>
      </c>
    </row>
    <row r="37" spans="1:20">
      <c r="A37" s="67" t="str">
        <f>IF(DTM!A42="","",DTM!A42)</f>
        <v/>
      </c>
      <c r="B37" s="173" t="str">
        <f>IF(DTM!B42="","",DTM!B42)</f>
        <v/>
      </c>
      <c r="C37" s="67" t="str">
        <f>IF(DTM!C42="","",DTM!C42)</f>
        <v/>
      </c>
      <c r="D37" s="67" t="str">
        <f>IF(DTM!D42="","",DTM!D42)</f>
        <v/>
      </c>
      <c r="E37" s="67" t="str">
        <f>IF(DTM!E42="","",DTM!E42)</f>
        <v/>
      </c>
      <c r="F37" s="172" t="str">
        <f>IF(DTM!F42="","",DTM!F42)</f>
        <v/>
      </c>
      <c r="G37" s="67" t="str">
        <f>IF(DTM!G42="","",DTM!G42)</f>
        <v/>
      </c>
    </row>
    <row r="38" spans="1:20">
      <c r="A38" s="67" t="str">
        <f>IF(DTM!A43="","",DTM!A43)</f>
        <v/>
      </c>
      <c r="B38" s="173" t="str">
        <f>IF(DTM!B43="","",DTM!B43)</f>
        <v/>
      </c>
      <c r="C38" s="67" t="str">
        <f>IF(DTM!C43="","",DTM!C43)</f>
        <v/>
      </c>
      <c r="D38" s="67" t="str">
        <f>IF(DTM!D43="","",DTM!D43)</f>
        <v/>
      </c>
      <c r="E38" s="67" t="str">
        <f>IF(DTM!E43="","",DTM!E43)</f>
        <v/>
      </c>
      <c r="F38" s="172" t="str">
        <f>IF(DTM!F43="","",DTM!F43)</f>
        <v/>
      </c>
      <c r="G38" s="67" t="str">
        <f>IF(DTM!G43="","",DTM!G43)</f>
        <v/>
      </c>
    </row>
  </sheetData>
  <phoneticPr fontId="9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W246"/>
  <sheetViews>
    <sheetView zoomScale="93" zoomScaleNormal="93" workbookViewId="0">
      <selection activeCell="G228" sqref="G228:U228"/>
    </sheetView>
  </sheetViews>
  <sheetFormatPr defaultColWidth="9.140625" defaultRowHeight="14.85" customHeight="1"/>
  <cols>
    <col min="1" max="4" width="2.85546875" style="91" customWidth="1"/>
    <col min="5" max="26" width="2.42578125" style="91" customWidth="1"/>
    <col min="27" max="29" width="2.85546875" style="91" customWidth="1"/>
    <col min="30" max="52" width="2.42578125" style="91" customWidth="1"/>
    <col min="53" max="53" width="5.42578125" style="91" customWidth="1"/>
    <col min="54" max="63" width="11" style="96" customWidth="1"/>
    <col min="64" max="64" width="10.28515625" style="96" customWidth="1"/>
    <col min="65" max="65" width="11" style="96" customWidth="1"/>
    <col min="66" max="66" width="1.7109375" style="96" customWidth="1"/>
    <col min="67" max="70" width="11" style="96" customWidth="1"/>
    <col min="71" max="71" width="9.140625" style="97"/>
    <col min="72" max="72" width="16.28515625" style="97" bestFit="1" customWidth="1"/>
    <col min="73" max="16384" width="9.140625" style="97"/>
  </cols>
  <sheetData>
    <row r="1" spans="1:72" ht="14.85" customHeight="1">
      <c r="B1" s="92"/>
      <c r="C1" s="92"/>
      <c r="D1" s="92"/>
      <c r="E1" s="92"/>
      <c r="F1" s="92"/>
      <c r="G1" s="92"/>
      <c r="H1" s="93"/>
      <c r="J1" s="92"/>
      <c r="K1" s="92"/>
      <c r="AS1" s="265" t="s">
        <v>5</v>
      </c>
      <c r="AT1" s="265"/>
      <c r="AU1" s="265"/>
      <c r="AV1" s="275">
        <f>Page1!AO1+1</f>
        <v>2</v>
      </c>
      <c r="AW1" s="275"/>
      <c r="AX1" s="94" t="s">
        <v>6</v>
      </c>
      <c r="AY1" s="275">
        <f>Page1!AR1</f>
        <v>1</v>
      </c>
      <c r="AZ1" s="275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5"/>
      <c r="BN1" s="95"/>
      <c r="BO1" s="95"/>
      <c r="BP1" s="95"/>
      <c r="BQ1" s="95"/>
      <c r="BS1" s="96"/>
      <c r="BT1" s="96"/>
    </row>
    <row r="2" spans="1:72" ht="12.75" customHeight="1">
      <c r="AQ2" s="98"/>
      <c r="BB2" s="91"/>
      <c r="BC2" s="91"/>
      <c r="BD2" s="91"/>
      <c r="BE2" s="91"/>
      <c r="BF2" s="91"/>
      <c r="BG2" s="91"/>
      <c r="BH2" s="91"/>
      <c r="BI2" s="91"/>
      <c r="BJ2" s="91"/>
      <c r="BK2" s="91"/>
      <c r="BL2" s="91"/>
      <c r="BM2" s="99"/>
      <c r="BN2" s="99"/>
      <c r="BO2" s="99"/>
      <c r="BP2" s="99"/>
      <c r="BQ2" s="99"/>
      <c r="BS2" s="96"/>
      <c r="BT2" s="96"/>
    </row>
    <row r="3" spans="1:72" ht="12.75" customHeight="1">
      <c r="A3" s="100"/>
      <c r="B3" s="97"/>
      <c r="C3" s="101"/>
      <c r="D3" s="101" t="s">
        <v>338</v>
      </c>
      <c r="F3" s="102"/>
      <c r="G3" s="103"/>
      <c r="H3" s="161"/>
      <c r="I3" s="91" t="s">
        <v>345</v>
      </c>
      <c r="O3" s="162"/>
      <c r="P3" s="91" t="s">
        <v>0</v>
      </c>
      <c r="T3" s="272" t="s">
        <v>337</v>
      </c>
      <c r="U3" s="272"/>
      <c r="V3" s="272"/>
      <c r="W3" s="272"/>
      <c r="X3" s="272"/>
      <c r="Y3" s="272"/>
      <c r="Z3" s="272"/>
      <c r="AA3" s="272"/>
      <c r="AB3" s="278"/>
      <c r="AC3" s="278"/>
      <c r="AD3" s="278"/>
      <c r="AE3" s="265" t="s">
        <v>90</v>
      </c>
      <c r="AF3" s="265"/>
      <c r="AO3" s="272" t="s">
        <v>7</v>
      </c>
      <c r="AP3" s="272"/>
      <c r="AQ3" s="272"/>
      <c r="AR3" s="272"/>
      <c r="AS3" s="272"/>
      <c r="AT3" s="272"/>
      <c r="AU3" s="272"/>
      <c r="AV3" s="179" t="str">
        <f>IF(Page1!AO6=""," "&amp;Page1!AO4&amp;Page1!AR4&amp;" "&amp;Page1!AT4," "&amp;Page1!AO4&amp;Page1!AR4&amp;" "&amp;"R"&amp;Page1!AO6)</f>
        <v xml:space="preserve"> /69 </v>
      </c>
      <c r="AW3" s="179"/>
      <c r="AX3" s="179"/>
      <c r="AY3" s="179"/>
      <c r="AZ3" s="179"/>
      <c r="BB3" s="91"/>
      <c r="BC3" s="91"/>
      <c r="BD3" s="91"/>
      <c r="BE3" s="91"/>
      <c r="BF3" s="91"/>
      <c r="BG3" s="91"/>
      <c r="BH3" s="91"/>
      <c r="BI3" s="91"/>
      <c r="BJ3" s="91"/>
      <c r="BK3" s="91"/>
      <c r="BL3" s="91"/>
      <c r="BM3" s="99"/>
      <c r="BN3" s="99"/>
      <c r="BO3" s="99"/>
      <c r="BP3" s="99"/>
      <c r="BQ3" s="99"/>
      <c r="BS3" s="96"/>
      <c r="BT3" s="96"/>
    </row>
    <row r="4" spans="1:72" ht="14.85" customHeight="1">
      <c r="A4" s="100"/>
      <c r="S4" s="272" t="s">
        <v>438</v>
      </c>
      <c r="T4" s="272"/>
      <c r="U4" s="272"/>
      <c r="V4" s="272"/>
      <c r="W4" s="272"/>
      <c r="X4" s="272"/>
      <c r="Y4" s="272"/>
      <c r="Z4" s="272"/>
      <c r="AA4" s="272"/>
      <c r="AB4" s="381"/>
      <c r="AC4" s="381"/>
      <c r="AD4" s="381"/>
      <c r="AE4" s="381"/>
      <c r="AF4" s="381"/>
      <c r="AG4" s="381"/>
      <c r="AH4" s="381"/>
      <c r="AI4" s="381"/>
      <c r="AJ4" s="381"/>
      <c r="AO4" s="272" t="s">
        <v>2</v>
      </c>
      <c r="AP4" s="272"/>
      <c r="AQ4" s="272"/>
      <c r="AR4" s="272"/>
      <c r="AS4" s="272"/>
      <c r="AT4" s="272"/>
      <c r="AU4" s="272"/>
      <c r="AV4" s="279">
        <f>Page1!AO5</f>
        <v>0</v>
      </c>
      <c r="AW4" s="279"/>
      <c r="AX4" s="279"/>
      <c r="AY4" s="279"/>
      <c r="AZ4" s="279"/>
      <c r="BN4" s="99"/>
      <c r="BO4" s="99"/>
      <c r="BP4" s="99"/>
      <c r="BQ4" s="99"/>
      <c r="BS4" s="96"/>
      <c r="BT4" s="96"/>
    </row>
    <row r="5" spans="1:72" ht="14.85" customHeight="1" thickBot="1">
      <c r="A5" s="104"/>
      <c r="B5" s="272" t="s">
        <v>8</v>
      </c>
      <c r="C5" s="272"/>
      <c r="D5" s="272"/>
      <c r="E5" s="272"/>
      <c r="F5" s="272"/>
      <c r="G5" s="272"/>
      <c r="H5" s="272"/>
      <c r="I5" s="272"/>
      <c r="J5" s="276"/>
      <c r="K5" s="276"/>
      <c r="L5" s="276"/>
      <c r="M5" s="265" t="s">
        <v>90</v>
      </c>
      <c r="N5" s="265"/>
      <c r="O5" s="105"/>
      <c r="P5" s="105"/>
      <c r="Q5" s="105"/>
      <c r="R5" s="105"/>
      <c r="S5" s="105"/>
      <c r="V5" s="101"/>
      <c r="W5" s="101"/>
      <c r="X5" s="101"/>
      <c r="Y5" s="101"/>
      <c r="Z5" s="101"/>
      <c r="AA5" s="97"/>
      <c r="AB5" s="97"/>
      <c r="AC5" s="97"/>
      <c r="AD5" s="97"/>
      <c r="AE5" s="97"/>
      <c r="AF5" s="97"/>
      <c r="AG5" s="97"/>
      <c r="AH5" s="97"/>
      <c r="AI5" s="97"/>
      <c r="AJ5" s="97"/>
      <c r="AK5" s="97"/>
      <c r="AL5" s="97"/>
      <c r="AM5" s="97"/>
      <c r="AN5" s="97"/>
      <c r="AO5" s="97"/>
      <c r="AP5" s="97"/>
      <c r="AQ5" s="97"/>
      <c r="AR5" s="97"/>
      <c r="AS5" s="97"/>
      <c r="AT5" s="97"/>
      <c r="AU5" s="97"/>
      <c r="AV5" s="97"/>
      <c r="AW5" s="97"/>
      <c r="AX5" s="97"/>
      <c r="AY5" s="97"/>
      <c r="AZ5" s="97"/>
      <c r="BA5" s="97"/>
    </row>
    <row r="6" spans="1:72" ht="11.25" customHeight="1" thickTop="1" thickBot="1">
      <c r="A6" s="106"/>
      <c r="B6" s="266" t="s">
        <v>9</v>
      </c>
      <c r="C6" s="267"/>
      <c r="D6" s="268"/>
      <c r="E6" s="269" t="s">
        <v>35</v>
      </c>
      <c r="F6" s="270"/>
      <c r="G6" s="270"/>
      <c r="H6" s="270"/>
      <c r="I6" s="270"/>
      <c r="J6" s="270"/>
      <c r="K6" s="270"/>
      <c r="L6" s="270"/>
      <c r="M6" s="270"/>
      <c r="N6" s="270"/>
      <c r="O6" s="270"/>
      <c r="P6" s="270"/>
      <c r="Q6" s="270"/>
      <c r="R6" s="270"/>
      <c r="S6" s="270"/>
      <c r="T6" s="270"/>
      <c r="U6" s="270"/>
      <c r="V6" s="270"/>
      <c r="W6" s="270"/>
      <c r="X6" s="270"/>
      <c r="Y6" s="270"/>
      <c r="Z6" s="270"/>
      <c r="AA6" s="270"/>
      <c r="AB6" s="270"/>
      <c r="AC6" s="270"/>
      <c r="AD6" s="270"/>
      <c r="AE6" s="270"/>
      <c r="AF6" s="270"/>
      <c r="AG6" s="270"/>
      <c r="AH6" s="270"/>
      <c r="AI6" s="270"/>
      <c r="AJ6" s="270"/>
      <c r="AK6" s="270"/>
      <c r="AL6" s="270"/>
      <c r="AM6" s="270"/>
      <c r="AN6" s="270"/>
      <c r="AO6" s="270"/>
      <c r="AP6" s="270"/>
      <c r="AQ6" s="270"/>
      <c r="AR6" s="270"/>
      <c r="AS6" s="270"/>
      <c r="AT6" s="270"/>
      <c r="AU6" s="270"/>
      <c r="AV6" s="270"/>
      <c r="AW6" s="270"/>
      <c r="AX6" s="270"/>
      <c r="AY6" s="270"/>
      <c r="AZ6" s="270"/>
      <c r="BA6" s="280" t="s">
        <v>339</v>
      </c>
      <c r="BB6" s="283" t="b">
        <v>0</v>
      </c>
      <c r="BC6" s="233" t="s">
        <v>340</v>
      </c>
      <c r="BD6" s="233"/>
      <c r="BE6" s="233"/>
      <c r="BF6" s="233"/>
      <c r="BG6" s="233"/>
      <c r="BH6" s="233"/>
      <c r="BI6" s="233"/>
      <c r="BJ6" s="233"/>
      <c r="BK6" s="233"/>
      <c r="BL6" s="233"/>
      <c r="BM6" s="234"/>
      <c r="BN6" s="97"/>
      <c r="BO6" s="286" t="b">
        <v>0</v>
      </c>
      <c r="BP6" s="233" t="s">
        <v>341</v>
      </c>
      <c r="BQ6" s="233"/>
      <c r="BR6" s="234"/>
    </row>
    <row r="7" spans="1:72" ht="11.25" customHeight="1" thickTop="1">
      <c r="A7" s="106"/>
      <c r="B7" s="242" t="s">
        <v>6</v>
      </c>
      <c r="C7" s="243"/>
      <c r="D7" s="244"/>
      <c r="E7" s="245" t="s">
        <v>342</v>
      </c>
      <c r="F7" s="246"/>
      <c r="G7" s="246"/>
      <c r="H7" s="246"/>
      <c r="I7" s="229" t="str">
        <f>IF($BB$6=TRUE,IF($BO$6=TRUE,"","P1"),IF($BO$6=TRUE,"CH1","P1"))</f>
        <v>P1</v>
      </c>
      <c r="J7" s="230"/>
      <c r="K7" s="230"/>
      <c r="L7" s="230"/>
      <c r="M7" s="229" t="str">
        <f>IF($BB$6=TRUE,IF($BO$6=TRUE,"","P2"),IF($BO$6=TRUE,"CH1","P2"))</f>
        <v>P2</v>
      </c>
      <c r="N7" s="230"/>
      <c r="O7" s="230"/>
      <c r="P7" s="230"/>
      <c r="Q7" s="229" t="str">
        <f>IF($BB$6=TRUE,IF($BO$6=TRUE,"","P3"),IF($BO$6=TRUE,"","P3"))</f>
        <v>P3</v>
      </c>
      <c r="R7" s="230"/>
      <c r="S7" s="230"/>
      <c r="T7" s="230"/>
      <c r="U7" s="229" t="str">
        <f>IF($BB$6=TRUE,IF($BO$6=TRUE,"","P4"),IF($BO$6=TRUE,"","P4"))</f>
        <v>P4</v>
      </c>
      <c r="V7" s="230"/>
      <c r="W7" s="230"/>
      <c r="X7" s="230"/>
      <c r="Y7" s="229" t="str">
        <f>IF($BB$6=TRUE,IF($BO$6=TRUE,"","P5"),IF($BO$6=TRUE,"","P5"))</f>
        <v>P5</v>
      </c>
      <c r="Z7" s="230"/>
      <c r="AA7" s="230"/>
      <c r="AB7" s="230"/>
      <c r="AC7" s="229" t="str">
        <f>IF($BB$6=TRUE,IF($BO$6=TRUE,"","P6"),IF($BO$6=TRUE,"","P6"))</f>
        <v>P6</v>
      </c>
      <c r="AD7" s="230"/>
      <c r="AE7" s="230"/>
      <c r="AF7" s="230"/>
      <c r="AG7" s="229" t="str">
        <f>IF($BB$6=TRUE,IF($BO$6=TRUE,"","P7"),IF($BO$6=TRUE,"","P7"))</f>
        <v>P7</v>
      </c>
      <c r="AH7" s="230"/>
      <c r="AI7" s="230"/>
      <c r="AJ7" s="230"/>
      <c r="AK7" s="229" t="str">
        <f>IF($BB$6=TRUE,IF($BO$6=TRUE,"","P8"),IF($BO$6=TRUE,"","P8"))</f>
        <v>P8</v>
      </c>
      <c r="AL7" s="230"/>
      <c r="AM7" s="230"/>
      <c r="AN7" s="230"/>
      <c r="AO7" s="229" t="str">
        <f>IF($BB$6=TRUE,IF($BO$6=TRUE,"","P9"),IF($BO$6=TRUE,"","P9"))</f>
        <v>P9</v>
      </c>
      <c r="AP7" s="230"/>
      <c r="AQ7" s="230"/>
      <c r="AR7" s="230"/>
      <c r="AS7" s="229" t="str">
        <f>IF($BB$6=TRUE,IF($BO$6=TRUE,"","P10"),IF($BO$6=TRUE,"","P10"))</f>
        <v>P10</v>
      </c>
      <c r="AT7" s="230"/>
      <c r="AU7" s="230"/>
      <c r="AV7" s="230"/>
      <c r="AW7" s="245" t="s">
        <v>342</v>
      </c>
      <c r="AX7" s="246"/>
      <c r="AY7" s="246"/>
      <c r="AZ7" s="246"/>
      <c r="BA7" s="281"/>
      <c r="BB7" s="284"/>
      <c r="BC7" s="235"/>
      <c r="BD7" s="235"/>
      <c r="BE7" s="235"/>
      <c r="BF7" s="235"/>
      <c r="BG7" s="235"/>
      <c r="BH7" s="235"/>
      <c r="BI7" s="235"/>
      <c r="BJ7" s="235"/>
      <c r="BK7" s="235"/>
      <c r="BL7" s="235"/>
      <c r="BM7" s="236"/>
      <c r="BN7" s="97"/>
      <c r="BO7" s="287"/>
      <c r="BP7" s="235"/>
      <c r="BQ7" s="235"/>
      <c r="BR7" s="236"/>
    </row>
    <row r="8" spans="1:72" ht="11.25" customHeight="1" thickBot="1">
      <c r="A8" s="107"/>
      <c r="B8" s="251" t="s">
        <v>0</v>
      </c>
      <c r="C8" s="252"/>
      <c r="D8" s="253"/>
      <c r="E8" s="247"/>
      <c r="F8" s="248"/>
      <c r="G8" s="248"/>
      <c r="H8" s="248"/>
      <c r="I8" s="231"/>
      <c r="J8" s="232"/>
      <c r="K8" s="232"/>
      <c r="L8" s="232"/>
      <c r="M8" s="231"/>
      <c r="N8" s="232"/>
      <c r="O8" s="232"/>
      <c r="P8" s="232"/>
      <c r="Q8" s="231"/>
      <c r="R8" s="232"/>
      <c r="S8" s="232"/>
      <c r="T8" s="232"/>
      <c r="U8" s="231"/>
      <c r="V8" s="232"/>
      <c r="W8" s="232"/>
      <c r="X8" s="232"/>
      <c r="Y8" s="231"/>
      <c r="Z8" s="232"/>
      <c r="AA8" s="232"/>
      <c r="AB8" s="232"/>
      <c r="AC8" s="231"/>
      <c r="AD8" s="232"/>
      <c r="AE8" s="232"/>
      <c r="AF8" s="232"/>
      <c r="AG8" s="231"/>
      <c r="AH8" s="232"/>
      <c r="AI8" s="232"/>
      <c r="AJ8" s="232"/>
      <c r="AK8" s="231"/>
      <c r="AL8" s="232"/>
      <c r="AM8" s="232"/>
      <c r="AN8" s="232"/>
      <c r="AO8" s="231"/>
      <c r="AP8" s="232"/>
      <c r="AQ8" s="232"/>
      <c r="AR8" s="232"/>
      <c r="AS8" s="231"/>
      <c r="AT8" s="232"/>
      <c r="AU8" s="232"/>
      <c r="AV8" s="232"/>
      <c r="AW8" s="247"/>
      <c r="AX8" s="248"/>
      <c r="AY8" s="248"/>
      <c r="AZ8" s="248"/>
      <c r="BA8" s="281"/>
      <c r="BB8" s="285"/>
      <c r="BC8" s="237"/>
      <c r="BD8" s="237"/>
      <c r="BE8" s="237"/>
      <c r="BF8" s="237"/>
      <c r="BG8" s="237"/>
      <c r="BH8" s="237"/>
      <c r="BI8" s="237"/>
      <c r="BJ8" s="237"/>
      <c r="BK8" s="237"/>
      <c r="BL8" s="237"/>
      <c r="BM8" s="238"/>
      <c r="BN8" s="97"/>
      <c r="BO8" s="288"/>
      <c r="BP8" s="237"/>
      <c r="BQ8" s="237"/>
      <c r="BR8" s="238"/>
    </row>
    <row r="9" spans="1:72" ht="14.85" customHeight="1" thickTop="1" thickBot="1">
      <c r="A9" s="107"/>
      <c r="B9" s="254" t="s">
        <v>11</v>
      </c>
      <c r="C9" s="255"/>
      <c r="D9" s="256"/>
      <c r="E9" s="257" t="s">
        <v>91</v>
      </c>
      <c r="F9" s="258"/>
      <c r="G9" s="258"/>
      <c r="H9" s="259"/>
      <c r="I9" s="257" t="s">
        <v>91</v>
      </c>
      <c r="J9" s="258"/>
      <c r="K9" s="258"/>
      <c r="L9" s="259"/>
      <c r="M9" s="257" t="s">
        <v>91</v>
      </c>
      <c r="N9" s="258"/>
      <c r="O9" s="258"/>
      <c r="P9" s="259"/>
      <c r="Q9" s="257" t="s">
        <v>91</v>
      </c>
      <c r="R9" s="258"/>
      <c r="S9" s="258"/>
      <c r="T9" s="259"/>
      <c r="U9" s="257" t="s">
        <v>91</v>
      </c>
      <c r="V9" s="258"/>
      <c r="W9" s="258"/>
      <c r="X9" s="259"/>
      <c r="Y9" s="257" t="s">
        <v>91</v>
      </c>
      <c r="Z9" s="258"/>
      <c r="AA9" s="258"/>
      <c r="AB9" s="259"/>
      <c r="AC9" s="257" t="s">
        <v>91</v>
      </c>
      <c r="AD9" s="258"/>
      <c r="AE9" s="258"/>
      <c r="AF9" s="259"/>
      <c r="AG9" s="257" t="s">
        <v>91</v>
      </c>
      <c r="AH9" s="258"/>
      <c r="AI9" s="258"/>
      <c r="AJ9" s="259"/>
      <c r="AK9" s="257" t="s">
        <v>91</v>
      </c>
      <c r="AL9" s="258"/>
      <c r="AM9" s="258"/>
      <c r="AN9" s="259"/>
      <c r="AO9" s="257" t="s">
        <v>91</v>
      </c>
      <c r="AP9" s="258"/>
      <c r="AQ9" s="258"/>
      <c r="AR9" s="259"/>
      <c r="AS9" s="257" t="s">
        <v>91</v>
      </c>
      <c r="AT9" s="258"/>
      <c r="AU9" s="258"/>
      <c r="AV9" s="259"/>
      <c r="AW9" s="257" t="s">
        <v>91</v>
      </c>
      <c r="AX9" s="258"/>
      <c r="AY9" s="258"/>
      <c r="AZ9" s="258"/>
      <c r="BA9" s="281"/>
      <c r="BB9" s="158" t="s">
        <v>342</v>
      </c>
      <c r="BC9" s="158" t="s">
        <v>180</v>
      </c>
      <c r="BD9" s="158" t="s">
        <v>181</v>
      </c>
      <c r="BE9" s="158" t="s">
        <v>182</v>
      </c>
      <c r="BF9" s="158" t="s">
        <v>183</v>
      </c>
      <c r="BG9" s="158" t="s">
        <v>184</v>
      </c>
      <c r="BH9" s="158" t="s">
        <v>185</v>
      </c>
      <c r="BI9" s="158" t="s">
        <v>186</v>
      </c>
      <c r="BJ9" s="158" t="s">
        <v>187</v>
      </c>
      <c r="BK9" s="158" t="s">
        <v>188</v>
      </c>
      <c r="BL9" s="158" t="s">
        <v>189</v>
      </c>
      <c r="BM9" s="158" t="s">
        <v>342</v>
      </c>
      <c r="BN9" s="159"/>
      <c r="BO9" s="158" t="s">
        <v>342</v>
      </c>
      <c r="BP9" s="158" t="s">
        <v>10</v>
      </c>
      <c r="BQ9" s="158" t="s">
        <v>10</v>
      </c>
      <c r="BR9" s="158" t="s">
        <v>342</v>
      </c>
    </row>
    <row r="10" spans="1:72" ht="14.1" customHeight="1" thickTop="1">
      <c r="A10" s="108"/>
      <c r="B10" s="260" t="s">
        <v>92</v>
      </c>
      <c r="C10" s="261"/>
      <c r="D10" s="262"/>
      <c r="E10" s="225" t="str">
        <f>IF($BB$6=TRUE,IF($BO$6=TRUE,"",BB10),IF($BO$6=TRUE,BO10,""))</f>
        <v/>
      </c>
      <c r="F10" s="225"/>
      <c r="G10" s="225"/>
      <c r="H10" s="225"/>
      <c r="I10" s="224" t="str">
        <f>IF($BB$6=TRUE,IF($BO$6=TRUE,"",BC10),IF($BO$6=TRUE,BP10,""))</f>
        <v/>
      </c>
      <c r="J10" s="224"/>
      <c r="K10" s="224"/>
      <c r="L10" s="224"/>
      <c r="M10" s="224" t="str">
        <f>IF($BB$6=TRUE,IF($BO$6=TRUE,"",BD10),IF($BO$6=TRUE,BQ10,""))</f>
        <v/>
      </c>
      <c r="N10" s="224"/>
      <c r="O10" s="224"/>
      <c r="P10" s="224"/>
      <c r="Q10" s="224" t="str">
        <f>IF($BB$6=TRUE,IF($BO$6=TRUE,"",BE10),IF($BO$6=TRUE,"",""))</f>
        <v/>
      </c>
      <c r="R10" s="224"/>
      <c r="S10" s="224"/>
      <c r="T10" s="224"/>
      <c r="U10" s="224" t="str">
        <f>IF($BB$6=TRUE,IF($BO$6=TRUE,"",BF10),IF($BO$6=TRUE,"",""))</f>
        <v/>
      </c>
      <c r="V10" s="224"/>
      <c r="W10" s="224"/>
      <c r="X10" s="224"/>
      <c r="Y10" s="224" t="str">
        <f>IF($BB$6=TRUE,IF($BO$6=TRUE,"",BG10),IF($BO$6=TRUE,"",""))</f>
        <v/>
      </c>
      <c r="Z10" s="224"/>
      <c r="AA10" s="224"/>
      <c r="AB10" s="224"/>
      <c r="AC10" s="224" t="str">
        <f>IF($BB$6=TRUE,IF($BO$6=TRUE,"",BH10),IF($BO$6=TRUE,"",""))</f>
        <v/>
      </c>
      <c r="AD10" s="224"/>
      <c r="AE10" s="224"/>
      <c r="AF10" s="224"/>
      <c r="AG10" s="224" t="str">
        <f>IF($BB$6=TRUE,IF($BO$6=TRUE,"",BI10),IF($BO$6=TRUE,"",""))</f>
        <v/>
      </c>
      <c r="AH10" s="224"/>
      <c r="AI10" s="224"/>
      <c r="AJ10" s="224"/>
      <c r="AK10" s="224" t="str">
        <f>IF($BB$6=TRUE,IF($BO$6=TRUE,"",BJ10),IF($BO$6=TRUE,"",""))</f>
        <v/>
      </c>
      <c r="AL10" s="224"/>
      <c r="AM10" s="224"/>
      <c r="AN10" s="224"/>
      <c r="AO10" s="224" t="str">
        <f>IF($BB$6=TRUE,IF($BO$6=TRUE,"",BK10),IF($BO$6=TRUE,"",""))</f>
        <v/>
      </c>
      <c r="AP10" s="224"/>
      <c r="AQ10" s="224"/>
      <c r="AR10" s="224"/>
      <c r="AS10" s="224" t="str">
        <f>IF($BB$6=TRUE,IF($BO$6=TRUE,"",BL10),IF($BO$6=TRUE,"",""))</f>
        <v/>
      </c>
      <c r="AT10" s="224"/>
      <c r="AU10" s="224"/>
      <c r="AV10" s="224"/>
      <c r="AW10" s="225" t="str">
        <f>IF($BB$6=TRUE,IF($BO$6=TRUE,"",BM10),IF($BO$6=TRUE,BR10,""))</f>
        <v/>
      </c>
      <c r="AX10" s="225"/>
      <c r="AY10" s="225"/>
      <c r="AZ10" s="277"/>
      <c r="BA10" s="281"/>
      <c r="BB10" s="174"/>
      <c r="BC10" s="175"/>
      <c r="BD10" s="175"/>
      <c r="BE10" s="175"/>
      <c r="BF10" s="175"/>
      <c r="BG10" s="175"/>
      <c r="BH10" s="175"/>
      <c r="BI10" s="175"/>
      <c r="BJ10" s="175"/>
      <c r="BK10" s="175"/>
      <c r="BL10" s="175"/>
      <c r="BM10" s="174"/>
      <c r="BN10" s="168"/>
      <c r="BO10" s="174"/>
      <c r="BP10" s="175"/>
      <c r="BQ10" s="175"/>
      <c r="BR10" s="174"/>
    </row>
    <row r="11" spans="1:72" ht="14.1" customHeight="1">
      <c r="A11" s="108"/>
      <c r="B11" s="216" t="s">
        <v>93</v>
      </c>
      <c r="C11" s="217"/>
      <c r="D11" s="218"/>
      <c r="E11" s="219" t="str">
        <f t="shared" ref="E11:E13" si="0">IF($BB$6=TRUE,IF($BO$6=TRUE,"",BB11),IF($BO$6=TRUE,BO11,""))</f>
        <v/>
      </c>
      <c r="F11" s="219"/>
      <c r="G11" s="219"/>
      <c r="H11" s="219"/>
      <c r="I11" s="220" t="str">
        <f t="shared" ref="I11:I14" si="1">IF($BB$6=TRUE,IF($BO$6=TRUE,"",BC11),IF($BO$6=TRUE,BP11,""))</f>
        <v/>
      </c>
      <c r="J11" s="220"/>
      <c r="K11" s="220"/>
      <c r="L11" s="220"/>
      <c r="M11" s="220" t="str">
        <f t="shared" ref="M11:M14" si="2">IF($BB$6=TRUE,IF($BO$6=TRUE,"",BD11),IF($BO$6=TRUE,BQ11,""))</f>
        <v/>
      </c>
      <c r="N11" s="220"/>
      <c r="O11" s="220"/>
      <c r="P11" s="220"/>
      <c r="Q11" s="220" t="str">
        <f t="shared" ref="Q11:Q13" si="3">IF($BB$6=TRUE,IF($BO$6=TRUE,"",BE11),IF($BO$6=TRUE,"",""))</f>
        <v/>
      </c>
      <c r="R11" s="220"/>
      <c r="S11" s="220"/>
      <c r="T11" s="220"/>
      <c r="U11" s="220" t="str">
        <f t="shared" ref="U11:U14" si="4">IF($BB$6=TRUE,IF($BO$6=TRUE,"",BF11),IF($BO$6=TRUE,"",""))</f>
        <v/>
      </c>
      <c r="V11" s="220"/>
      <c r="W11" s="220"/>
      <c r="X11" s="220"/>
      <c r="Y11" s="220" t="str">
        <f t="shared" ref="Y11:Y14" si="5">IF($BB$6=TRUE,IF($BO$6=TRUE,"",BG11),IF($BO$6=TRUE,"",""))</f>
        <v/>
      </c>
      <c r="Z11" s="220"/>
      <c r="AA11" s="220"/>
      <c r="AB11" s="220"/>
      <c r="AC11" s="220" t="str">
        <f t="shared" ref="AC11:AC14" si="6">IF($BB$6=TRUE,IF($BO$6=TRUE,"",BH11),IF($BO$6=TRUE,"",""))</f>
        <v/>
      </c>
      <c r="AD11" s="220"/>
      <c r="AE11" s="220"/>
      <c r="AF11" s="220"/>
      <c r="AG11" s="220" t="str">
        <f t="shared" ref="AG11:AG14" si="7">IF($BB$6=TRUE,IF($BO$6=TRUE,"",BI11),IF($BO$6=TRUE,"",""))</f>
        <v/>
      </c>
      <c r="AH11" s="220"/>
      <c r="AI11" s="220"/>
      <c r="AJ11" s="220"/>
      <c r="AK11" s="220" t="str">
        <f t="shared" ref="AK11:AK14" si="8">IF($BB$6=TRUE,IF($BO$6=TRUE,"",BJ11),IF($BO$6=TRUE,"",""))</f>
        <v/>
      </c>
      <c r="AL11" s="220"/>
      <c r="AM11" s="220"/>
      <c r="AN11" s="220"/>
      <c r="AO11" s="220" t="str">
        <f t="shared" ref="AO11:AO14" si="9">IF($BB$6=TRUE,IF($BO$6=TRUE,"",BK11),IF($BO$6=TRUE,"",""))</f>
        <v/>
      </c>
      <c r="AP11" s="220"/>
      <c r="AQ11" s="220"/>
      <c r="AR11" s="220"/>
      <c r="AS11" s="220" t="str">
        <f t="shared" ref="AS11:AS14" si="10">IF($BB$6=TRUE,IF($BO$6=TRUE,"",BL11),IF($BO$6=TRUE,"",""))</f>
        <v/>
      </c>
      <c r="AT11" s="220"/>
      <c r="AU11" s="220"/>
      <c r="AV11" s="220"/>
      <c r="AW11" s="221" t="str">
        <f>IF($BB$6=TRUE,IF($BO$6=TRUE,"",BM11),IF($BO$6=TRUE,BR11,""))</f>
        <v/>
      </c>
      <c r="AX11" s="222"/>
      <c r="AY11" s="222"/>
      <c r="AZ11" s="222"/>
      <c r="BA11" s="281"/>
      <c r="BB11" s="174"/>
      <c r="BC11" s="175"/>
      <c r="BD11" s="175"/>
      <c r="BE11" s="175"/>
      <c r="BF11" s="175"/>
      <c r="BG11" s="175"/>
      <c r="BH11" s="175"/>
      <c r="BI11" s="175"/>
      <c r="BJ11" s="175"/>
      <c r="BK11" s="175"/>
      <c r="BL11" s="175"/>
      <c r="BM11" s="174"/>
      <c r="BN11" s="168"/>
      <c r="BO11" s="174"/>
      <c r="BP11" s="175"/>
      <c r="BQ11" s="175"/>
      <c r="BR11" s="174"/>
    </row>
    <row r="12" spans="1:72" ht="14.1" customHeight="1">
      <c r="A12" s="108"/>
      <c r="B12" s="216" t="s">
        <v>94</v>
      </c>
      <c r="C12" s="217"/>
      <c r="D12" s="218"/>
      <c r="E12" s="219" t="str">
        <f t="shared" si="0"/>
        <v/>
      </c>
      <c r="F12" s="219"/>
      <c r="G12" s="219"/>
      <c r="H12" s="219"/>
      <c r="I12" s="220" t="str">
        <f t="shared" si="1"/>
        <v/>
      </c>
      <c r="J12" s="220"/>
      <c r="K12" s="220"/>
      <c r="L12" s="220"/>
      <c r="M12" s="220" t="str">
        <f t="shared" si="2"/>
        <v/>
      </c>
      <c r="N12" s="220"/>
      <c r="O12" s="220"/>
      <c r="P12" s="220"/>
      <c r="Q12" s="220" t="str">
        <f t="shared" si="3"/>
        <v/>
      </c>
      <c r="R12" s="220"/>
      <c r="S12" s="220"/>
      <c r="T12" s="220"/>
      <c r="U12" s="220" t="str">
        <f t="shared" si="4"/>
        <v/>
      </c>
      <c r="V12" s="220"/>
      <c r="W12" s="220"/>
      <c r="X12" s="220"/>
      <c r="Y12" s="220" t="str">
        <f t="shared" si="5"/>
        <v/>
      </c>
      <c r="Z12" s="220"/>
      <c r="AA12" s="220"/>
      <c r="AB12" s="220"/>
      <c r="AC12" s="220" t="str">
        <f t="shared" si="6"/>
        <v/>
      </c>
      <c r="AD12" s="220"/>
      <c r="AE12" s="220"/>
      <c r="AF12" s="220"/>
      <c r="AG12" s="220" t="str">
        <f t="shared" si="7"/>
        <v/>
      </c>
      <c r="AH12" s="220"/>
      <c r="AI12" s="220"/>
      <c r="AJ12" s="220"/>
      <c r="AK12" s="220" t="str">
        <f t="shared" si="8"/>
        <v/>
      </c>
      <c r="AL12" s="220"/>
      <c r="AM12" s="220"/>
      <c r="AN12" s="220"/>
      <c r="AO12" s="220" t="str">
        <f t="shared" si="9"/>
        <v/>
      </c>
      <c r="AP12" s="220"/>
      <c r="AQ12" s="220"/>
      <c r="AR12" s="220"/>
      <c r="AS12" s="220" t="str">
        <f>IF($BB$6=TRUE,IF($BO$6=TRUE,"",BL12),IF($BO$6=TRUE,"",""))</f>
        <v/>
      </c>
      <c r="AT12" s="220"/>
      <c r="AU12" s="220"/>
      <c r="AV12" s="220"/>
      <c r="AW12" s="221" t="str">
        <f t="shared" ref="AW12:AW14" si="11">IF($BB$6=TRUE,IF($BO$6=TRUE,"",BM12),IF($BO$6=TRUE,BR12,""))</f>
        <v/>
      </c>
      <c r="AX12" s="222"/>
      <c r="AY12" s="222"/>
      <c r="AZ12" s="222"/>
      <c r="BA12" s="281"/>
      <c r="BB12" s="174"/>
      <c r="BC12" s="175"/>
      <c r="BD12" s="175"/>
      <c r="BE12" s="175"/>
      <c r="BF12" s="175"/>
      <c r="BG12" s="175"/>
      <c r="BH12" s="175"/>
      <c r="BI12" s="175"/>
      <c r="BJ12" s="175"/>
      <c r="BK12" s="175"/>
      <c r="BL12" s="175"/>
      <c r="BM12" s="174"/>
      <c r="BN12" s="168"/>
      <c r="BO12" s="174"/>
      <c r="BP12" s="175"/>
      <c r="BQ12" s="175"/>
      <c r="BR12" s="174"/>
    </row>
    <row r="13" spans="1:72" ht="14.1" customHeight="1">
      <c r="A13" s="108"/>
      <c r="B13" s="216" t="s">
        <v>95</v>
      </c>
      <c r="C13" s="217"/>
      <c r="D13" s="218"/>
      <c r="E13" s="219" t="str">
        <f t="shared" si="0"/>
        <v/>
      </c>
      <c r="F13" s="219"/>
      <c r="G13" s="219"/>
      <c r="H13" s="219"/>
      <c r="I13" s="220" t="str">
        <f t="shared" si="1"/>
        <v/>
      </c>
      <c r="J13" s="220"/>
      <c r="K13" s="220"/>
      <c r="L13" s="220"/>
      <c r="M13" s="220" t="str">
        <f t="shared" si="2"/>
        <v/>
      </c>
      <c r="N13" s="220"/>
      <c r="O13" s="220"/>
      <c r="P13" s="220"/>
      <c r="Q13" s="220" t="str">
        <f t="shared" si="3"/>
        <v/>
      </c>
      <c r="R13" s="220"/>
      <c r="S13" s="220"/>
      <c r="T13" s="220"/>
      <c r="U13" s="220" t="str">
        <f t="shared" si="4"/>
        <v/>
      </c>
      <c r="V13" s="220"/>
      <c r="W13" s="220"/>
      <c r="X13" s="220"/>
      <c r="Y13" s="220" t="str">
        <f t="shared" si="5"/>
        <v/>
      </c>
      <c r="Z13" s="220"/>
      <c r="AA13" s="220"/>
      <c r="AB13" s="220"/>
      <c r="AC13" s="220" t="str">
        <f t="shared" si="6"/>
        <v/>
      </c>
      <c r="AD13" s="220"/>
      <c r="AE13" s="220"/>
      <c r="AF13" s="220"/>
      <c r="AG13" s="220" t="str">
        <f t="shared" si="7"/>
        <v/>
      </c>
      <c r="AH13" s="220"/>
      <c r="AI13" s="220"/>
      <c r="AJ13" s="220"/>
      <c r="AK13" s="220" t="str">
        <f t="shared" si="8"/>
        <v/>
      </c>
      <c r="AL13" s="220"/>
      <c r="AM13" s="220"/>
      <c r="AN13" s="220"/>
      <c r="AO13" s="220" t="str">
        <f t="shared" si="9"/>
        <v/>
      </c>
      <c r="AP13" s="220"/>
      <c r="AQ13" s="220"/>
      <c r="AR13" s="220"/>
      <c r="AS13" s="220" t="str">
        <f t="shared" si="10"/>
        <v/>
      </c>
      <c r="AT13" s="220"/>
      <c r="AU13" s="220"/>
      <c r="AV13" s="220"/>
      <c r="AW13" s="221" t="str">
        <f t="shared" si="11"/>
        <v/>
      </c>
      <c r="AX13" s="222"/>
      <c r="AY13" s="222"/>
      <c r="AZ13" s="222"/>
      <c r="BA13" s="281"/>
      <c r="BB13" s="174"/>
      <c r="BC13" s="175"/>
      <c r="BD13" s="175"/>
      <c r="BE13" s="175"/>
      <c r="BF13" s="175"/>
      <c r="BG13" s="175"/>
      <c r="BH13" s="175"/>
      <c r="BI13" s="175"/>
      <c r="BJ13" s="175"/>
      <c r="BK13" s="175"/>
      <c r="BL13" s="175"/>
      <c r="BM13" s="174"/>
      <c r="BN13" s="168"/>
      <c r="BO13" s="174"/>
      <c r="BP13" s="175"/>
      <c r="BQ13" s="175"/>
      <c r="BR13" s="174"/>
    </row>
    <row r="14" spans="1:72" ht="14.1" customHeight="1" thickBot="1">
      <c r="A14" s="108"/>
      <c r="B14" s="206" t="s">
        <v>96</v>
      </c>
      <c r="C14" s="207"/>
      <c r="D14" s="208"/>
      <c r="E14" s="209" t="str">
        <f>IF($BB$6=TRUE,IF($BO$6=TRUE,"",BB14),IF($BO$6=TRUE,BO14,""))</f>
        <v/>
      </c>
      <c r="F14" s="209"/>
      <c r="G14" s="209"/>
      <c r="H14" s="209"/>
      <c r="I14" s="210" t="str">
        <f t="shared" si="1"/>
        <v/>
      </c>
      <c r="J14" s="210"/>
      <c r="K14" s="210"/>
      <c r="L14" s="210"/>
      <c r="M14" s="210" t="str">
        <f t="shared" si="2"/>
        <v/>
      </c>
      <c r="N14" s="210"/>
      <c r="O14" s="210"/>
      <c r="P14" s="210"/>
      <c r="Q14" s="210" t="str">
        <f>IF($BB$6=TRUE,IF($BO$6=TRUE,"",BE14),IF($BO$6=TRUE,"",""))</f>
        <v/>
      </c>
      <c r="R14" s="210"/>
      <c r="S14" s="210"/>
      <c r="T14" s="210"/>
      <c r="U14" s="210" t="str">
        <f t="shared" si="4"/>
        <v/>
      </c>
      <c r="V14" s="210"/>
      <c r="W14" s="210"/>
      <c r="X14" s="210"/>
      <c r="Y14" s="210" t="str">
        <f t="shared" si="5"/>
        <v/>
      </c>
      <c r="Z14" s="210"/>
      <c r="AA14" s="210"/>
      <c r="AB14" s="210"/>
      <c r="AC14" s="210" t="str">
        <f t="shared" si="6"/>
        <v/>
      </c>
      <c r="AD14" s="210"/>
      <c r="AE14" s="210"/>
      <c r="AF14" s="210"/>
      <c r="AG14" s="210" t="str">
        <f t="shared" si="7"/>
        <v/>
      </c>
      <c r="AH14" s="210"/>
      <c r="AI14" s="210"/>
      <c r="AJ14" s="210"/>
      <c r="AK14" s="210" t="str">
        <f t="shared" si="8"/>
        <v/>
      </c>
      <c r="AL14" s="210"/>
      <c r="AM14" s="210"/>
      <c r="AN14" s="210"/>
      <c r="AO14" s="210" t="str">
        <f t="shared" si="9"/>
        <v/>
      </c>
      <c r="AP14" s="210"/>
      <c r="AQ14" s="210"/>
      <c r="AR14" s="210"/>
      <c r="AS14" s="210" t="str">
        <f t="shared" si="10"/>
        <v/>
      </c>
      <c r="AT14" s="210"/>
      <c r="AU14" s="210"/>
      <c r="AV14" s="210"/>
      <c r="AW14" s="211" t="str">
        <f t="shared" si="11"/>
        <v/>
      </c>
      <c r="AX14" s="212"/>
      <c r="AY14" s="212"/>
      <c r="AZ14" s="212"/>
      <c r="BA14" s="282"/>
      <c r="BB14" s="174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4"/>
      <c r="BN14" s="168"/>
      <c r="BO14" s="174"/>
      <c r="BP14" s="175"/>
      <c r="BQ14" s="175"/>
      <c r="BR14" s="174"/>
    </row>
    <row r="15" spans="1:72" ht="14.85" customHeight="1" thickTop="1">
      <c r="A15" s="109"/>
      <c r="B15" s="274" t="s">
        <v>48</v>
      </c>
      <c r="C15" s="274"/>
      <c r="D15" s="274"/>
      <c r="E15" s="215" t="str">
        <f>IF(E10="","",AVERAGE(E10:H14,AW10:AZ14))</f>
        <v/>
      </c>
      <c r="F15" s="215"/>
      <c r="G15" s="215"/>
      <c r="H15" s="215"/>
      <c r="I15" s="199" t="str">
        <f>IF(I10="","",IF(BO6=TRUE,AVERAGE(I10:P14),AVERAGE(I10:L14)))</f>
        <v/>
      </c>
      <c r="J15" s="199"/>
      <c r="K15" s="199"/>
      <c r="L15" s="199"/>
      <c r="M15" s="199" t="str">
        <f>IF(M10="","",IF(BO6=TRUE,"",AVERAGE(M10:P14)))</f>
        <v/>
      </c>
      <c r="N15" s="199"/>
      <c r="O15" s="199"/>
      <c r="P15" s="199"/>
      <c r="Q15" s="199" t="str">
        <f>IF(Q10="","",AVERAGE(Q10:T14))</f>
        <v/>
      </c>
      <c r="R15" s="199"/>
      <c r="S15" s="199"/>
      <c r="T15" s="199"/>
      <c r="U15" s="199" t="str">
        <f>IF(U10="","",AVERAGE(U10:X14))</f>
        <v/>
      </c>
      <c r="V15" s="199"/>
      <c r="W15" s="199"/>
      <c r="X15" s="199"/>
      <c r="Y15" s="199" t="str">
        <f t="shared" ref="Y15" si="12">IF(Y10="","",AVERAGE(Y10:AB14))</f>
        <v/>
      </c>
      <c r="Z15" s="199"/>
      <c r="AA15" s="199"/>
      <c r="AB15" s="199"/>
      <c r="AC15" s="199" t="str">
        <f t="shared" ref="AC15" si="13">IF(AC10="","",AVERAGE(AC10:AF14))</f>
        <v/>
      </c>
      <c r="AD15" s="199"/>
      <c r="AE15" s="199"/>
      <c r="AF15" s="199"/>
      <c r="AG15" s="199" t="str">
        <f>IF(AG10="","",AVERAGE(AG10:AJ14))</f>
        <v/>
      </c>
      <c r="AH15" s="199"/>
      <c r="AI15" s="199"/>
      <c r="AJ15" s="199"/>
      <c r="AK15" s="199" t="str">
        <f t="shared" ref="AK15" si="14">IF(AK10="","",AVERAGE(AK10:AN14))</f>
        <v/>
      </c>
      <c r="AL15" s="199"/>
      <c r="AM15" s="199"/>
      <c r="AN15" s="199"/>
      <c r="AO15" s="199" t="str">
        <f t="shared" ref="AO15" si="15">IF(AO10="","",AVERAGE(AO10:AR14))</f>
        <v/>
      </c>
      <c r="AP15" s="199"/>
      <c r="AQ15" s="199"/>
      <c r="AR15" s="199"/>
      <c r="AS15" s="199" t="str">
        <f t="shared" ref="AS15" si="16">IF(AS10="","",AVERAGE(AS10:AV14))</f>
        <v/>
      </c>
      <c r="AT15" s="199"/>
      <c r="AU15" s="199"/>
      <c r="AV15" s="199"/>
      <c r="AW15" s="97"/>
      <c r="AX15" s="97"/>
      <c r="AY15" s="97"/>
      <c r="AZ15" s="97"/>
      <c r="BA15" s="97"/>
    </row>
    <row r="16" spans="1:72" ht="14.85" customHeight="1" thickBot="1">
      <c r="A16" s="109"/>
      <c r="B16" s="263" t="s">
        <v>49</v>
      </c>
      <c r="C16" s="263"/>
      <c r="D16" s="263"/>
      <c r="E16" s="201" t="str">
        <f>IF(E10="","",STDEV(AW10:AZ14,E10:H14))</f>
        <v/>
      </c>
      <c r="F16" s="201"/>
      <c r="G16" s="201"/>
      <c r="H16" s="201"/>
      <c r="I16" s="198" t="str">
        <f>IF(I10="","",IF($BO$6=TRUE,STDEV(I10:P14),STDEV(I10:L14)))</f>
        <v/>
      </c>
      <c r="J16" s="198"/>
      <c r="K16" s="198"/>
      <c r="L16" s="198"/>
      <c r="M16" s="198" t="str">
        <f>IF(M10="","",IF($BO$6=TRUE,"",STDEV(M10:P14)))</f>
        <v/>
      </c>
      <c r="N16" s="198"/>
      <c r="O16" s="198"/>
      <c r="P16" s="198"/>
      <c r="Q16" s="198" t="str">
        <f t="shared" ref="Q16" si="17">IF(Q10="","",STDEV(Q10:T14))</f>
        <v/>
      </c>
      <c r="R16" s="198"/>
      <c r="S16" s="198"/>
      <c r="T16" s="198"/>
      <c r="U16" s="198" t="str">
        <f t="shared" ref="U16" si="18">IF(U10="","",STDEV(U10:X14))</f>
        <v/>
      </c>
      <c r="V16" s="198"/>
      <c r="W16" s="198"/>
      <c r="X16" s="198"/>
      <c r="Y16" s="198" t="str">
        <f t="shared" ref="Y16" si="19">IF(Y10="","",STDEV(Y10:AB14))</f>
        <v/>
      </c>
      <c r="Z16" s="198"/>
      <c r="AA16" s="198"/>
      <c r="AB16" s="198"/>
      <c r="AC16" s="198" t="str">
        <f t="shared" ref="AC16" si="20">IF(AC10="","",STDEV(AC10:AF14))</f>
        <v/>
      </c>
      <c r="AD16" s="198"/>
      <c r="AE16" s="198"/>
      <c r="AF16" s="198"/>
      <c r="AG16" s="198" t="str">
        <f t="shared" ref="AG16" si="21">IF(AG10="","",STDEV(AG10:AJ14))</f>
        <v/>
      </c>
      <c r="AH16" s="198"/>
      <c r="AI16" s="198"/>
      <c r="AJ16" s="198"/>
      <c r="AK16" s="198" t="str">
        <f t="shared" ref="AK16" si="22">IF(AK10="","",STDEV(AK10:AN14))</f>
        <v/>
      </c>
      <c r="AL16" s="198"/>
      <c r="AM16" s="198"/>
      <c r="AN16" s="198"/>
      <c r="AO16" s="198" t="str">
        <f t="shared" ref="AO16" si="23">IF(AO10="","",STDEV(AO10:AR14))</f>
        <v/>
      </c>
      <c r="AP16" s="198"/>
      <c r="AQ16" s="198"/>
      <c r="AR16" s="198"/>
      <c r="AS16" s="198" t="str">
        <f>IF(AS10="","",STDEV(AS10:AV14))</f>
        <v/>
      </c>
      <c r="AT16" s="198"/>
      <c r="AU16" s="198"/>
      <c r="AV16" s="198"/>
      <c r="AW16" s="97"/>
      <c r="AX16" s="97"/>
      <c r="AY16" s="97"/>
      <c r="AZ16" s="97"/>
      <c r="BA16" s="97"/>
    </row>
    <row r="17" spans="1:75" ht="14.85" customHeight="1" thickTop="1">
      <c r="A17" s="109"/>
      <c r="B17" s="110"/>
      <c r="C17" s="110"/>
      <c r="D17" s="110"/>
      <c r="E17" s="119"/>
      <c r="F17" s="119"/>
      <c r="G17" s="119"/>
      <c r="H17" s="119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120"/>
      <c r="AB17" s="120"/>
      <c r="AC17" s="120"/>
      <c r="AD17" s="120"/>
      <c r="AE17" s="120"/>
      <c r="AF17" s="120"/>
      <c r="AG17" s="120"/>
      <c r="AH17" s="120"/>
      <c r="AI17" s="120"/>
      <c r="AJ17" s="120"/>
      <c r="AK17" s="120"/>
      <c r="AL17" s="120"/>
      <c r="AM17" s="120"/>
      <c r="AN17" s="120"/>
      <c r="AO17" s="120"/>
      <c r="AP17" s="120"/>
      <c r="AQ17" s="120"/>
      <c r="AR17" s="120"/>
      <c r="AS17" s="120"/>
      <c r="AT17" s="120"/>
      <c r="AU17" s="120"/>
      <c r="AV17" s="120"/>
      <c r="AW17" s="97"/>
      <c r="AX17" s="97"/>
      <c r="AY17" s="97"/>
      <c r="AZ17" s="97"/>
      <c r="BA17" s="97"/>
    </row>
    <row r="18" spans="1:75" ht="14.85" customHeight="1">
      <c r="A18" s="101"/>
      <c r="B18" s="163" t="s">
        <v>343</v>
      </c>
      <c r="C18" s="101"/>
      <c r="E18" s="101"/>
      <c r="H18" s="103"/>
      <c r="L18" s="101"/>
      <c r="X18" s="101"/>
      <c r="Y18" s="101"/>
      <c r="AB18" s="101"/>
      <c r="AC18" s="101"/>
      <c r="AD18" s="101"/>
      <c r="AE18" s="101"/>
      <c r="AF18" s="101"/>
      <c r="AG18" s="101"/>
      <c r="AH18" s="101"/>
      <c r="AI18" s="101"/>
      <c r="AJ18" s="101"/>
      <c r="AK18" s="101"/>
      <c r="AL18" s="101"/>
      <c r="AM18" s="101"/>
      <c r="AN18" s="101"/>
      <c r="AO18" s="101"/>
      <c r="AP18" s="101"/>
      <c r="AQ18" s="101"/>
      <c r="AR18" s="101"/>
      <c r="AS18" s="101"/>
      <c r="AT18" s="101"/>
      <c r="AU18" s="101"/>
      <c r="AV18" s="101"/>
      <c r="AW18" s="101"/>
      <c r="AX18" s="101"/>
      <c r="AY18" s="101"/>
      <c r="AZ18" s="101"/>
      <c r="BA18" s="101"/>
      <c r="BS18" s="164"/>
    </row>
    <row r="19" spans="1:75" ht="14.85" customHeight="1" thickBot="1">
      <c r="A19" s="104"/>
      <c r="B19" s="272" t="s">
        <v>8</v>
      </c>
      <c r="C19" s="272"/>
      <c r="D19" s="272"/>
      <c r="E19" s="272"/>
      <c r="F19" s="272"/>
      <c r="G19" s="272"/>
      <c r="H19" s="272"/>
      <c r="I19" s="272"/>
      <c r="J19" s="273">
        <f>$J$5</f>
        <v>0</v>
      </c>
      <c r="K19" s="273"/>
      <c r="L19" s="273"/>
      <c r="M19" s="264" t="s">
        <v>90</v>
      </c>
      <c r="N19" s="265"/>
      <c r="O19" s="105"/>
      <c r="P19" s="105"/>
      <c r="Q19" s="105"/>
      <c r="R19" s="105"/>
      <c r="S19" s="105"/>
      <c r="U19" s="101"/>
      <c r="V19" s="101"/>
      <c r="W19" s="101"/>
      <c r="X19" s="101"/>
      <c r="Y19" s="101"/>
      <c r="Z19" s="101"/>
      <c r="AA19" s="97"/>
      <c r="AB19" s="97"/>
      <c r="AC19" s="97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  <c r="AO19" s="97"/>
      <c r="AP19" s="97"/>
      <c r="AQ19" s="97"/>
      <c r="AR19" s="97"/>
      <c r="AS19" s="97"/>
      <c r="AT19" s="97"/>
      <c r="AU19" s="97"/>
      <c r="AV19" s="97"/>
      <c r="AW19" s="97"/>
      <c r="AX19" s="97"/>
      <c r="AY19" s="97"/>
      <c r="AZ19" s="97"/>
      <c r="BA19" s="97"/>
      <c r="BS19" s="164"/>
    </row>
    <row r="20" spans="1:75" ht="14.25" customHeight="1" thickTop="1" thickBot="1">
      <c r="A20" s="106"/>
      <c r="B20" s="266" t="s">
        <v>9</v>
      </c>
      <c r="C20" s="267"/>
      <c r="D20" s="268"/>
      <c r="E20" s="269" t="s">
        <v>35</v>
      </c>
      <c r="F20" s="270"/>
      <c r="G20" s="270"/>
      <c r="H20" s="270"/>
      <c r="I20" s="270"/>
      <c r="J20" s="270"/>
      <c r="K20" s="270"/>
      <c r="L20" s="270"/>
      <c r="M20" s="270"/>
      <c r="N20" s="270"/>
      <c r="O20" s="270"/>
      <c r="P20" s="270"/>
      <c r="Q20" s="270"/>
      <c r="R20" s="270"/>
      <c r="S20" s="270"/>
      <c r="T20" s="270"/>
      <c r="U20" s="270"/>
      <c r="V20" s="270"/>
      <c r="W20" s="270"/>
      <c r="X20" s="270"/>
      <c r="Y20" s="270"/>
      <c r="Z20" s="270"/>
      <c r="AA20" s="270"/>
      <c r="AB20" s="270"/>
      <c r="AC20" s="270"/>
      <c r="AD20" s="270"/>
      <c r="AE20" s="270"/>
      <c r="AF20" s="270"/>
      <c r="AG20" s="270"/>
      <c r="AH20" s="270"/>
      <c r="AI20" s="270"/>
      <c r="AJ20" s="270"/>
      <c r="AK20" s="270"/>
      <c r="AL20" s="270"/>
      <c r="AM20" s="270"/>
      <c r="AN20" s="270"/>
      <c r="AO20" s="270"/>
      <c r="AP20" s="270"/>
      <c r="AQ20" s="270"/>
      <c r="AR20" s="270"/>
      <c r="AS20" s="270"/>
      <c r="AT20" s="270"/>
      <c r="AU20" s="270"/>
      <c r="AV20" s="270"/>
      <c r="AW20" s="270"/>
      <c r="AX20" s="270"/>
      <c r="AY20" s="270"/>
      <c r="AZ20" s="271"/>
      <c r="BA20" s="226" t="s">
        <v>339</v>
      </c>
      <c r="BB20" s="233" t="s">
        <v>340</v>
      </c>
      <c r="BC20" s="233"/>
      <c r="BD20" s="233"/>
      <c r="BE20" s="233"/>
      <c r="BF20" s="233"/>
      <c r="BG20" s="233"/>
      <c r="BH20" s="233"/>
      <c r="BI20" s="233"/>
      <c r="BJ20" s="233"/>
      <c r="BK20" s="233"/>
      <c r="BL20" s="233"/>
      <c r="BM20" s="234"/>
      <c r="BN20" s="97"/>
      <c r="BO20" s="239" t="s">
        <v>341</v>
      </c>
      <c r="BP20" s="233"/>
      <c r="BQ20" s="233"/>
      <c r="BR20" s="234"/>
      <c r="BS20" s="164"/>
    </row>
    <row r="21" spans="1:75" ht="14.25" customHeight="1" thickTop="1">
      <c r="A21" s="106"/>
      <c r="B21" s="242" t="s">
        <v>6</v>
      </c>
      <c r="C21" s="243"/>
      <c r="D21" s="244"/>
      <c r="E21" s="245" t="s">
        <v>342</v>
      </c>
      <c r="F21" s="246"/>
      <c r="G21" s="246"/>
      <c r="H21" s="246"/>
      <c r="I21" s="229" t="str">
        <f>IF($BB$6=TRUE,IF($BO$6=TRUE,"","P1"),IF($BO$6=TRUE,"CH1","P1"))</f>
        <v>P1</v>
      </c>
      <c r="J21" s="230"/>
      <c r="K21" s="230"/>
      <c r="L21" s="230"/>
      <c r="M21" s="229" t="str">
        <f>IF($BB$6=TRUE,IF($BO$6=TRUE,"","P2"),IF($BO$6=TRUE,"CH1","P2"))</f>
        <v>P2</v>
      </c>
      <c r="N21" s="230"/>
      <c r="O21" s="230"/>
      <c r="P21" s="230"/>
      <c r="Q21" s="229" t="str">
        <f>IF($BB$6=TRUE,IF($BO$6=TRUE,"","P3"),IF($BO$6=TRUE,"","P3"))</f>
        <v>P3</v>
      </c>
      <c r="R21" s="230"/>
      <c r="S21" s="230"/>
      <c r="T21" s="230"/>
      <c r="U21" s="229" t="str">
        <f>IF($BB$6=TRUE,IF($BO$6=TRUE,"","P4"),IF($BO$6=TRUE,"","P4"))</f>
        <v>P4</v>
      </c>
      <c r="V21" s="230"/>
      <c r="W21" s="230"/>
      <c r="X21" s="230"/>
      <c r="Y21" s="229" t="str">
        <f>IF($BB$6=TRUE,IF($BO$6=TRUE,"","P5"),IF($BO$6=TRUE,"","P5"))</f>
        <v>P5</v>
      </c>
      <c r="Z21" s="230"/>
      <c r="AA21" s="230"/>
      <c r="AB21" s="230"/>
      <c r="AC21" s="229" t="str">
        <f>IF($BB$6=TRUE,IF($BO$6=TRUE,"","P6"),IF($BO$6=TRUE,"","P6"))</f>
        <v>P6</v>
      </c>
      <c r="AD21" s="230"/>
      <c r="AE21" s="230"/>
      <c r="AF21" s="230"/>
      <c r="AG21" s="229" t="str">
        <f>IF($BB$6=TRUE,IF($BO$6=TRUE,"","P7"),IF($BO$6=TRUE,"","P7"))</f>
        <v>P7</v>
      </c>
      <c r="AH21" s="230"/>
      <c r="AI21" s="230"/>
      <c r="AJ21" s="230"/>
      <c r="AK21" s="229" t="str">
        <f>IF($BB$6=TRUE,IF($BO$6=TRUE,"","P8"),IF($BO$6=TRUE,"","P8"))</f>
        <v>P8</v>
      </c>
      <c r="AL21" s="230"/>
      <c r="AM21" s="230"/>
      <c r="AN21" s="230"/>
      <c r="AO21" s="229" t="str">
        <f>IF($BB$6=TRUE,IF($BO$6=TRUE,"","P9"),IF($BO$6=TRUE,"","P9"))</f>
        <v>P9</v>
      </c>
      <c r="AP21" s="230"/>
      <c r="AQ21" s="230"/>
      <c r="AR21" s="230"/>
      <c r="AS21" s="229" t="str">
        <f>IF($BB$6=TRUE,IF($BO$6=TRUE,"","P10"),IF($BO$6=TRUE,"","P10"))</f>
        <v>P10</v>
      </c>
      <c r="AT21" s="230"/>
      <c r="AU21" s="230"/>
      <c r="AV21" s="230"/>
      <c r="AW21" s="245" t="s">
        <v>342</v>
      </c>
      <c r="AX21" s="246"/>
      <c r="AY21" s="246"/>
      <c r="AZ21" s="249"/>
      <c r="BA21" s="227"/>
      <c r="BB21" s="235"/>
      <c r="BC21" s="235"/>
      <c r="BD21" s="235"/>
      <c r="BE21" s="235"/>
      <c r="BF21" s="235"/>
      <c r="BG21" s="235"/>
      <c r="BH21" s="235"/>
      <c r="BI21" s="235"/>
      <c r="BJ21" s="235"/>
      <c r="BK21" s="235"/>
      <c r="BL21" s="235"/>
      <c r="BM21" s="236"/>
      <c r="BN21" s="97"/>
      <c r="BO21" s="240"/>
      <c r="BP21" s="235"/>
      <c r="BQ21" s="235"/>
      <c r="BR21" s="236"/>
    </row>
    <row r="22" spans="1:75" ht="14.25" customHeight="1" thickBot="1">
      <c r="A22" s="107"/>
      <c r="B22" s="251" t="s">
        <v>0</v>
      </c>
      <c r="C22" s="252"/>
      <c r="D22" s="253"/>
      <c r="E22" s="247"/>
      <c r="F22" s="248"/>
      <c r="G22" s="248"/>
      <c r="H22" s="248"/>
      <c r="I22" s="231"/>
      <c r="J22" s="232"/>
      <c r="K22" s="232"/>
      <c r="L22" s="232"/>
      <c r="M22" s="231"/>
      <c r="N22" s="232"/>
      <c r="O22" s="232"/>
      <c r="P22" s="232"/>
      <c r="Q22" s="231"/>
      <c r="R22" s="232"/>
      <c r="S22" s="232"/>
      <c r="T22" s="232"/>
      <c r="U22" s="231"/>
      <c r="V22" s="232"/>
      <c r="W22" s="232"/>
      <c r="X22" s="232"/>
      <c r="Y22" s="231"/>
      <c r="Z22" s="232"/>
      <c r="AA22" s="232"/>
      <c r="AB22" s="232"/>
      <c r="AC22" s="231"/>
      <c r="AD22" s="232"/>
      <c r="AE22" s="232"/>
      <c r="AF22" s="232"/>
      <c r="AG22" s="231"/>
      <c r="AH22" s="232"/>
      <c r="AI22" s="232"/>
      <c r="AJ22" s="232"/>
      <c r="AK22" s="231"/>
      <c r="AL22" s="232"/>
      <c r="AM22" s="232"/>
      <c r="AN22" s="232"/>
      <c r="AO22" s="231"/>
      <c r="AP22" s="232"/>
      <c r="AQ22" s="232"/>
      <c r="AR22" s="232"/>
      <c r="AS22" s="231"/>
      <c r="AT22" s="232"/>
      <c r="AU22" s="232"/>
      <c r="AV22" s="232"/>
      <c r="AW22" s="247"/>
      <c r="AX22" s="248"/>
      <c r="AY22" s="248"/>
      <c r="AZ22" s="250"/>
      <c r="BA22" s="227"/>
      <c r="BB22" s="237"/>
      <c r="BC22" s="237"/>
      <c r="BD22" s="237"/>
      <c r="BE22" s="237"/>
      <c r="BF22" s="237"/>
      <c r="BG22" s="237"/>
      <c r="BH22" s="237"/>
      <c r="BI22" s="237"/>
      <c r="BJ22" s="237"/>
      <c r="BK22" s="237"/>
      <c r="BL22" s="237"/>
      <c r="BM22" s="238"/>
      <c r="BN22" s="97"/>
      <c r="BO22" s="241"/>
      <c r="BP22" s="237"/>
      <c r="BQ22" s="237"/>
      <c r="BR22" s="238"/>
    </row>
    <row r="23" spans="1:75" ht="14.85" customHeight="1" thickTop="1" thickBot="1">
      <c r="A23" s="107"/>
      <c r="B23" s="254" t="s">
        <v>11</v>
      </c>
      <c r="C23" s="255"/>
      <c r="D23" s="256"/>
      <c r="E23" s="257" t="s">
        <v>91</v>
      </c>
      <c r="F23" s="258"/>
      <c r="G23" s="258"/>
      <c r="H23" s="259"/>
      <c r="I23" s="257" t="s">
        <v>91</v>
      </c>
      <c r="J23" s="258"/>
      <c r="K23" s="258"/>
      <c r="L23" s="259"/>
      <c r="M23" s="257" t="s">
        <v>91</v>
      </c>
      <c r="N23" s="258"/>
      <c r="O23" s="258"/>
      <c r="P23" s="259"/>
      <c r="Q23" s="257" t="s">
        <v>91</v>
      </c>
      <c r="R23" s="258"/>
      <c r="S23" s="258"/>
      <c r="T23" s="259"/>
      <c r="U23" s="257" t="s">
        <v>91</v>
      </c>
      <c r="V23" s="258"/>
      <c r="W23" s="258"/>
      <c r="X23" s="259"/>
      <c r="Y23" s="257" t="s">
        <v>91</v>
      </c>
      <c r="Z23" s="258"/>
      <c r="AA23" s="258"/>
      <c r="AB23" s="259"/>
      <c r="AC23" s="257" t="s">
        <v>91</v>
      </c>
      <c r="AD23" s="258"/>
      <c r="AE23" s="258"/>
      <c r="AF23" s="259"/>
      <c r="AG23" s="257" t="s">
        <v>91</v>
      </c>
      <c r="AH23" s="258"/>
      <c r="AI23" s="258"/>
      <c r="AJ23" s="259"/>
      <c r="AK23" s="257" t="s">
        <v>91</v>
      </c>
      <c r="AL23" s="258"/>
      <c r="AM23" s="258"/>
      <c r="AN23" s="259"/>
      <c r="AO23" s="257" t="s">
        <v>91</v>
      </c>
      <c r="AP23" s="258"/>
      <c r="AQ23" s="258"/>
      <c r="AR23" s="259"/>
      <c r="AS23" s="257" t="s">
        <v>91</v>
      </c>
      <c r="AT23" s="258"/>
      <c r="AU23" s="258"/>
      <c r="AV23" s="259"/>
      <c r="AW23" s="257" t="s">
        <v>91</v>
      </c>
      <c r="AX23" s="258"/>
      <c r="AY23" s="258"/>
      <c r="AZ23" s="259"/>
      <c r="BA23" s="227"/>
      <c r="BB23" s="158" t="s">
        <v>342</v>
      </c>
      <c r="BC23" s="158" t="s">
        <v>180</v>
      </c>
      <c r="BD23" s="158" t="s">
        <v>181</v>
      </c>
      <c r="BE23" s="158" t="s">
        <v>182</v>
      </c>
      <c r="BF23" s="158" t="s">
        <v>183</v>
      </c>
      <c r="BG23" s="158" t="s">
        <v>184</v>
      </c>
      <c r="BH23" s="158" t="s">
        <v>185</v>
      </c>
      <c r="BI23" s="158" t="s">
        <v>186</v>
      </c>
      <c r="BJ23" s="158" t="s">
        <v>187</v>
      </c>
      <c r="BK23" s="158" t="s">
        <v>188</v>
      </c>
      <c r="BL23" s="158" t="s">
        <v>189</v>
      </c>
      <c r="BM23" s="158" t="s">
        <v>342</v>
      </c>
      <c r="BN23" s="159"/>
      <c r="BO23" s="158" t="s">
        <v>342</v>
      </c>
      <c r="BP23" s="158" t="s">
        <v>10</v>
      </c>
      <c r="BQ23" s="158" t="s">
        <v>10</v>
      </c>
      <c r="BR23" s="158" t="s">
        <v>342</v>
      </c>
    </row>
    <row r="24" spans="1:75" ht="14.1" customHeight="1" thickTop="1">
      <c r="A24" s="108"/>
      <c r="B24" s="260" t="s">
        <v>92</v>
      </c>
      <c r="C24" s="261"/>
      <c r="D24" s="262"/>
      <c r="E24" s="225" t="str">
        <f>IF($BB$6=TRUE,IF($BO$6=TRUE,"",BB24),IF($BO$6=TRUE,BO24,""))</f>
        <v/>
      </c>
      <c r="F24" s="225"/>
      <c r="G24" s="225"/>
      <c r="H24" s="225"/>
      <c r="I24" s="224" t="str">
        <f>IF($BB$6=TRUE,IF($BO$6=TRUE,"",BC24),IF($BO$6=TRUE,BP24,""))</f>
        <v/>
      </c>
      <c r="J24" s="224"/>
      <c r="K24" s="224"/>
      <c r="L24" s="224"/>
      <c r="M24" s="224" t="str">
        <f>IF($BB$6=TRUE,IF($BO$6=TRUE,"",BD24),IF($BO$6=TRUE,BQ24,""))</f>
        <v/>
      </c>
      <c r="N24" s="224"/>
      <c r="O24" s="224"/>
      <c r="P24" s="224"/>
      <c r="Q24" s="224" t="str">
        <f>IF($BB$6=TRUE,IF($BO$6=TRUE,"",BE24),IF($BO$6=TRUE,"",""))</f>
        <v/>
      </c>
      <c r="R24" s="224"/>
      <c r="S24" s="224"/>
      <c r="T24" s="224"/>
      <c r="U24" s="224" t="str">
        <f>IF($BB$6=TRUE,IF($BO$6=TRUE,"",BF24),IF($BO$6=TRUE,"",""))</f>
        <v/>
      </c>
      <c r="V24" s="224"/>
      <c r="W24" s="224"/>
      <c r="X24" s="224"/>
      <c r="Y24" s="224" t="str">
        <f>IF($BB$6=TRUE,IF($BO$6=TRUE,"",BG24),IF($BO$6=TRUE,"",""))</f>
        <v/>
      </c>
      <c r="Z24" s="224"/>
      <c r="AA24" s="224"/>
      <c r="AB24" s="224"/>
      <c r="AC24" s="224" t="str">
        <f>IF($BB$6=TRUE,IF($BO$6=TRUE,"",BH24),IF($BO$6=TRUE,"",""))</f>
        <v/>
      </c>
      <c r="AD24" s="224"/>
      <c r="AE24" s="224"/>
      <c r="AF24" s="224"/>
      <c r="AG24" s="224" t="str">
        <f>IF($BB$6=TRUE,IF($BO$6=TRUE,"",BI24),IF($BO$6=TRUE,"",""))</f>
        <v/>
      </c>
      <c r="AH24" s="224"/>
      <c r="AI24" s="224"/>
      <c r="AJ24" s="224"/>
      <c r="AK24" s="224" t="str">
        <f>IF($BB$6=TRUE,IF($BO$6=TRUE,"",BJ24),IF($BO$6=TRUE,"",""))</f>
        <v/>
      </c>
      <c r="AL24" s="224"/>
      <c r="AM24" s="224"/>
      <c r="AN24" s="224"/>
      <c r="AO24" s="224" t="str">
        <f>IF($BB$6=TRUE,IF($BO$6=TRUE,"",BK24),IF($BO$6=TRUE,"",""))</f>
        <v/>
      </c>
      <c r="AP24" s="224"/>
      <c r="AQ24" s="224"/>
      <c r="AR24" s="224"/>
      <c r="AS24" s="224" t="str">
        <f>IF($BB$6=TRUE,IF($BO$6=TRUE,"",BL24),IF($BO$6=TRUE,"",""))</f>
        <v/>
      </c>
      <c r="AT24" s="224"/>
      <c r="AU24" s="224"/>
      <c r="AV24" s="224"/>
      <c r="AW24" s="225" t="str">
        <f>IF($BB$6=TRUE,IF($BO$6=TRUE,"",BM24),IF($BO$6=TRUE,BR24,""))</f>
        <v/>
      </c>
      <c r="AX24" s="225"/>
      <c r="AY24" s="225"/>
      <c r="AZ24" s="225"/>
      <c r="BA24" s="227"/>
      <c r="BB24" s="174"/>
      <c r="BC24" s="175"/>
      <c r="BD24" s="175"/>
      <c r="BE24" s="175"/>
      <c r="BF24" s="175"/>
      <c r="BG24" s="175"/>
      <c r="BH24" s="175"/>
      <c r="BI24" s="175"/>
      <c r="BJ24" s="175"/>
      <c r="BK24" s="175"/>
      <c r="BL24" s="175"/>
      <c r="BM24" s="174"/>
      <c r="BN24" s="168"/>
      <c r="BO24" s="174"/>
      <c r="BP24" s="175"/>
      <c r="BQ24" s="175"/>
      <c r="BR24" s="174"/>
      <c r="BT24" s="165"/>
      <c r="BU24" s="166"/>
      <c r="BV24" s="166"/>
      <c r="BW24" s="165"/>
    </row>
    <row r="25" spans="1:75" ht="14.1" customHeight="1">
      <c r="A25" s="108"/>
      <c r="B25" s="216" t="s">
        <v>93</v>
      </c>
      <c r="C25" s="217"/>
      <c r="D25" s="218"/>
      <c r="E25" s="219" t="str">
        <f t="shared" ref="E25:E28" si="24">IF($BB$6=TRUE,IF($BO$6=TRUE,"",BB25),IF($BO$6=TRUE,BO25,""))</f>
        <v/>
      </c>
      <c r="F25" s="219"/>
      <c r="G25" s="219"/>
      <c r="H25" s="219"/>
      <c r="I25" s="220" t="str">
        <f t="shared" ref="I25:I28" si="25">IF($BB$6=TRUE,IF($BO$6=TRUE,"",BC25),IF($BO$6=TRUE,BP25,""))</f>
        <v/>
      </c>
      <c r="J25" s="220"/>
      <c r="K25" s="220"/>
      <c r="L25" s="220"/>
      <c r="M25" s="220" t="str">
        <f t="shared" ref="M25:M28" si="26">IF($BB$6=TRUE,IF($BO$6=TRUE,"",BD25),IF($BO$6=TRUE,BQ25,""))</f>
        <v/>
      </c>
      <c r="N25" s="220"/>
      <c r="O25" s="220"/>
      <c r="P25" s="220"/>
      <c r="Q25" s="220" t="str">
        <f>IF($BB$6=TRUE,IF($BO$6=TRUE,"",BE25),IF($BO$6=TRUE,"",""))</f>
        <v/>
      </c>
      <c r="R25" s="220"/>
      <c r="S25" s="220"/>
      <c r="T25" s="220"/>
      <c r="U25" s="220" t="str">
        <f t="shared" ref="U25:U28" si="27">IF($BB$6=TRUE,IF($BO$6=TRUE,"",BF25),IF($BO$6=TRUE,"",""))</f>
        <v/>
      </c>
      <c r="V25" s="220"/>
      <c r="W25" s="220"/>
      <c r="X25" s="220"/>
      <c r="Y25" s="220" t="str">
        <f t="shared" ref="Y25:Y28" si="28">IF($BB$6=TRUE,IF($BO$6=TRUE,"",BG25),IF($BO$6=TRUE,"",""))</f>
        <v/>
      </c>
      <c r="Z25" s="220"/>
      <c r="AA25" s="220"/>
      <c r="AB25" s="220"/>
      <c r="AC25" s="220" t="str">
        <f t="shared" ref="AC25:AC28" si="29">IF($BB$6=TRUE,IF($BO$6=TRUE,"",BH25),IF($BO$6=TRUE,"",""))</f>
        <v/>
      </c>
      <c r="AD25" s="220"/>
      <c r="AE25" s="220"/>
      <c r="AF25" s="220"/>
      <c r="AG25" s="220" t="str">
        <f t="shared" ref="AG25:AG28" si="30">IF($BB$6=TRUE,IF($BO$6=TRUE,"",BI25),IF($BO$6=TRUE,"",""))</f>
        <v/>
      </c>
      <c r="AH25" s="220"/>
      <c r="AI25" s="220"/>
      <c r="AJ25" s="220"/>
      <c r="AK25" s="220" t="str">
        <f t="shared" ref="AK25:AK28" si="31">IF($BB$6=TRUE,IF($BO$6=TRUE,"",BJ25),IF($BO$6=TRUE,"",""))</f>
        <v/>
      </c>
      <c r="AL25" s="220"/>
      <c r="AM25" s="220"/>
      <c r="AN25" s="220"/>
      <c r="AO25" s="220" t="str">
        <f t="shared" ref="AO25:AO28" si="32">IF($BB$6=TRUE,IF($BO$6=TRUE,"",BK25),IF($BO$6=TRUE,"",""))</f>
        <v/>
      </c>
      <c r="AP25" s="220"/>
      <c r="AQ25" s="220"/>
      <c r="AR25" s="220"/>
      <c r="AS25" s="220" t="str">
        <f t="shared" ref="AS25:AS28" si="33">IF($BB$6=TRUE,IF($BO$6=TRUE,"",BL25),IF($BO$6=TRUE,"",""))</f>
        <v/>
      </c>
      <c r="AT25" s="220"/>
      <c r="AU25" s="220"/>
      <c r="AV25" s="220"/>
      <c r="AW25" s="221" t="str">
        <f t="shared" ref="AW25:AW28" si="34">IF($BB$6=TRUE,IF($BO$6=TRUE,"",BM25),IF($BO$6=TRUE,BR25,""))</f>
        <v/>
      </c>
      <c r="AX25" s="222"/>
      <c r="AY25" s="222"/>
      <c r="AZ25" s="223"/>
      <c r="BA25" s="227"/>
      <c r="BB25" s="174"/>
      <c r="BC25" s="175"/>
      <c r="BD25" s="175"/>
      <c r="BE25" s="175"/>
      <c r="BF25" s="175"/>
      <c r="BG25" s="175"/>
      <c r="BH25" s="175"/>
      <c r="BI25" s="175"/>
      <c r="BJ25" s="175"/>
      <c r="BK25" s="175"/>
      <c r="BL25" s="175"/>
      <c r="BM25" s="174"/>
      <c r="BN25" s="168"/>
      <c r="BO25" s="174"/>
      <c r="BP25" s="175"/>
      <c r="BQ25" s="175"/>
      <c r="BR25" s="174"/>
      <c r="BT25" s="165"/>
      <c r="BU25" s="166"/>
      <c r="BV25" s="166"/>
      <c r="BW25" s="165"/>
    </row>
    <row r="26" spans="1:75" ht="14.1" customHeight="1">
      <c r="A26" s="108"/>
      <c r="B26" s="216" t="s">
        <v>94</v>
      </c>
      <c r="C26" s="217"/>
      <c r="D26" s="218"/>
      <c r="E26" s="219" t="str">
        <f t="shared" si="24"/>
        <v/>
      </c>
      <c r="F26" s="219"/>
      <c r="G26" s="219"/>
      <c r="H26" s="219"/>
      <c r="I26" s="220" t="str">
        <f t="shared" si="25"/>
        <v/>
      </c>
      <c r="J26" s="220"/>
      <c r="K26" s="220"/>
      <c r="L26" s="220"/>
      <c r="M26" s="220" t="str">
        <f t="shared" si="26"/>
        <v/>
      </c>
      <c r="N26" s="220"/>
      <c r="O26" s="220"/>
      <c r="P26" s="220"/>
      <c r="Q26" s="220" t="str">
        <f t="shared" ref="Q26:Q28" si="35">IF($BB$6=TRUE,IF($BO$6=TRUE,"",BE26),IF($BO$6=TRUE,"",""))</f>
        <v/>
      </c>
      <c r="R26" s="220"/>
      <c r="S26" s="220"/>
      <c r="T26" s="220"/>
      <c r="U26" s="220" t="str">
        <f t="shared" si="27"/>
        <v/>
      </c>
      <c r="V26" s="220"/>
      <c r="W26" s="220"/>
      <c r="X26" s="220"/>
      <c r="Y26" s="220" t="str">
        <f t="shared" si="28"/>
        <v/>
      </c>
      <c r="Z26" s="220"/>
      <c r="AA26" s="220"/>
      <c r="AB26" s="220"/>
      <c r="AC26" s="220" t="str">
        <f t="shared" si="29"/>
        <v/>
      </c>
      <c r="AD26" s="220"/>
      <c r="AE26" s="220"/>
      <c r="AF26" s="220"/>
      <c r="AG26" s="220" t="str">
        <f t="shared" si="30"/>
        <v/>
      </c>
      <c r="AH26" s="220"/>
      <c r="AI26" s="220"/>
      <c r="AJ26" s="220"/>
      <c r="AK26" s="220" t="str">
        <f t="shared" si="31"/>
        <v/>
      </c>
      <c r="AL26" s="220"/>
      <c r="AM26" s="220"/>
      <c r="AN26" s="220"/>
      <c r="AO26" s="220" t="str">
        <f t="shared" si="32"/>
        <v/>
      </c>
      <c r="AP26" s="220"/>
      <c r="AQ26" s="220"/>
      <c r="AR26" s="220"/>
      <c r="AS26" s="220" t="str">
        <f t="shared" si="33"/>
        <v/>
      </c>
      <c r="AT26" s="220"/>
      <c r="AU26" s="220"/>
      <c r="AV26" s="220"/>
      <c r="AW26" s="221" t="str">
        <f t="shared" si="34"/>
        <v/>
      </c>
      <c r="AX26" s="222"/>
      <c r="AY26" s="222"/>
      <c r="AZ26" s="223"/>
      <c r="BA26" s="227"/>
      <c r="BB26" s="174"/>
      <c r="BC26" s="175"/>
      <c r="BD26" s="175"/>
      <c r="BE26" s="175"/>
      <c r="BF26" s="175"/>
      <c r="BG26" s="175"/>
      <c r="BH26" s="175"/>
      <c r="BI26" s="175"/>
      <c r="BJ26" s="175"/>
      <c r="BK26" s="175"/>
      <c r="BL26" s="175"/>
      <c r="BM26" s="174"/>
      <c r="BN26" s="168"/>
      <c r="BO26" s="174"/>
      <c r="BP26" s="175"/>
      <c r="BQ26" s="175"/>
      <c r="BR26" s="174"/>
      <c r="BT26" s="165"/>
      <c r="BU26" s="166"/>
      <c r="BV26" s="166"/>
      <c r="BW26" s="165"/>
    </row>
    <row r="27" spans="1:75" ht="14.1" customHeight="1">
      <c r="A27" s="108"/>
      <c r="B27" s="216" t="s">
        <v>95</v>
      </c>
      <c r="C27" s="217"/>
      <c r="D27" s="218"/>
      <c r="E27" s="219" t="str">
        <f t="shared" si="24"/>
        <v/>
      </c>
      <c r="F27" s="219"/>
      <c r="G27" s="219"/>
      <c r="H27" s="219"/>
      <c r="I27" s="220" t="str">
        <f t="shared" si="25"/>
        <v/>
      </c>
      <c r="J27" s="220"/>
      <c r="K27" s="220"/>
      <c r="L27" s="220"/>
      <c r="M27" s="220" t="str">
        <f t="shared" si="26"/>
        <v/>
      </c>
      <c r="N27" s="220"/>
      <c r="O27" s="220"/>
      <c r="P27" s="220"/>
      <c r="Q27" s="220" t="str">
        <f t="shared" si="35"/>
        <v/>
      </c>
      <c r="R27" s="220"/>
      <c r="S27" s="220"/>
      <c r="T27" s="220"/>
      <c r="U27" s="220" t="str">
        <f t="shared" si="27"/>
        <v/>
      </c>
      <c r="V27" s="220"/>
      <c r="W27" s="220"/>
      <c r="X27" s="220"/>
      <c r="Y27" s="220" t="str">
        <f t="shared" si="28"/>
        <v/>
      </c>
      <c r="Z27" s="220"/>
      <c r="AA27" s="220"/>
      <c r="AB27" s="220"/>
      <c r="AC27" s="220" t="str">
        <f t="shared" si="29"/>
        <v/>
      </c>
      <c r="AD27" s="220"/>
      <c r="AE27" s="220"/>
      <c r="AF27" s="220"/>
      <c r="AG27" s="220" t="str">
        <f>IF($BB$6=TRUE,IF($BO$6=TRUE,"",BI27),IF($BO$6=TRUE,"",""))</f>
        <v/>
      </c>
      <c r="AH27" s="220"/>
      <c r="AI27" s="220"/>
      <c r="AJ27" s="220"/>
      <c r="AK27" s="220" t="str">
        <f t="shared" si="31"/>
        <v/>
      </c>
      <c r="AL27" s="220"/>
      <c r="AM27" s="220"/>
      <c r="AN27" s="220"/>
      <c r="AO27" s="220" t="str">
        <f t="shared" si="32"/>
        <v/>
      </c>
      <c r="AP27" s="220"/>
      <c r="AQ27" s="220"/>
      <c r="AR27" s="220"/>
      <c r="AS27" s="220" t="str">
        <f t="shared" si="33"/>
        <v/>
      </c>
      <c r="AT27" s="220"/>
      <c r="AU27" s="220"/>
      <c r="AV27" s="220"/>
      <c r="AW27" s="221" t="str">
        <f t="shared" si="34"/>
        <v/>
      </c>
      <c r="AX27" s="222"/>
      <c r="AY27" s="222"/>
      <c r="AZ27" s="223"/>
      <c r="BA27" s="227"/>
      <c r="BB27" s="174"/>
      <c r="BC27" s="175"/>
      <c r="BD27" s="175"/>
      <c r="BE27" s="175"/>
      <c r="BF27" s="175"/>
      <c r="BG27" s="175"/>
      <c r="BH27" s="175"/>
      <c r="BI27" s="175"/>
      <c r="BJ27" s="175"/>
      <c r="BK27" s="175"/>
      <c r="BL27" s="175"/>
      <c r="BM27" s="174"/>
      <c r="BN27" s="168"/>
      <c r="BO27" s="174"/>
      <c r="BP27" s="175"/>
      <c r="BQ27" s="175"/>
      <c r="BR27" s="174"/>
      <c r="BT27" s="165"/>
      <c r="BU27" s="166"/>
      <c r="BV27" s="166"/>
      <c r="BW27" s="165"/>
    </row>
    <row r="28" spans="1:75" ht="14.1" customHeight="1" thickBot="1">
      <c r="A28" s="108"/>
      <c r="B28" s="206" t="s">
        <v>96</v>
      </c>
      <c r="C28" s="207"/>
      <c r="D28" s="208"/>
      <c r="E28" s="209" t="str">
        <f t="shared" si="24"/>
        <v/>
      </c>
      <c r="F28" s="209"/>
      <c r="G28" s="209"/>
      <c r="H28" s="209"/>
      <c r="I28" s="210" t="str">
        <f t="shared" si="25"/>
        <v/>
      </c>
      <c r="J28" s="210"/>
      <c r="K28" s="210"/>
      <c r="L28" s="210"/>
      <c r="M28" s="210" t="str">
        <f t="shared" si="26"/>
        <v/>
      </c>
      <c r="N28" s="210"/>
      <c r="O28" s="210"/>
      <c r="P28" s="210"/>
      <c r="Q28" s="210" t="str">
        <f t="shared" si="35"/>
        <v/>
      </c>
      <c r="R28" s="210"/>
      <c r="S28" s="210"/>
      <c r="T28" s="210"/>
      <c r="U28" s="210" t="str">
        <f t="shared" si="27"/>
        <v/>
      </c>
      <c r="V28" s="210"/>
      <c r="W28" s="210"/>
      <c r="X28" s="210"/>
      <c r="Y28" s="210" t="str">
        <f t="shared" si="28"/>
        <v/>
      </c>
      <c r="Z28" s="210"/>
      <c r="AA28" s="210"/>
      <c r="AB28" s="210"/>
      <c r="AC28" s="210" t="str">
        <f t="shared" si="29"/>
        <v/>
      </c>
      <c r="AD28" s="210"/>
      <c r="AE28" s="210"/>
      <c r="AF28" s="210"/>
      <c r="AG28" s="210" t="str">
        <f t="shared" si="30"/>
        <v/>
      </c>
      <c r="AH28" s="210"/>
      <c r="AI28" s="210"/>
      <c r="AJ28" s="210"/>
      <c r="AK28" s="210" t="str">
        <f t="shared" si="31"/>
        <v/>
      </c>
      <c r="AL28" s="210"/>
      <c r="AM28" s="210"/>
      <c r="AN28" s="210"/>
      <c r="AO28" s="210" t="str">
        <f t="shared" si="32"/>
        <v/>
      </c>
      <c r="AP28" s="210"/>
      <c r="AQ28" s="210"/>
      <c r="AR28" s="210"/>
      <c r="AS28" s="210" t="str">
        <f t="shared" si="33"/>
        <v/>
      </c>
      <c r="AT28" s="210"/>
      <c r="AU28" s="210"/>
      <c r="AV28" s="210"/>
      <c r="AW28" s="211" t="str">
        <f t="shared" si="34"/>
        <v/>
      </c>
      <c r="AX28" s="212"/>
      <c r="AY28" s="212"/>
      <c r="AZ28" s="213"/>
      <c r="BA28" s="228"/>
      <c r="BB28" s="174"/>
      <c r="BC28" s="175"/>
      <c r="BD28" s="175"/>
      <c r="BE28" s="175"/>
      <c r="BF28" s="175"/>
      <c r="BG28" s="175"/>
      <c r="BH28" s="175"/>
      <c r="BI28" s="175"/>
      <c r="BJ28" s="175"/>
      <c r="BK28" s="175"/>
      <c r="BL28" s="175"/>
      <c r="BM28" s="174"/>
      <c r="BN28" s="168"/>
      <c r="BO28" s="174"/>
      <c r="BP28" s="175"/>
      <c r="BQ28" s="175"/>
      <c r="BR28" s="174"/>
      <c r="BT28" s="165"/>
      <c r="BU28" s="166"/>
      <c r="BV28" s="166"/>
      <c r="BW28" s="165"/>
    </row>
    <row r="29" spans="1:75" ht="14.85" customHeight="1" thickTop="1">
      <c r="A29" s="109"/>
      <c r="B29" s="214" t="s">
        <v>48</v>
      </c>
      <c r="C29" s="214"/>
      <c r="D29" s="214"/>
      <c r="E29" s="215" t="str">
        <f>IF(E24="","",AVERAGE(E24:H28,AW24:AZ28))</f>
        <v/>
      </c>
      <c r="F29" s="215"/>
      <c r="G29" s="215"/>
      <c r="H29" s="215"/>
      <c r="I29" s="199" t="str">
        <f>IF(I24="","",IF($BO$6=TRUE,AVERAGE(I24:P28),AVERAGE(I24:L28)))</f>
        <v/>
      </c>
      <c r="J29" s="199"/>
      <c r="K29" s="199"/>
      <c r="L29" s="199"/>
      <c r="M29" s="199" t="str">
        <f>IF(M24="","",IF($BO$6=TRUE,"",AVERAGE(M24:P28)))</f>
        <v/>
      </c>
      <c r="N29" s="199"/>
      <c r="O29" s="199"/>
      <c r="P29" s="199"/>
      <c r="Q29" s="199" t="str">
        <f t="shared" ref="Q29" si="36">IF(Q24="","",AVERAGE(Q24:T28))</f>
        <v/>
      </c>
      <c r="R29" s="199"/>
      <c r="S29" s="199"/>
      <c r="T29" s="199"/>
      <c r="U29" s="199" t="str">
        <f t="shared" ref="U29" si="37">IF(U24="","",AVERAGE(U24:X28))</f>
        <v/>
      </c>
      <c r="V29" s="199"/>
      <c r="W29" s="199"/>
      <c r="X29" s="199"/>
      <c r="Y29" s="199" t="str">
        <f t="shared" ref="Y29" si="38">IF(Y24="","",AVERAGE(Y24:AB28))</f>
        <v/>
      </c>
      <c r="Z29" s="199"/>
      <c r="AA29" s="199"/>
      <c r="AB29" s="199"/>
      <c r="AC29" s="199" t="str">
        <f t="shared" ref="AC29" si="39">IF(AC24="","",AVERAGE(AC24:AF28))</f>
        <v/>
      </c>
      <c r="AD29" s="199"/>
      <c r="AE29" s="199"/>
      <c r="AF29" s="199"/>
      <c r="AG29" s="199" t="str">
        <f t="shared" ref="AG29" si="40">IF(AG24="","",AVERAGE(AG24:AJ28))</f>
        <v/>
      </c>
      <c r="AH29" s="199"/>
      <c r="AI29" s="199"/>
      <c r="AJ29" s="199"/>
      <c r="AK29" s="199" t="str">
        <f t="shared" ref="AK29" si="41">IF(AK24="","",AVERAGE(AK24:AN28))</f>
        <v/>
      </c>
      <c r="AL29" s="199"/>
      <c r="AM29" s="199"/>
      <c r="AN29" s="199"/>
      <c r="AO29" s="199" t="str">
        <f t="shared" ref="AO29" si="42">IF(AO24="","",AVERAGE(AO24:AR28))</f>
        <v/>
      </c>
      <c r="AP29" s="199"/>
      <c r="AQ29" s="199"/>
      <c r="AR29" s="199"/>
      <c r="AS29" s="199" t="str">
        <f>IF(AS24="","",AVERAGE(AS24:AV28))</f>
        <v/>
      </c>
      <c r="AT29" s="199"/>
      <c r="AU29" s="199"/>
      <c r="AV29" s="199"/>
      <c r="AW29" s="97"/>
      <c r="AX29" s="97"/>
      <c r="AY29" s="97"/>
      <c r="AZ29" s="97"/>
      <c r="BA29" s="97"/>
      <c r="BO29" s="95"/>
      <c r="BP29" s="95"/>
      <c r="BQ29" s="95"/>
      <c r="BR29" s="95"/>
    </row>
    <row r="30" spans="1:75" ht="14.85" customHeight="1" thickBot="1">
      <c r="A30" s="109"/>
      <c r="B30" s="200" t="s">
        <v>49</v>
      </c>
      <c r="C30" s="200"/>
      <c r="D30" s="200"/>
      <c r="E30" s="201" t="str">
        <f>IF(E24="","",STDEV(AW24:AZ28,E24:H28))</f>
        <v/>
      </c>
      <c r="F30" s="201"/>
      <c r="G30" s="201"/>
      <c r="H30" s="201"/>
      <c r="I30" s="198" t="str">
        <f>IF(I24="","",IF($BO$6=TRUE,STDEV(I24:P28),STDEV(I24:L28)))</f>
        <v/>
      </c>
      <c r="J30" s="198"/>
      <c r="K30" s="198"/>
      <c r="L30" s="198"/>
      <c r="M30" s="198" t="str">
        <f>IF(M24="","",IF($BO$6=TRUE,"",STDEV(M24:P28)))</f>
        <v/>
      </c>
      <c r="N30" s="198"/>
      <c r="O30" s="198"/>
      <c r="P30" s="198"/>
      <c r="Q30" s="198" t="str">
        <f t="shared" ref="Q30" si="43">IF(Q24="","",STDEV(Q24:T28))</f>
        <v/>
      </c>
      <c r="R30" s="198"/>
      <c r="S30" s="198"/>
      <c r="T30" s="198"/>
      <c r="U30" s="198" t="str">
        <f t="shared" ref="U30" si="44">IF(U24="","",STDEV(U24:X28))</f>
        <v/>
      </c>
      <c r="V30" s="198"/>
      <c r="W30" s="198"/>
      <c r="X30" s="198"/>
      <c r="Y30" s="198" t="str">
        <f t="shared" ref="Y30" si="45">IF(Y24="","",STDEV(Y24:AB28))</f>
        <v/>
      </c>
      <c r="Z30" s="198"/>
      <c r="AA30" s="198"/>
      <c r="AB30" s="198"/>
      <c r="AC30" s="198" t="str">
        <f t="shared" ref="AC30" si="46">IF(AC24="","",STDEV(AC24:AF28))</f>
        <v/>
      </c>
      <c r="AD30" s="198"/>
      <c r="AE30" s="198"/>
      <c r="AF30" s="198"/>
      <c r="AG30" s="198" t="str">
        <f t="shared" ref="AG30" si="47">IF(AG24="","",STDEV(AG24:AJ28))</f>
        <v/>
      </c>
      <c r="AH30" s="198"/>
      <c r="AI30" s="198"/>
      <c r="AJ30" s="198"/>
      <c r="AK30" s="198" t="str">
        <f t="shared" ref="AK30" si="48">IF(AK24="","",STDEV(AK24:AN28))</f>
        <v/>
      </c>
      <c r="AL30" s="198"/>
      <c r="AM30" s="198"/>
      <c r="AN30" s="198"/>
      <c r="AO30" s="198" t="str">
        <f t="shared" ref="AO30" si="49">IF(AO24="","",STDEV(AO24:AR28))</f>
        <v/>
      </c>
      <c r="AP30" s="198"/>
      <c r="AQ30" s="198"/>
      <c r="AR30" s="198"/>
      <c r="AS30" s="198" t="str">
        <f>IF(AS24="","",STDEV(AS24:AV28))</f>
        <v/>
      </c>
      <c r="AT30" s="198"/>
      <c r="AU30" s="198"/>
      <c r="AV30" s="198"/>
      <c r="AW30" s="97"/>
      <c r="AX30" s="97"/>
      <c r="AY30" s="97"/>
      <c r="AZ30" s="97"/>
      <c r="BA30" s="97"/>
      <c r="BU30" s="112"/>
      <c r="BV30" s="112"/>
    </row>
    <row r="31" spans="1:75" ht="14.85" customHeight="1" thickTop="1" thickBot="1">
      <c r="A31" s="101"/>
      <c r="B31" s="202" t="s">
        <v>344</v>
      </c>
      <c r="C31" s="203"/>
      <c r="D31" s="203"/>
      <c r="E31" s="203"/>
      <c r="F31" s="203"/>
      <c r="G31" s="203"/>
      <c r="H31" s="204"/>
      <c r="I31" s="205" t="str">
        <f>IF(I29="","",ABS(($E$15-I15)-($E$29-I29)))</f>
        <v/>
      </c>
      <c r="J31" s="205"/>
      <c r="K31" s="205"/>
      <c r="L31" s="205"/>
      <c r="M31" s="205" t="str">
        <f>IF(M29="","",ABS(($E$15-M15)-($E$29-M29)))</f>
        <v/>
      </c>
      <c r="N31" s="205"/>
      <c r="O31" s="205"/>
      <c r="P31" s="205"/>
      <c r="Q31" s="205" t="str">
        <f t="shared" ref="Q31" si="50">IF(Q29="","",ABS(($E$15-Q15)-($E$29-Q29)))</f>
        <v/>
      </c>
      <c r="R31" s="205"/>
      <c r="S31" s="205"/>
      <c r="T31" s="205"/>
      <c r="U31" s="205" t="str">
        <f t="shared" ref="U31" si="51">IF(U29="","",ABS(($E$15-U15)-($E$29-U29)))</f>
        <v/>
      </c>
      <c r="V31" s="205"/>
      <c r="W31" s="205"/>
      <c r="X31" s="205"/>
      <c r="Y31" s="205" t="str">
        <f t="shared" ref="Y31" si="52">IF(Y29="","",ABS(($E$15-Y15)-($E$29-Y29)))</f>
        <v/>
      </c>
      <c r="Z31" s="205"/>
      <c r="AA31" s="205"/>
      <c r="AB31" s="205"/>
      <c r="AC31" s="205" t="str">
        <f t="shared" ref="AC31" si="53">IF(AC29="","",ABS(($E$15-AC15)-($E$29-AC29)))</f>
        <v/>
      </c>
      <c r="AD31" s="205"/>
      <c r="AE31" s="205"/>
      <c r="AF31" s="205"/>
      <c r="AG31" s="205" t="str">
        <f t="shared" ref="AG31" si="54">IF(AG29="","",ABS(($E$15-AG15)-($E$29-AG29)))</f>
        <v/>
      </c>
      <c r="AH31" s="205"/>
      <c r="AI31" s="205"/>
      <c r="AJ31" s="205"/>
      <c r="AK31" s="205" t="str">
        <f t="shared" ref="AK31" si="55">IF(AK29="","",ABS(($E$15-AK15)-($E$29-AK29)))</f>
        <v/>
      </c>
      <c r="AL31" s="205"/>
      <c r="AM31" s="205"/>
      <c r="AN31" s="205"/>
      <c r="AO31" s="205" t="str">
        <f t="shared" ref="AO31" si="56">IF(AO29="","",ABS(($E$15-AO15)-($E$29-AO29)))</f>
        <v/>
      </c>
      <c r="AP31" s="205"/>
      <c r="AQ31" s="205"/>
      <c r="AR31" s="205"/>
      <c r="AS31" s="205" t="str">
        <f>IF(AS29="","",ABS(($E$15-AS15)-($E$29-AS29)))</f>
        <v/>
      </c>
      <c r="AT31" s="205"/>
      <c r="AU31" s="205"/>
      <c r="AV31" s="205"/>
      <c r="AW31" s="101"/>
      <c r="AX31" s="101"/>
      <c r="AY31" s="101"/>
      <c r="AZ31" s="101"/>
      <c r="BA31" s="101"/>
      <c r="BU31" s="112"/>
      <c r="BV31" s="112"/>
    </row>
    <row r="32" spans="1:75" ht="14.85" customHeight="1" thickTop="1">
      <c r="A32" s="101"/>
      <c r="B32" s="135"/>
      <c r="C32" s="135"/>
      <c r="D32" s="135"/>
      <c r="E32" s="135"/>
      <c r="F32" s="135"/>
      <c r="G32" s="135"/>
      <c r="H32" s="135"/>
      <c r="I32" s="136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/>
      <c r="AW32" s="101"/>
      <c r="AX32" s="101"/>
      <c r="AY32" s="101"/>
      <c r="AZ32" s="101"/>
      <c r="BA32" s="101"/>
      <c r="BU32" s="112"/>
      <c r="BV32" s="112"/>
    </row>
    <row r="33" spans="1:74" ht="14.85" customHeight="1" thickBot="1">
      <c r="A33" s="101"/>
      <c r="B33" s="167" t="s">
        <v>435</v>
      </c>
      <c r="C33" s="135"/>
      <c r="D33" s="135"/>
      <c r="E33" s="135"/>
      <c r="F33" s="135"/>
      <c r="G33" s="135"/>
      <c r="H33" s="135"/>
      <c r="I33" s="136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/>
      <c r="AE33" s="136"/>
      <c r="AF33" s="136"/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01"/>
      <c r="AX33" s="101"/>
      <c r="AY33" s="101"/>
      <c r="AZ33" s="101"/>
      <c r="BA33" s="101"/>
      <c r="BU33" s="112"/>
      <c r="BV33" s="112"/>
    </row>
    <row r="34" spans="1:74" ht="14.85" customHeight="1" thickTop="1">
      <c r="A34" s="101"/>
      <c r="B34" s="294" t="str">
        <f>J5&amp;" °C"</f>
        <v xml:space="preserve"> °C</v>
      </c>
      <c r="C34" s="295"/>
      <c r="D34" s="295"/>
      <c r="E34" s="296"/>
      <c r="F34" s="245" t="s">
        <v>342</v>
      </c>
      <c r="G34" s="246"/>
      <c r="H34" s="246"/>
      <c r="I34" s="246"/>
      <c r="J34" s="229" t="str">
        <f>IF($BB$6=TRUE,IF($BO$6=TRUE,"","P1"),IF($BO$6=TRUE,"CH101","P1"))</f>
        <v>P1</v>
      </c>
      <c r="K34" s="230"/>
      <c r="L34" s="230"/>
      <c r="M34" s="230"/>
      <c r="N34" s="229" t="str">
        <f>IF($BB$6=TRUE,IF($BO$6=TRUE,"","P2"),IF($BO$6=TRUE,"CH1","P2"))</f>
        <v>P2</v>
      </c>
      <c r="O34" s="230"/>
      <c r="P34" s="230"/>
      <c r="Q34" s="230"/>
      <c r="R34" s="229" t="str">
        <f>IF($BB$6=TRUE,IF($BO$6=TRUE,"","P3"),IF($BO$6=TRUE,"","P3"))</f>
        <v>P3</v>
      </c>
      <c r="S34" s="230"/>
      <c r="T34" s="230"/>
      <c r="U34" s="230"/>
      <c r="V34" s="229" t="str">
        <f>IF($BB$6=TRUE,IF($BO$6=TRUE,"","P4"),IF($BO$6=TRUE,"","P4"))</f>
        <v>P4</v>
      </c>
      <c r="W34" s="230"/>
      <c r="X34" s="230"/>
      <c r="Y34" s="230"/>
      <c r="Z34" s="229" t="str">
        <f>IF($BB$6=TRUE,IF($BO$6=TRUE,"","P5"),IF($BO$6=TRUE,"","P5"))</f>
        <v>P5</v>
      </c>
      <c r="AA34" s="230"/>
      <c r="AB34" s="230"/>
      <c r="AC34" s="230"/>
      <c r="AD34" s="229" t="str">
        <f>IF($BB$6=TRUE,IF($BO$6=TRUE,"","P6"),IF($BO$6=TRUE,"","P6"))</f>
        <v>P6</v>
      </c>
      <c r="AE34" s="230"/>
      <c r="AF34" s="230"/>
      <c r="AG34" s="230"/>
      <c r="AH34" s="229" t="str">
        <f>IF($BB$6=TRUE,IF($BO$6=TRUE,"","P7"),IF($BO$6=TRUE,"","P7"))</f>
        <v>P7</v>
      </c>
      <c r="AI34" s="230"/>
      <c r="AJ34" s="230"/>
      <c r="AK34" s="230"/>
      <c r="AL34" s="229" t="str">
        <f>IF($BB$6=TRUE,IF($BO$6=TRUE,"","P8"),IF($BO$6=TRUE,"","P8"))</f>
        <v>P8</v>
      </c>
      <c r="AM34" s="230"/>
      <c r="AN34" s="230"/>
      <c r="AO34" s="230"/>
      <c r="AP34" s="229" t="str">
        <f>IF($BB$6=TRUE,IF($BO$6=TRUE,"","P9"),IF($BO$6=TRUE,"","P9"))</f>
        <v>P9</v>
      </c>
      <c r="AQ34" s="230"/>
      <c r="AR34" s="230"/>
      <c r="AS34" s="230"/>
      <c r="AT34" s="229" t="str">
        <f>IF($BB$6=TRUE,IF($BO$6=TRUE,"","P10"),IF($BO$6=TRUE,"","P10"))</f>
        <v>P10</v>
      </c>
      <c r="AU34" s="230"/>
      <c r="AV34" s="230"/>
      <c r="AW34" s="335"/>
      <c r="AX34" s="101"/>
      <c r="AY34" s="101"/>
      <c r="AZ34" s="101"/>
      <c r="BA34" s="101"/>
      <c r="BU34" s="112"/>
      <c r="BV34" s="112"/>
    </row>
    <row r="35" spans="1:74" ht="14.85" customHeight="1" thickBot="1">
      <c r="A35" s="101"/>
      <c r="B35" s="297"/>
      <c r="C35" s="298"/>
      <c r="D35" s="298"/>
      <c r="E35" s="299"/>
      <c r="F35" s="247"/>
      <c r="G35" s="248"/>
      <c r="H35" s="248"/>
      <c r="I35" s="248"/>
      <c r="J35" s="231"/>
      <c r="K35" s="232"/>
      <c r="L35" s="232"/>
      <c r="M35" s="232"/>
      <c r="N35" s="231"/>
      <c r="O35" s="232"/>
      <c r="P35" s="232"/>
      <c r="Q35" s="232"/>
      <c r="R35" s="231"/>
      <c r="S35" s="232"/>
      <c r="T35" s="232"/>
      <c r="U35" s="232"/>
      <c r="V35" s="231"/>
      <c r="W35" s="232"/>
      <c r="X35" s="232"/>
      <c r="Y35" s="232"/>
      <c r="Z35" s="231"/>
      <c r="AA35" s="232"/>
      <c r="AB35" s="232"/>
      <c r="AC35" s="232"/>
      <c r="AD35" s="231"/>
      <c r="AE35" s="232"/>
      <c r="AF35" s="232"/>
      <c r="AG35" s="232"/>
      <c r="AH35" s="231"/>
      <c r="AI35" s="232"/>
      <c r="AJ35" s="232"/>
      <c r="AK35" s="232"/>
      <c r="AL35" s="231"/>
      <c r="AM35" s="232"/>
      <c r="AN35" s="232"/>
      <c r="AO35" s="232"/>
      <c r="AP35" s="231"/>
      <c r="AQ35" s="232"/>
      <c r="AR35" s="232"/>
      <c r="AS35" s="232"/>
      <c r="AT35" s="231"/>
      <c r="AU35" s="232"/>
      <c r="AV35" s="232"/>
      <c r="AW35" s="336"/>
      <c r="AX35" s="101"/>
      <c r="AY35" s="101"/>
      <c r="AZ35" s="101"/>
      <c r="BA35" s="101"/>
      <c r="BU35" s="112"/>
      <c r="BV35" s="112"/>
    </row>
    <row r="36" spans="1:74" ht="14.85" customHeight="1" thickTop="1">
      <c r="A36" s="101"/>
      <c r="B36" s="300" t="s">
        <v>436</v>
      </c>
      <c r="C36" s="300"/>
      <c r="D36" s="300"/>
      <c r="E36" s="300"/>
      <c r="F36" s="302" t="str">
        <f>$E$15</f>
        <v/>
      </c>
      <c r="G36" s="302"/>
      <c r="H36" s="302"/>
      <c r="I36" s="302"/>
      <c r="J36" s="303" t="str">
        <f>IF(I15="","",_xlfn.CEILING.MATH(I$15,$AB$3))</f>
        <v/>
      </c>
      <c r="K36" s="303"/>
      <c r="L36" s="303"/>
      <c r="M36" s="303"/>
      <c r="N36" s="303" t="str">
        <f>IF(M15="","",_xlfn.CEILING.MATH(M$15,$AB$3))</f>
        <v/>
      </c>
      <c r="O36" s="303"/>
      <c r="P36" s="303"/>
      <c r="Q36" s="303"/>
      <c r="R36" s="303" t="str">
        <f>IF(Q15="","",_xlfn.CEILING.MATH(Q$15,$AB$3))</f>
        <v/>
      </c>
      <c r="S36" s="303"/>
      <c r="T36" s="303"/>
      <c r="U36" s="303"/>
      <c r="V36" s="303" t="str">
        <f>IF(U15="","",_xlfn.CEILING.MATH(U$15,$AB$3))</f>
        <v/>
      </c>
      <c r="W36" s="303"/>
      <c r="X36" s="303"/>
      <c r="Y36" s="303"/>
      <c r="Z36" s="303" t="str">
        <f>IF(Y15="","",_xlfn.CEILING.MATH(Y$15,$AB$3))</f>
        <v/>
      </c>
      <c r="AA36" s="303"/>
      <c r="AB36" s="303"/>
      <c r="AC36" s="303"/>
      <c r="AD36" s="303" t="str">
        <f>IF(AC15="","",_xlfn.CEILING.MATH(AC$15,$AB$3))</f>
        <v/>
      </c>
      <c r="AE36" s="303"/>
      <c r="AF36" s="303"/>
      <c r="AG36" s="303"/>
      <c r="AH36" s="303" t="str">
        <f>IF(AG15="","",_xlfn.CEILING.MATH(AG$15,$AB$3))</f>
        <v/>
      </c>
      <c r="AI36" s="303"/>
      <c r="AJ36" s="303"/>
      <c r="AK36" s="303"/>
      <c r="AL36" s="303" t="str">
        <f>IF(AK15="","",_xlfn.CEILING.MATH(AK$15,$AB$3))</f>
        <v/>
      </c>
      <c r="AM36" s="303"/>
      <c r="AN36" s="303"/>
      <c r="AO36" s="303"/>
      <c r="AP36" s="303" t="str">
        <f>IF(AO15="","",_xlfn.CEILING.MATH(AO$15,$AB$3))</f>
        <v/>
      </c>
      <c r="AQ36" s="303"/>
      <c r="AR36" s="303"/>
      <c r="AS36" s="303"/>
      <c r="AT36" s="303" t="str">
        <f>IF(AS15="","",_xlfn.CEILING.MATH(AS$15,$AB$3))</f>
        <v/>
      </c>
      <c r="AU36" s="303"/>
      <c r="AV36" s="303"/>
      <c r="AW36" s="303"/>
      <c r="AX36" s="101"/>
      <c r="AY36" s="101"/>
      <c r="AZ36" s="101"/>
      <c r="BA36" s="101"/>
      <c r="BU36" s="112"/>
      <c r="BV36" s="112"/>
    </row>
    <row r="37" spans="1:74" ht="14.85" customHeight="1">
      <c r="A37" s="101"/>
      <c r="B37" s="301" t="s">
        <v>437</v>
      </c>
      <c r="C37" s="301"/>
      <c r="D37" s="301"/>
      <c r="E37" s="301"/>
      <c r="F37" s="378" t="str">
        <f>$E$16</f>
        <v/>
      </c>
      <c r="G37" s="378"/>
      <c r="H37" s="378"/>
      <c r="I37" s="378"/>
      <c r="J37" s="379" t="str">
        <f>$I$16</f>
        <v/>
      </c>
      <c r="K37" s="379"/>
      <c r="L37" s="379"/>
      <c r="M37" s="379"/>
      <c r="N37" s="379" t="str">
        <f>$M$16</f>
        <v/>
      </c>
      <c r="O37" s="379"/>
      <c r="P37" s="379"/>
      <c r="Q37" s="379"/>
      <c r="R37" s="379" t="str">
        <f>$Q$16</f>
        <v/>
      </c>
      <c r="S37" s="379"/>
      <c r="T37" s="379"/>
      <c r="U37" s="379"/>
      <c r="V37" s="379" t="str">
        <f>$U$16</f>
        <v/>
      </c>
      <c r="W37" s="379"/>
      <c r="X37" s="379"/>
      <c r="Y37" s="379"/>
      <c r="Z37" s="379" t="str">
        <f>$Y$16</f>
        <v/>
      </c>
      <c r="AA37" s="379"/>
      <c r="AB37" s="379"/>
      <c r="AC37" s="379"/>
      <c r="AD37" s="379" t="str">
        <f>$AC$16</f>
        <v/>
      </c>
      <c r="AE37" s="379"/>
      <c r="AF37" s="379"/>
      <c r="AG37" s="379"/>
      <c r="AH37" s="379" t="str">
        <f>$AG$16</f>
        <v/>
      </c>
      <c r="AI37" s="379"/>
      <c r="AJ37" s="379"/>
      <c r="AK37" s="379"/>
      <c r="AL37" s="379" t="str">
        <f>$AK$16</f>
        <v/>
      </c>
      <c r="AM37" s="379"/>
      <c r="AN37" s="379"/>
      <c r="AO37" s="379"/>
      <c r="AP37" s="379" t="str">
        <f>$AO$16</f>
        <v/>
      </c>
      <c r="AQ37" s="379"/>
      <c r="AR37" s="379"/>
      <c r="AS37" s="379"/>
      <c r="AT37" s="379" t="str">
        <f>AS15</f>
        <v/>
      </c>
      <c r="AU37" s="379"/>
      <c r="AV37" s="379"/>
      <c r="AW37" s="379"/>
      <c r="AX37" s="101"/>
      <c r="AY37" s="101"/>
      <c r="AZ37" s="101"/>
      <c r="BA37" s="101"/>
      <c r="BU37" s="112"/>
      <c r="BV37" s="112"/>
    </row>
    <row r="38" spans="1:74" ht="14.85" customHeight="1">
      <c r="A38" s="101"/>
      <c r="B38" s="301" t="s">
        <v>381</v>
      </c>
      <c r="C38" s="301"/>
      <c r="D38" s="301"/>
      <c r="E38" s="301"/>
      <c r="F38" s="380" t="s">
        <v>396</v>
      </c>
      <c r="G38" s="380"/>
      <c r="H38" s="380"/>
      <c r="I38" s="380"/>
      <c r="J38" s="292" t="str">
        <f>IF(J36="","",$F$36-J36)</f>
        <v/>
      </c>
      <c r="K38" s="292"/>
      <c r="L38" s="292"/>
      <c r="M38" s="292"/>
      <c r="N38" s="292" t="str">
        <f t="shared" ref="N38" si="57">IF(N36="","",$F$36-N36)</f>
        <v/>
      </c>
      <c r="O38" s="292"/>
      <c r="P38" s="292"/>
      <c r="Q38" s="292"/>
      <c r="R38" s="292" t="str">
        <f t="shared" ref="R38" si="58">IF(R36="","",$F$36-R36)</f>
        <v/>
      </c>
      <c r="S38" s="292"/>
      <c r="T38" s="292"/>
      <c r="U38" s="292"/>
      <c r="V38" s="292" t="str">
        <f t="shared" ref="V38" si="59">IF(V36="","",$F$36-V36)</f>
        <v/>
      </c>
      <c r="W38" s="292"/>
      <c r="X38" s="292"/>
      <c r="Y38" s="292"/>
      <c r="Z38" s="292" t="str">
        <f>IF(Z36="","",$F$36-Z36)</f>
        <v/>
      </c>
      <c r="AA38" s="292"/>
      <c r="AB38" s="292"/>
      <c r="AC38" s="292"/>
      <c r="AD38" s="292" t="str">
        <f>IF(AD36="","",$F$36-AD36)</f>
        <v/>
      </c>
      <c r="AE38" s="292"/>
      <c r="AF38" s="292"/>
      <c r="AG38" s="292"/>
      <c r="AH38" s="292" t="str">
        <f>IF(AH36="","",$F$36-AH36)</f>
        <v/>
      </c>
      <c r="AI38" s="292"/>
      <c r="AJ38" s="292"/>
      <c r="AK38" s="292"/>
      <c r="AL38" s="292" t="str">
        <f>IF(AL36="","",$F$36-AL36)</f>
        <v/>
      </c>
      <c r="AM38" s="292"/>
      <c r="AN38" s="292"/>
      <c r="AO38" s="292"/>
      <c r="AP38" s="292" t="str">
        <f>IF(AP36="","",$F$36-AP36)</f>
        <v/>
      </c>
      <c r="AQ38" s="292"/>
      <c r="AR38" s="292"/>
      <c r="AS38" s="292"/>
      <c r="AT38" s="292" t="str">
        <f>IF(AT36="","",$F$36-AT36)</f>
        <v/>
      </c>
      <c r="AU38" s="292"/>
      <c r="AV38" s="292"/>
      <c r="AW38" s="292"/>
      <c r="AX38" s="101"/>
      <c r="AY38" s="101"/>
      <c r="AZ38" s="101"/>
      <c r="BA38" s="101"/>
      <c r="BU38" s="112"/>
      <c r="BV38" s="112"/>
    </row>
    <row r="39" spans="1:74" ht="14.85" customHeight="1">
      <c r="A39" s="101"/>
      <c r="B39" s="301" t="s">
        <v>344</v>
      </c>
      <c r="C39" s="301"/>
      <c r="D39" s="301"/>
      <c r="E39" s="301"/>
      <c r="F39" s="301"/>
      <c r="G39" s="301"/>
      <c r="H39" s="301"/>
      <c r="I39" s="301"/>
      <c r="J39" s="292" t="str">
        <f>I31</f>
        <v/>
      </c>
      <c r="K39" s="292"/>
      <c r="L39" s="292"/>
      <c r="M39" s="292"/>
      <c r="N39" s="292" t="str">
        <f t="shared" ref="N39" si="60">M31</f>
        <v/>
      </c>
      <c r="O39" s="292"/>
      <c r="P39" s="292"/>
      <c r="Q39" s="292"/>
      <c r="R39" s="292" t="str">
        <f t="shared" ref="R39" si="61">Q31</f>
        <v/>
      </c>
      <c r="S39" s="292"/>
      <c r="T39" s="292"/>
      <c r="U39" s="292"/>
      <c r="V39" s="292" t="str">
        <f t="shared" ref="V39" si="62">U31</f>
        <v/>
      </c>
      <c r="W39" s="292"/>
      <c r="X39" s="292"/>
      <c r="Y39" s="292"/>
      <c r="Z39" s="292" t="str">
        <f t="shared" ref="Z39" si="63">Y31</f>
        <v/>
      </c>
      <c r="AA39" s="292"/>
      <c r="AB39" s="292"/>
      <c r="AC39" s="292"/>
      <c r="AD39" s="292" t="str">
        <f t="shared" ref="AD39" si="64">AC31</f>
        <v/>
      </c>
      <c r="AE39" s="292"/>
      <c r="AF39" s="292"/>
      <c r="AG39" s="292"/>
      <c r="AH39" s="292" t="str">
        <f t="shared" ref="AH39" si="65">AG31</f>
        <v/>
      </c>
      <c r="AI39" s="292"/>
      <c r="AJ39" s="292"/>
      <c r="AK39" s="292"/>
      <c r="AL39" s="292" t="str">
        <f t="shared" ref="AL39" si="66">AK31</f>
        <v/>
      </c>
      <c r="AM39" s="292"/>
      <c r="AN39" s="292"/>
      <c r="AO39" s="292"/>
      <c r="AP39" s="292" t="str">
        <f t="shared" ref="AP39" si="67">AO31</f>
        <v/>
      </c>
      <c r="AQ39" s="292"/>
      <c r="AR39" s="292"/>
      <c r="AS39" s="292"/>
      <c r="AT39" s="292" t="str">
        <f t="shared" ref="AT39" si="68">AS31</f>
        <v/>
      </c>
      <c r="AU39" s="292"/>
      <c r="AV39" s="292"/>
      <c r="AW39" s="292"/>
      <c r="AX39" s="101"/>
      <c r="AY39" s="101"/>
      <c r="AZ39" s="101"/>
      <c r="BA39" s="101"/>
      <c r="BU39" s="112"/>
      <c r="BV39" s="112"/>
    </row>
    <row r="40" spans="1:74" ht="14.85" customHeight="1" thickBot="1">
      <c r="A40" s="101"/>
      <c r="B40" s="293" t="s">
        <v>369</v>
      </c>
      <c r="C40" s="293"/>
      <c r="D40" s="293"/>
      <c r="E40" s="293"/>
      <c r="F40" s="293"/>
      <c r="G40" s="293"/>
      <c r="H40" s="293"/>
      <c r="I40" s="293"/>
      <c r="J40" s="337" t="str">
        <f>IFERROR($AK$61,"-")</f>
        <v>-</v>
      </c>
      <c r="K40" s="337"/>
      <c r="L40" s="337"/>
      <c r="M40" s="337"/>
      <c r="N40" s="337" t="str">
        <f>IFERROR($AK$79,"-")</f>
        <v>-</v>
      </c>
      <c r="O40" s="337"/>
      <c r="P40" s="337"/>
      <c r="Q40" s="337"/>
      <c r="R40" s="337" t="str">
        <f>IFERROR($AK$100,"-")</f>
        <v>-</v>
      </c>
      <c r="S40" s="337"/>
      <c r="T40" s="337"/>
      <c r="U40" s="337"/>
      <c r="V40" s="337" t="str">
        <f>IFERROR($AK$118,"-")</f>
        <v>-</v>
      </c>
      <c r="W40" s="337"/>
      <c r="X40" s="337"/>
      <c r="Y40" s="337"/>
      <c r="Z40" s="337" t="str">
        <f>IFERROR($AK$139,"-")</f>
        <v>-</v>
      </c>
      <c r="AA40" s="337"/>
      <c r="AB40" s="337"/>
      <c r="AC40" s="337"/>
      <c r="AD40" s="337" t="str">
        <f>IFERROR($AK$157,"-")</f>
        <v>-</v>
      </c>
      <c r="AE40" s="337"/>
      <c r="AF40" s="337"/>
      <c r="AG40" s="337"/>
      <c r="AH40" s="337" t="str">
        <f>IFERROR($AK$178,"-")</f>
        <v>-</v>
      </c>
      <c r="AI40" s="337"/>
      <c r="AJ40" s="337"/>
      <c r="AK40" s="337"/>
      <c r="AL40" s="337" t="str">
        <f>IFERROR($AK$196,"-")</f>
        <v>-</v>
      </c>
      <c r="AM40" s="337"/>
      <c r="AN40" s="337"/>
      <c r="AO40" s="337"/>
      <c r="AP40" s="337" t="str">
        <f>IFERROR($AK$217,"-")</f>
        <v>-</v>
      </c>
      <c r="AQ40" s="337"/>
      <c r="AR40" s="337"/>
      <c r="AS40" s="337"/>
      <c r="AT40" s="337" t="str">
        <f>IFERROR($AK$235,"-")</f>
        <v>-</v>
      </c>
      <c r="AU40" s="337"/>
      <c r="AV40" s="337"/>
      <c r="AW40" s="337"/>
      <c r="AX40" s="101"/>
      <c r="AY40" s="101"/>
      <c r="AZ40" s="101"/>
      <c r="BA40" s="101"/>
      <c r="BU40" s="112"/>
      <c r="BV40" s="112"/>
    </row>
    <row r="41" spans="1:74" ht="14.85" customHeight="1" thickTop="1">
      <c r="A41" s="101"/>
      <c r="B41" s="135"/>
      <c r="C41" s="135"/>
      <c r="D41" s="135"/>
      <c r="E41" s="135"/>
      <c r="F41" s="135"/>
      <c r="G41" s="135"/>
      <c r="H41" s="135"/>
      <c r="I41" s="136"/>
      <c r="J41" s="136"/>
      <c r="K41" s="136"/>
      <c r="L41" s="136"/>
      <c r="M41" s="136"/>
      <c r="N41" s="136"/>
      <c r="O41" s="136"/>
      <c r="P41" s="136"/>
      <c r="Q41" s="136"/>
      <c r="R41" s="136"/>
      <c r="S41" s="136"/>
      <c r="T41" s="136"/>
      <c r="U41" s="136"/>
      <c r="V41" s="136"/>
      <c r="W41" s="136"/>
      <c r="X41" s="136"/>
      <c r="Y41" s="136"/>
      <c r="Z41" s="136"/>
      <c r="AA41" s="136"/>
      <c r="AB41" s="136"/>
      <c r="AC41" s="136"/>
      <c r="AD41" s="136"/>
      <c r="AE41" s="136"/>
      <c r="AF41" s="136"/>
      <c r="AG41" s="136"/>
      <c r="AH41" s="136"/>
      <c r="AI41" s="136"/>
      <c r="AJ41" s="136"/>
      <c r="AK41" s="136"/>
      <c r="AL41" s="136"/>
      <c r="AM41" s="136"/>
      <c r="AN41" s="136"/>
      <c r="AO41" s="136"/>
      <c r="AP41" s="136"/>
      <c r="AQ41" s="136"/>
      <c r="AR41" s="136"/>
      <c r="AS41" s="136"/>
      <c r="AT41" s="136"/>
      <c r="AU41" s="136"/>
      <c r="AV41" s="136"/>
      <c r="AW41" s="101"/>
      <c r="AX41" s="101"/>
      <c r="AY41" s="101"/>
      <c r="AZ41" s="101"/>
      <c r="BA41" s="101"/>
      <c r="BU41" s="112"/>
      <c r="BV41" s="112"/>
    </row>
    <row r="42" spans="1:74" ht="14.85" customHeight="1">
      <c r="A42" s="101"/>
      <c r="B42" s="135"/>
      <c r="C42" s="135"/>
      <c r="D42" s="135"/>
      <c r="E42" s="135"/>
      <c r="F42" s="135"/>
      <c r="G42" s="135"/>
      <c r="H42" s="135"/>
      <c r="I42" s="136"/>
      <c r="J42" s="136"/>
      <c r="K42" s="136"/>
      <c r="L42" s="136"/>
      <c r="M42" s="136"/>
      <c r="N42" s="136"/>
      <c r="O42" s="136"/>
      <c r="P42" s="136"/>
      <c r="Q42" s="136"/>
      <c r="R42" s="136"/>
      <c r="S42" s="136"/>
      <c r="T42" s="136"/>
      <c r="U42" s="136"/>
      <c r="V42" s="136"/>
      <c r="W42" s="136"/>
      <c r="X42" s="136"/>
      <c r="Y42" s="136"/>
      <c r="Z42" s="136"/>
      <c r="AA42" s="136"/>
      <c r="AB42" s="136"/>
      <c r="AC42" s="136"/>
      <c r="AD42" s="136"/>
      <c r="AE42" s="136"/>
      <c r="AF42" s="136"/>
      <c r="AG42" s="136"/>
      <c r="AH42" s="136"/>
      <c r="AI42" s="136"/>
      <c r="AJ42" s="136"/>
      <c r="AK42" s="136"/>
      <c r="AL42" s="136"/>
      <c r="AM42" s="136"/>
      <c r="AS42" s="265" t="s">
        <v>5</v>
      </c>
      <c r="AT42" s="265"/>
      <c r="AU42" s="265"/>
      <c r="AV42" s="275">
        <f>AV1+1</f>
        <v>3</v>
      </c>
      <c r="AW42" s="275"/>
      <c r="AX42" s="94" t="s">
        <v>6</v>
      </c>
      <c r="AY42" s="275">
        <f>$AY$1</f>
        <v>1</v>
      </c>
      <c r="AZ42" s="275"/>
      <c r="BA42" s="101"/>
      <c r="BU42" s="112"/>
      <c r="BV42" s="112"/>
    </row>
    <row r="43" spans="1:74" ht="14.85" customHeight="1">
      <c r="A43" s="101"/>
      <c r="B43" s="135"/>
      <c r="C43" s="135"/>
      <c r="D43" s="135"/>
      <c r="E43" s="135"/>
      <c r="F43" s="135"/>
      <c r="G43" s="135"/>
      <c r="H43" s="135"/>
      <c r="I43" s="136"/>
      <c r="J43" s="136"/>
      <c r="K43" s="136"/>
      <c r="L43" s="136"/>
      <c r="M43" s="136"/>
      <c r="N43" s="136"/>
      <c r="O43" s="136"/>
      <c r="P43" s="136"/>
      <c r="Q43" s="136"/>
      <c r="R43" s="136"/>
      <c r="S43" s="136"/>
      <c r="T43" s="136"/>
      <c r="U43" s="136"/>
      <c r="V43" s="136"/>
      <c r="W43" s="136"/>
      <c r="X43" s="136"/>
      <c r="Y43" s="136"/>
      <c r="Z43" s="136"/>
      <c r="AA43" s="136"/>
      <c r="AB43" s="136"/>
      <c r="AC43" s="136"/>
      <c r="AD43" s="136"/>
      <c r="AE43" s="136"/>
      <c r="AF43" s="136"/>
      <c r="AG43" s="136"/>
      <c r="AH43" s="136"/>
      <c r="AI43" s="136"/>
      <c r="AJ43" s="136"/>
      <c r="AK43" s="136"/>
      <c r="AL43" s="136"/>
      <c r="AM43" s="136"/>
      <c r="AQ43" s="98"/>
      <c r="BA43" s="101"/>
      <c r="BU43" s="112"/>
      <c r="BV43" s="112"/>
    </row>
    <row r="44" spans="1:74" ht="14.25" customHeight="1" thickBot="1">
      <c r="A44" s="101"/>
      <c r="B44" s="91" t="s">
        <v>346</v>
      </c>
      <c r="C44" s="101"/>
      <c r="E44" s="101"/>
      <c r="H44" s="103"/>
      <c r="I44" s="137"/>
      <c r="J44" s="138"/>
      <c r="K44" s="138"/>
      <c r="L44" s="138"/>
      <c r="M44" s="137"/>
      <c r="N44" s="138"/>
      <c r="O44" s="138"/>
      <c r="P44" s="138"/>
      <c r="Q44" s="137"/>
      <c r="R44" s="138"/>
      <c r="S44" s="138"/>
      <c r="T44" s="138"/>
      <c r="U44" s="137"/>
      <c r="V44" s="138"/>
      <c r="W44" s="138"/>
      <c r="X44" s="138"/>
      <c r="Y44" s="137"/>
      <c r="Z44" s="138"/>
      <c r="AA44" s="138"/>
      <c r="AB44" s="138"/>
      <c r="AC44" s="137"/>
      <c r="AD44" s="138"/>
      <c r="AE44" s="138"/>
      <c r="AF44" s="138"/>
      <c r="AG44" s="137"/>
      <c r="AH44" s="138"/>
      <c r="AI44" s="138"/>
      <c r="AJ44" s="138"/>
      <c r="AK44" s="137"/>
      <c r="AL44" s="138"/>
      <c r="AM44" s="138"/>
      <c r="AN44" s="138"/>
      <c r="AO44" s="272" t="s">
        <v>7</v>
      </c>
      <c r="AP44" s="272"/>
      <c r="AQ44" s="272"/>
      <c r="AR44" s="272"/>
      <c r="AS44" s="272"/>
      <c r="AT44" s="272"/>
      <c r="AU44" s="272"/>
      <c r="AV44" s="179" t="str">
        <f>$AV$3</f>
        <v xml:space="preserve"> /69 </v>
      </c>
      <c r="AW44" s="179"/>
      <c r="AX44" s="179"/>
      <c r="AY44" s="179"/>
      <c r="AZ44" s="179"/>
      <c r="BA44" s="101"/>
      <c r="BU44" s="112"/>
      <c r="BV44" s="112"/>
    </row>
    <row r="45" spans="1:74" ht="14.85" customHeight="1" thickTop="1" thickBot="1">
      <c r="B45" s="355" t="s">
        <v>347</v>
      </c>
      <c r="C45" s="356"/>
      <c r="D45" s="356"/>
      <c r="E45" s="356"/>
      <c r="F45" s="356"/>
      <c r="G45" s="312" t="s">
        <v>348</v>
      </c>
      <c r="H45" s="312"/>
      <c r="I45" s="312"/>
      <c r="J45" s="312"/>
      <c r="K45" s="312"/>
      <c r="L45" s="312"/>
      <c r="M45" s="312"/>
      <c r="N45" s="312"/>
      <c r="O45" s="312"/>
      <c r="P45" s="312"/>
      <c r="Q45" s="312"/>
      <c r="R45" s="312"/>
      <c r="S45" s="312"/>
      <c r="T45" s="312"/>
      <c r="U45" s="312"/>
      <c r="V45" s="187" t="s">
        <v>417</v>
      </c>
      <c r="W45" s="187"/>
      <c r="X45" s="187"/>
      <c r="Y45" s="187"/>
      <c r="Z45" s="187"/>
      <c r="AA45" s="186" t="s">
        <v>418</v>
      </c>
      <c r="AB45" s="187"/>
      <c r="AC45" s="187"/>
      <c r="AD45" s="187"/>
      <c r="AE45" s="187"/>
      <c r="AF45" s="187" t="s">
        <v>349</v>
      </c>
      <c r="AG45" s="187"/>
      <c r="AH45" s="187"/>
      <c r="AI45" s="187" t="s">
        <v>350</v>
      </c>
      <c r="AJ45" s="187"/>
      <c r="AK45" s="186" t="s">
        <v>419</v>
      </c>
      <c r="AL45" s="187"/>
      <c r="AM45" s="187"/>
      <c r="AN45" s="187"/>
      <c r="AO45" s="187"/>
      <c r="AP45" s="361" t="s">
        <v>420</v>
      </c>
      <c r="AQ45" s="362"/>
      <c r="AR45" s="362"/>
      <c r="AS45" s="362"/>
      <c r="AT45" s="326" t="str">
        <f>IF(I7="","","1")</f>
        <v>1</v>
      </c>
      <c r="AU45" s="327"/>
      <c r="AV45" s="328"/>
      <c r="AW45" s="113"/>
      <c r="AX45" s="113"/>
      <c r="AY45" s="113"/>
      <c r="AZ45" s="113"/>
      <c r="BA45" s="113"/>
    </row>
    <row r="46" spans="1:74" ht="14.85" customHeight="1" thickTop="1" thickBot="1">
      <c r="A46" s="122"/>
      <c r="B46" s="355"/>
      <c r="C46" s="356"/>
      <c r="D46" s="356"/>
      <c r="E46" s="356"/>
      <c r="F46" s="356"/>
      <c r="G46" s="312"/>
      <c r="H46" s="312"/>
      <c r="I46" s="312"/>
      <c r="J46" s="312"/>
      <c r="K46" s="312"/>
      <c r="L46" s="312"/>
      <c r="M46" s="312"/>
      <c r="N46" s="312"/>
      <c r="O46" s="312"/>
      <c r="P46" s="312"/>
      <c r="Q46" s="312"/>
      <c r="R46" s="312"/>
      <c r="S46" s="312"/>
      <c r="T46" s="312"/>
      <c r="U46" s="312"/>
      <c r="V46" s="187"/>
      <c r="W46" s="187"/>
      <c r="X46" s="187"/>
      <c r="Y46" s="187"/>
      <c r="Z46" s="187"/>
      <c r="AA46" s="187"/>
      <c r="AB46" s="187"/>
      <c r="AC46" s="187"/>
      <c r="AD46" s="187"/>
      <c r="AE46" s="187"/>
      <c r="AF46" s="187"/>
      <c r="AG46" s="187"/>
      <c r="AH46" s="187"/>
      <c r="AI46" s="187"/>
      <c r="AJ46" s="187"/>
      <c r="AK46" s="187"/>
      <c r="AL46" s="187"/>
      <c r="AM46" s="187"/>
      <c r="AN46" s="187"/>
      <c r="AO46" s="187"/>
      <c r="AP46" s="363"/>
      <c r="AQ46" s="364"/>
      <c r="AR46" s="364"/>
      <c r="AS46" s="364"/>
      <c r="AT46" s="329"/>
      <c r="AU46" s="330"/>
      <c r="AV46" s="331"/>
      <c r="AW46" s="113"/>
      <c r="AX46" s="113"/>
      <c r="AY46" s="113"/>
      <c r="AZ46" s="113"/>
      <c r="BA46" s="113"/>
    </row>
    <row r="47" spans="1:74" ht="14.85" customHeight="1" thickTop="1">
      <c r="A47" s="109"/>
      <c r="B47" s="188" t="s">
        <v>421</v>
      </c>
      <c r="C47" s="189"/>
      <c r="D47" s="189"/>
      <c r="E47" s="189"/>
      <c r="F47" s="189"/>
      <c r="G47" s="321" t="s">
        <v>351</v>
      </c>
      <c r="H47" s="321"/>
      <c r="I47" s="321"/>
      <c r="J47" s="321"/>
      <c r="K47" s="321"/>
      <c r="L47" s="321"/>
      <c r="M47" s="321"/>
      <c r="N47" s="321"/>
      <c r="O47" s="321"/>
      <c r="P47" s="321"/>
      <c r="Q47" s="321"/>
      <c r="R47" s="321"/>
      <c r="S47" s="321"/>
      <c r="T47" s="321"/>
      <c r="U47" s="321"/>
      <c r="V47" s="313">
        <v>3.0000000000000001E-3</v>
      </c>
      <c r="W47" s="314"/>
      <c r="X47" s="314"/>
      <c r="Y47" s="314"/>
      <c r="Z47" s="127" t="s">
        <v>434</v>
      </c>
      <c r="AA47" s="192" t="s">
        <v>37</v>
      </c>
      <c r="AB47" s="192"/>
      <c r="AC47" s="192"/>
      <c r="AD47" s="192"/>
      <c r="AE47" s="192"/>
      <c r="AF47" s="289">
        <v>2</v>
      </c>
      <c r="AG47" s="289"/>
      <c r="AH47" s="289"/>
      <c r="AI47" s="289">
        <v>1</v>
      </c>
      <c r="AJ47" s="289"/>
      <c r="AK47" s="290">
        <f>(V47/AF47)*AI47</f>
        <v>1.5E-3</v>
      </c>
      <c r="AL47" s="290"/>
      <c r="AM47" s="290"/>
      <c r="AN47" s="290"/>
      <c r="AO47" s="291"/>
      <c r="AP47" s="365" t="str">
        <f t="shared" ref="AP47:AP56" si="69">IF($B$8="","","∞")</f>
        <v>∞</v>
      </c>
      <c r="AQ47" s="366"/>
      <c r="AR47" s="366"/>
      <c r="AS47" s="366"/>
      <c r="AT47" s="329"/>
      <c r="AU47" s="330"/>
      <c r="AV47" s="331"/>
      <c r="AW47" s="113"/>
      <c r="AX47" s="113"/>
      <c r="AY47" s="113"/>
      <c r="AZ47" s="113"/>
      <c r="BA47" s="113"/>
    </row>
    <row r="48" spans="1:74" ht="14.85" customHeight="1">
      <c r="A48" s="109"/>
      <c r="B48" s="190" t="s">
        <v>422</v>
      </c>
      <c r="C48" s="191"/>
      <c r="D48" s="191"/>
      <c r="E48" s="191"/>
      <c r="F48" s="191"/>
      <c r="G48" s="194" t="s">
        <v>352</v>
      </c>
      <c r="H48" s="194"/>
      <c r="I48" s="194"/>
      <c r="J48" s="194"/>
      <c r="K48" s="194"/>
      <c r="L48" s="194"/>
      <c r="M48" s="194"/>
      <c r="N48" s="194"/>
      <c r="O48" s="194"/>
      <c r="P48" s="194"/>
      <c r="Q48" s="194"/>
      <c r="R48" s="194"/>
      <c r="S48" s="194"/>
      <c r="T48" s="194"/>
      <c r="U48" s="194"/>
      <c r="V48" s="315">
        <v>1.6000000000000001E-3</v>
      </c>
      <c r="W48" s="316"/>
      <c r="X48" s="316"/>
      <c r="Y48" s="316"/>
      <c r="Z48" s="128" t="s">
        <v>353</v>
      </c>
      <c r="AA48" s="193" t="s">
        <v>354</v>
      </c>
      <c r="AB48" s="193"/>
      <c r="AC48" s="193"/>
      <c r="AD48" s="193"/>
      <c r="AE48" s="193"/>
      <c r="AF48" s="195" t="s">
        <v>355</v>
      </c>
      <c r="AG48" s="195"/>
      <c r="AH48" s="195"/>
      <c r="AI48" s="195">
        <v>10</v>
      </c>
      <c r="AJ48" s="195"/>
      <c r="AK48" s="196">
        <f>(V48/SQRT(3))*AI48</f>
        <v>9.2376043070340128E-3</v>
      </c>
      <c r="AL48" s="196"/>
      <c r="AM48" s="196"/>
      <c r="AN48" s="196"/>
      <c r="AO48" s="197"/>
      <c r="AP48" s="304" t="str">
        <f t="shared" si="69"/>
        <v>∞</v>
      </c>
      <c r="AQ48" s="305"/>
      <c r="AR48" s="305"/>
      <c r="AS48" s="305"/>
      <c r="AT48" s="329"/>
      <c r="AU48" s="330"/>
      <c r="AV48" s="331"/>
      <c r="AW48" s="113"/>
      <c r="AX48" s="113"/>
      <c r="AY48" s="113"/>
      <c r="AZ48" s="113"/>
      <c r="BA48" s="113"/>
    </row>
    <row r="49" spans="1:53" ht="14.85" customHeight="1">
      <c r="A49" s="109"/>
      <c r="B49" s="190" t="s">
        <v>423</v>
      </c>
      <c r="C49" s="191"/>
      <c r="D49" s="191"/>
      <c r="E49" s="191"/>
      <c r="F49" s="191"/>
      <c r="G49" s="194" t="s">
        <v>356</v>
      </c>
      <c r="H49" s="194"/>
      <c r="I49" s="194"/>
      <c r="J49" s="194"/>
      <c r="K49" s="194"/>
      <c r="L49" s="194"/>
      <c r="M49" s="194"/>
      <c r="N49" s="194"/>
      <c r="O49" s="194"/>
      <c r="P49" s="194"/>
      <c r="Q49" s="194"/>
      <c r="R49" s="194"/>
      <c r="S49" s="194"/>
      <c r="T49" s="194"/>
      <c r="U49" s="194"/>
      <c r="V49" s="315">
        <v>1E-3</v>
      </c>
      <c r="W49" s="316"/>
      <c r="X49" s="316"/>
      <c r="Y49" s="316"/>
      <c r="Z49" s="128" t="s">
        <v>353</v>
      </c>
      <c r="AA49" s="193" t="s">
        <v>354</v>
      </c>
      <c r="AB49" s="193"/>
      <c r="AC49" s="193"/>
      <c r="AD49" s="193"/>
      <c r="AE49" s="193"/>
      <c r="AF49" s="195">
        <v>2</v>
      </c>
      <c r="AG49" s="195"/>
      <c r="AH49" s="195"/>
      <c r="AI49" s="195">
        <v>10</v>
      </c>
      <c r="AJ49" s="195"/>
      <c r="AK49" s="196">
        <f>(V49/AF49)*AI49</f>
        <v>5.0000000000000001E-3</v>
      </c>
      <c r="AL49" s="196"/>
      <c r="AM49" s="196"/>
      <c r="AN49" s="196"/>
      <c r="AO49" s="197"/>
      <c r="AP49" s="304" t="str">
        <f t="shared" si="69"/>
        <v>∞</v>
      </c>
      <c r="AQ49" s="305"/>
      <c r="AR49" s="305"/>
      <c r="AS49" s="305"/>
      <c r="AT49" s="329"/>
      <c r="AU49" s="330"/>
      <c r="AV49" s="331"/>
      <c r="AW49" s="113"/>
      <c r="AX49" s="113"/>
      <c r="AY49" s="113"/>
      <c r="AZ49" s="113"/>
      <c r="BA49" s="113"/>
    </row>
    <row r="50" spans="1:53" ht="14.85" customHeight="1">
      <c r="A50" s="109"/>
      <c r="B50" s="190" t="s">
        <v>424</v>
      </c>
      <c r="C50" s="191"/>
      <c r="D50" s="191"/>
      <c r="E50" s="191"/>
      <c r="F50" s="191"/>
      <c r="G50" s="194" t="s">
        <v>357</v>
      </c>
      <c r="H50" s="194"/>
      <c r="I50" s="194"/>
      <c r="J50" s="194"/>
      <c r="K50" s="194"/>
      <c r="L50" s="194"/>
      <c r="M50" s="194"/>
      <c r="N50" s="194"/>
      <c r="O50" s="194"/>
      <c r="P50" s="194"/>
      <c r="Q50" s="194"/>
      <c r="R50" s="194"/>
      <c r="S50" s="194"/>
      <c r="T50" s="194"/>
      <c r="U50" s="194"/>
      <c r="V50" s="315">
        <v>1E-3</v>
      </c>
      <c r="W50" s="316"/>
      <c r="X50" s="316"/>
      <c r="Y50" s="316"/>
      <c r="Z50" s="128" t="s">
        <v>353</v>
      </c>
      <c r="AA50" s="193" t="s">
        <v>354</v>
      </c>
      <c r="AB50" s="193"/>
      <c r="AC50" s="193"/>
      <c r="AD50" s="193"/>
      <c r="AE50" s="193"/>
      <c r="AF50" s="195" t="s">
        <v>355</v>
      </c>
      <c r="AG50" s="195"/>
      <c r="AH50" s="195"/>
      <c r="AI50" s="195">
        <v>10</v>
      </c>
      <c r="AJ50" s="195"/>
      <c r="AK50" s="196">
        <f>(V50/SQRT(3))*AI50</f>
        <v>5.773502691896258E-3</v>
      </c>
      <c r="AL50" s="196"/>
      <c r="AM50" s="196"/>
      <c r="AN50" s="196"/>
      <c r="AO50" s="197"/>
      <c r="AP50" s="304" t="str">
        <f t="shared" si="69"/>
        <v>∞</v>
      </c>
      <c r="AQ50" s="305"/>
      <c r="AR50" s="305"/>
      <c r="AS50" s="305"/>
      <c r="AT50" s="329"/>
      <c r="AU50" s="330"/>
      <c r="AV50" s="331"/>
      <c r="AW50" s="113"/>
      <c r="AX50" s="113"/>
      <c r="AY50" s="113"/>
      <c r="AZ50" s="113"/>
      <c r="BA50" s="113"/>
    </row>
    <row r="51" spans="1:53" ht="14.85" customHeight="1">
      <c r="A51" s="109"/>
      <c r="B51" s="190" t="s">
        <v>425</v>
      </c>
      <c r="C51" s="191"/>
      <c r="D51" s="191"/>
      <c r="E51" s="191"/>
      <c r="F51" s="191"/>
      <c r="G51" s="194" t="s">
        <v>358</v>
      </c>
      <c r="H51" s="194"/>
      <c r="I51" s="194"/>
      <c r="J51" s="194"/>
      <c r="K51" s="194"/>
      <c r="L51" s="194"/>
      <c r="M51" s="194"/>
      <c r="N51" s="194"/>
      <c r="O51" s="194"/>
      <c r="P51" s="194"/>
      <c r="Q51" s="194"/>
      <c r="R51" s="194"/>
      <c r="S51" s="194"/>
      <c r="T51" s="194"/>
      <c r="U51" s="194"/>
      <c r="V51" s="315">
        <f>0.0001/2</f>
        <v>5.0000000000000002E-5</v>
      </c>
      <c r="W51" s="316"/>
      <c r="X51" s="316"/>
      <c r="Y51" s="316"/>
      <c r="Z51" s="128" t="s">
        <v>434</v>
      </c>
      <c r="AA51" s="193" t="s">
        <v>354</v>
      </c>
      <c r="AB51" s="193"/>
      <c r="AC51" s="193"/>
      <c r="AD51" s="193"/>
      <c r="AE51" s="193"/>
      <c r="AF51" s="195" t="s">
        <v>355</v>
      </c>
      <c r="AG51" s="195"/>
      <c r="AH51" s="195"/>
      <c r="AI51" s="195">
        <v>1</v>
      </c>
      <c r="AJ51" s="195"/>
      <c r="AK51" s="196">
        <f>(V51/SQRT(3))*AI51</f>
        <v>2.8867513459481293E-5</v>
      </c>
      <c r="AL51" s="196"/>
      <c r="AM51" s="196"/>
      <c r="AN51" s="196"/>
      <c r="AO51" s="197"/>
      <c r="AP51" s="304" t="str">
        <f t="shared" si="69"/>
        <v>∞</v>
      </c>
      <c r="AQ51" s="305"/>
      <c r="AR51" s="305"/>
      <c r="AS51" s="305"/>
      <c r="AT51" s="329"/>
      <c r="AU51" s="330"/>
      <c r="AV51" s="331"/>
      <c r="AW51" s="113"/>
      <c r="AX51" s="113"/>
      <c r="AY51" s="113"/>
      <c r="AZ51" s="113"/>
      <c r="BA51" s="113"/>
    </row>
    <row r="52" spans="1:53" ht="14.85" customHeight="1">
      <c r="A52" s="109"/>
      <c r="B52" s="190" t="s">
        <v>426</v>
      </c>
      <c r="C52" s="191"/>
      <c r="D52" s="191"/>
      <c r="E52" s="191"/>
      <c r="F52" s="191"/>
      <c r="G52" s="194" t="s">
        <v>359</v>
      </c>
      <c r="H52" s="194"/>
      <c r="I52" s="194"/>
      <c r="J52" s="194"/>
      <c r="K52" s="194"/>
      <c r="L52" s="194"/>
      <c r="M52" s="194"/>
      <c r="N52" s="194"/>
      <c r="O52" s="194"/>
      <c r="P52" s="194"/>
      <c r="Q52" s="194"/>
      <c r="R52" s="194"/>
      <c r="S52" s="194"/>
      <c r="T52" s="194"/>
      <c r="U52" s="194"/>
      <c r="V52" s="315">
        <v>0.01</v>
      </c>
      <c r="W52" s="316"/>
      <c r="X52" s="316"/>
      <c r="Y52" s="316"/>
      <c r="Z52" s="128" t="s">
        <v>434</v>
      </c>
      <c r="AA52" s="193" t="s">
        <v>354</v>
      </c>
      <c r="AB52" s="193"/>
      <c r="AC52" s="193"/>
      <c r="AD52" s="193"/>
      <c r="AE52" s="193"/>
      <c r="AF52" s="195" t="s">
        <v>355</v>
      </c>
      <c r="AG52" s="195"/>
      <c r="AH52" s="195"/>
      <c r="AI52" s="195">
        <v>1</v>
      </c>
      <c r="AJ52" s="195"/>
      <c r="AK52" s="196">
        <f>(V52/SQRT(3))*AI52</f>
        <v>5.773502691896258E-3</v>
      </c>
      <c r="AL52" s="196"/>
      <c r="AM52" s="196"/>
      <c r="AN52" s="196"/>
      <c r="AO52" s="197"/>
      <c r="AP52" s="304" t="str">
        <f t="shared" si="69"/>
        <v>∞</v>
      </c>
      <c r="AQ52" s="305"/>
      <c r="AR52" s="305"/>
      <c r="AS52" s="305"/>
      <c r="AT52" s="329"/>
      <c r="AU52" s="330"/>
      <c r="AV52" s="331"/>
      <c r="AW52" s="113"/>
      <c r="AX52" s="113"/>
      <c r="AY52" s="113"/>
      <c r="AZ52" s="113"/>
      <c r="BA52" s="113"/>
    </row>
    <row r="53" spans="1:53" ht="14.85" customHeight="1">
      <c r="A53" s="109"/>
      <c r="B53" s="190" t="s">
        <v>427</v>
      </c>
      <c r="C53" s="191"/>
      <c r="D53" s="191"/>
      <c r="E53" s="191"/>
      <c r="F53" s="191"/>
      <c r="G53" s="194" t="s">
        <v>360</v>
      </c>
      <c r="H53" s="194"/>
      <c r="I53" s="194"/>
      <c r="J53" s="194"/>
      <c r="K53" s="194"/>
      <c r="L53" s="194"/>
      <c r="M53" s="194"/>
      <c r="N53" s="194"/>
      <c r="O53" s="194"/>
      <c r="P53" s="194"/>
      <c r="Q53" s="194"/>
      <c r="R53" s="194"/>
      <c r="S53" s="194"/>
      <c r="T53" s="194"/>
      <c r="U53" s="194"/>
      <c r="V53" s="315">
        <v>0.01</v>
      </c>
      <c r="W53" s="316"/>
      <c r="X53" s="316"/>
      <c r="Y53" s="316"/>
      <c r="Z53" s="128" t="s">
        <v>434</v>
      </c>
      <c r="AA53" s="193" t="s">
        <v>354</v>
      </c>
      <c r="AB53" s="193"/>
      <c r="AC53" s="193"/>
      <c r="AD53" s="193"/>
      <c r="AE53" s="193"/>
      <c r="AF53" s="195" t="s">
        <v>355</v>
      </c>
      <c r="AG53" s="195"/>
      <c r="AH53" s="195"/>
      <c r="AI53" s="195">
        <v>1</v>
      </c>
      <c r="AJ53" s="195"/>
      <c r="AK53" s="196">
        <f t="shared" ref="AK53:AK55" si="70">(V53/SQRT(3))*AI53</f>
        <v>5.773502691896258E-3</v>
      </c>
      <c r="AL53" s="196"/>
      <c r="AM53" s="196"/>
      <c r="AN53" s="196"/>
      <c r="AO53" s="197"/>
      <c r="AP53" s="304" t="str">
        <f t="shared" si="69"/>
        <v>∞</v>
      </c>
      <c r="AQ53" s="305"/>
      <c r="AR53" s="305"/>
      <c r="AS53" s="305"/>
      <c r="AT53" s="329"/>
      <c r="AU53" s="330"/>
      <c r="AV53" s="331"/>
      <c r="AW53" s="113"/>
      <c r="AX53" s="113"/>
      <c r="AY53" s="113"/>
      <c r="AZ53" s="113"/>
      <c r="BA53" s="113"/>
    </row>
    <row r="54" spans="1:53" ht="14.85" customHeight="1">
      <c r="A54" s="109"/>
      <c r="B54" s="190" t="s">
        <v>428</v>
      </c>
      <c r="C54" s="191"/>
      <c r="D54" s="191"/>
      <c r="E54" s="191"/>
      <c r="F54" s="191"/>
      <c r="G54" s="194" t="s">
        <v>361</v>
      </c>
      <c r="H54" s="194"/>
      <c r="I54" s="194"/>
      <c r="J54" s="194"/>
      <c r="K54" s="194"/>
      <c r="L54" s="194"/>
      <c r="M54" s="194"/>
      <c r="N54" s="194"/>
      <c r="O54" s="194"/>
      <c r="P54" s="194"/>
      <c r="Q54" s="194"/>
      <c r="R54" s="194"/>
      <c r="S54" s="194"/>
      <c r="T54" s="194"/>
      <c r="U54" s="194"/>
      <c r="V54" s="317">
        <f>$AB$3/2</f>
        <v>0</v>
      </c>
      <c r="W54" s="318"/>
      <c r="X54" s="318"/>
      <c r="Y54" s="318"/>
      <c r="Z54" s="128" t="s">
        <v>434</v>
      </c>
      <c r="AA54" s="193" t="s">
        <v>354</v>
      </c>
      <c r="AB54" s="193"/>
      <c r="AC54" s="193"/>
      <c r="AD54" s="193"/>
      <c r="AE54" s="193"/>
      <c r="AF54" s="195" t="s">
        <v>355</v>
      </c>
      <c r="AG54" s="195"/>
      <c r="AH54" s="195"/>
      <c r="AI54" s="195">
        <v>1</v>
      </c>
      <c r="AJ54" s="195"/>
      <c r="AK54" s="196">
        <f t="shared" si="70"/>
        <v>0</v>
      </c>
      <c r="AL54" s="196"/>
      <c r="AM54" s="196"/>
      <c r="AN54" s="196"/>
      <c r="AO54" s="197"/>
      <c r="AP54" s="304" t="str">
        <f t="shared" si="69"/>
        <v>∞</v>
      </c>
      <c r="AQ54" s="305"/>
      <c r="AR54" s="305"/>
      <c r="AS54" s="305"/>
      <c r="AT54" s="329"/>
      <c r="AU54" s="330"/>
      <c r="AV54" s="331"/>
      <c r="AW54" s="113"/>
      <c r="AX54" s="113"/>
      <c r="AY54" s="113"/>
      <c r="AZ54" s="113"/>
      <c r="BA54" s="113"/>
    </row>
    <row r="55" spans="1:53" ht="14.85" customHeight="1">
      <c r="A55" s="109"/>
      <c r="B55" s="190" t="s">
        <v>429</v>
      </c>
      <c r="C55" s="191"/>
      <c r="D55" s="191"/>
      <c r="E55" s="191"/>
      <c r="F55" s="191"/>
      <c r="G55" s="194" t="s">
        <v>362</v>
      </c>
      <c r="H55" s="194"/>
      <c r="I55" s="194"/>
      <c r="J55" s="194"/>
      <c r="K55" s="194"/>
      <c r="L55" s="194"/>
      <c r="M55" s="194"/>
      <c r="N55" s="194"/>
      <c r="O55" s="194"/>
      <c r="P55" s="194"/>
      <c r="Q55" s="194"/>
      <c r="R55" s="194"/>
      <c r="S55" s="194"/>
      <c r="T55" s="194"/>
      <c r="U55" s="194"/>
      <c r="V55" s="317" t="str">
        <f>I$31</f>
        <v/>
      </c>
      <c r="W55" s="318"/>
      <c r="X55" s="318"/>
      <c r="Y55" s="318"/>
      <c r="Z55" s="128" t="s">
        <v>434</v>
      </c>
      <c r="AA55" s="193" t="s">
        <v>354</v>
      </c>
      <c r="AB55" s="193"/>
      <c r="AC55" s="193"/>
      <c r="AD55" s="193"/>
      <c r="AE55" s="193"/>
      <c r="AF55" s="195" t="s">
        <v>355</v>
      </c>
      <c r="AG55" s="195"/>
      <c r="AH55" s="195"/>
      <c r="AI55" s="195">
        <v>1</v>
      </c>
      <c r="AJ55" s="195"/>
      <c r="AK55" s="196" t="e">
        <f t="shared" si="70"/>
        <v>#VALUE!</v>
      </c>
      <c r="AL55" s="196"/>
      <c r="AM55" s="196"/>
      <c r="AN55" s="196"/>
      <c r="AO55" s="197"/>
      <c r="AP55" s="304" t="str">
        <f t="shared" si="69"/>
        <v>∞</v>
      </c>
      <c r="AQ55" s="305"/>
      <c r="AR55" s="305"/>
      <c r="AS55" s="305"/>
      <c r="AT55" s="329"/>
      <c r="AU55" s="330"/>
      <c r="AV55" s="331"/>
      <c r="AW55" s="113"/>
      <c r="AX55" s="113"/>
      <c r="AY55" s="113"/>
      <c r="AZ55" s="113"/>
      <c r="BA55" s="113"/>
    </row>
    <row r="56" spans="1:53" ht="14.85" customHeight="1">
      <c r="A56" s="109"/>
      <c r="B56" s="190" t="s">
        <v>430</v>
      </c>
      <c r="C56" s="191"/>
      <c r="D56" s="191"/>
      <c r="E56" s="191"/>
      <c r="F56" s="191"/>
      <c r="G56" s="194" t="s">
        <v>363</v>
      </c>
      <c r="H56" s="194"/>
      <c r="I56" s="194"/>
      <c r="J56" s="194"/>
      <c r="K56" s="194"/>
      <c r="L56" s="194"/>
      <c r="M56" s="194"/>
      <c r="N56" s="194"/>
      <c r="O56" s="194"/>
      <c r="P56" s="194"/>
      <c r="Q56" s="194"/>
      <c r="R56" s="194"/>
      <c r="S56" s="194"/>
      <c r="T56" s="194"/>
      <c r="U56" s="194"/>
      <c r="V56" s="317">
        <v>0</v>
      </c>
      <c r="W56" s="318"/>
      <c r="X56" s="318"/>
      <c r="Y56" s="318"/>
      <c r="Z56" s="128" t="s">
        <v>434</v>
      </c>
      <c r="AA56" s="193" t="s">
        <v>354</v>
      </c>
      <c r="AB56" s="193"/>
      <c r="AC56" s="193"/>
      <c r="AD56" s="193"/>
      <c r="AE56" s="193"/>
      <c r="AF56" s="195" t="s">
        <v>355</v>
      </c>
      <c r="AG56" s="195"/>
      <c r="AH56" s="195"/>
      <c r="AI56" s="195">
        <v>1</v>
      </c>
      <c r="AJ56" s="195"/>
      <c r="AK56" s="196">
        <f>(V56/SQRT(3))*AI56</f>
        <v>0</v>
      </c>
      <c r="AL56" s="196"/>
      <c r="AM56" s="196"/>
      <c r="AN56" s="196"/>
      <c r="AO56" s="197"/>
      <c r="AP56" s="304" t="str">
        <f t="shared" si="69"/>
        <v>∞</v>
      </c>
      <c r="AQ56" s="305"/>
      <c r="AR56" s="305"/>
      <c r="AS56" s="305"/>
      <c r="AT56" s="329"/>
      <c r="AU56" s="330"/>
      <c r="AV56" s="331"/>
      <c r="AW56" s="113"/>
      <c r="AX56" s="113"/>
      <c r="AY56" s="113"/>
      <c r="AZ56" s="113"/>
      <c r="BA56" s="113"/>
    </row>
    <row r="57" spans="1:53" ht="14.85" customHeight="1">
      <c r="A57" s="109"/>
      <c r="B57" s="190" t="s">
        <v>431</v>
      </c>
      <c r="C57" s="191"/>
      <c r="D57" s="191"/>
      <c r="E57" s="191"/>
      <c r="F57" s="191"/>
      <c r="G57" s="194" t="s">
        <v>364</v>
      </c>
      <c r="H57" s="194"/>
      <c r="I57" s="194"/>
      <c r="J57" s="194"/>
      <c r="K57" s="194"/>
      <c r="L57" s="194"/>
      <c r="M57" s="194"/>
      <c r="N57" s="194"/>
      <c r="O57" s="194"/>
      <c r="P57" s="194"/>
      <c r="Q57" s="194"/>
      <c r="R57" s="194"/>
      <c r="S57" s="194"/>
      <c r="T57" s="194"/>
      <c r="U57" s="194"/>
      <c r="V57" s="317" t="str">
        <f>$E$16</f>
        <v/>
      </c>
      <c r="W57" s="318"/>
      <c r="X57" s="318"/>
      <c r="Y57" s="318"/>
      <c r="Z57" s="128" t="s">
        <v>434</v>
      </c>
      <c r="AA57" s="193" t="s">
        <v>37</v>
      </c>
      <c r="AB57" s="193"/>
      <c r="AC57" s="193"/>
      <c r="AD57" s="193"/>
      <c r="AE57" s="193"/>
      <c r="AF57" s="195">
        <v>1</v>
      </c>
      <c r="AG57" s="195"/>
      <c r="AH57" s="195"/>
      <c r="AI57" s="195">
        <f>IF($B$8="","",1)</f>
        <v>1</v>
      </c>
      <c r="AJ57" s="195"/>
      <c r="AK57" s="196" t="e">
        <f t="shared" ref="AK57" si="71">(V57/AF57)*AI57</f>
        <v>#VALUE!</v>
      </c>
      <c r="AL57" s="196"/>
      <c r="AM57" s="196"/>
      <c r="AN57" s="196"/>
      <c r="AO57" s="197"/>
      <c r="AP57" s="304">
        <v>9</v>
      </c>
      <c r="AQ57" s="305"/>
      <c r="AR57" s="305"/>
      <c r="AS57" s="305"/>
      <c r="AT57" s="329"/>
      <c r="AU57" s="330"/>
      <c r="AV57" s="331"/>
      <c r="AW57" s="113"/>
      <c r="AX57" s="113"/>
      <c r="AY57" s="113"/>
      <c r="AZ57" s="113"/>
      <c r="BA57" s="113"/>
    </row>
    <row r="58" spans="1:53" ht="14.85" customHeight="1" thickBot="1">
      <c r="A58" s="109"/>
      <c r="B58" s="306" t="s">
        <v>432</v>
      </c>
      <c r="C58" s="307"/>
      <c r="D58" s="307"/>
      <c r="E58" s="307"/>
      <c r="F58" s="307"/>
      <c r="G58" s="340" t="s">
        <v>365</v>
      </c>
      <c r="H58" s="340"/>
      <c r="I58" s="340"/>
      <c r="J58" s="340"/>
      <c r="K58" s="340"/>
      <c r="L58" s="340"/>
      <c r="M58" s="340"/>
      <c r="N58" s="340"/>
      <c r="O58" s="340"/>
      <c r="P58" s="340"/>
      <c r="Q58" s="340"/>
      <c r="R58" s="340"/>
      <c r="S58" s="340"/>
      <c r="T58" s="340"/>
      <c r="U58" s="340"/>
      <c r="V58" s="319" t="str">
        <f>I$16</f>
        <v/>
      </c>
      <c r="W58" s="320"/>
      <c r="X58" s="320"/>
      <c r="Y58" s="320"/>
      <c r="Z58" s="129" t="s">
        <v>434</v>
      </c>
      <c r="AA58" s="308" t="s">
        <v>37</v>
      </c>
      <c r="AB58" s="308"/>
      <c r="AC58" s="308"/>
      <c r="AD58" s="308"/>
      <c r="AE58" s="308"/>
      <c r="AF58" s="309">
        <v>1</v>
      </c>
      <c r="AG58" s="309"/>
      <c r="AH58" s="309"/>
      <c r="AI58" s="309">
        <f>IF($B$8="","",1)</f>
        <v>1</v>
      </c>
      <c r="AJ58" s="309"/>
      <c r="AK58" s="310" t="e">
        <f>(V58/AF58)*AI58</f>
        <v>#VALUE!</v>
      </c>
      <c r="AL58" s="310"/>
      <c r="AM58" s="310"/>
      <c r="AN58" s="310"/>
      <c r="AO58" s="311"/>
      <c r="AP58" s="304">
        <v>9</v>
      </c>
      <c r="AQ58" s="305"/>
      <c r="AR58" s="305"/>
      <c r="AS58" s="305"/>
      <c r="AT58" s="329"/>
      <c r="AU58" s="330"/>
      <c r="AV58" s="331"/>
      <c r="AW58" s="113"/>
      <c r="AX58" s="113"/>
      <c r="AY58" s="113"/>
      <c r="AZ58" s="113"/>
      <c r="BA58" s="113"/>
    </row>
    <row r="59" spans="1:53" ht="14.85" customHeight="1" thickTop="1" thickBot="1">
      <c r="A59" s="109"/>
      <c r="B59" s="338" t="s">
        <v>433</v>
      </c>
      <c r="C59" s="339"/>
      <c r="D59" s="339"/>
      <c r="E59" s="339"/>
      <c r="F59" s="339"/>
      <c r="G59" s="340" t="s">
        <v>366</v>
      </c>
      <c r="H59" s="340" t="s">
        <v>366</v>
      </c>
      <c r="I59" s="340" t="s">
        <v>366</v>
      </c>
      <c r="J59" s="340" t="s">
        <v>366</v>
      </c>
      <c r="K59" s="340" t="s">
        <v>366</v>
      </c>
      <c r="L59" s="340" t="s">
        <v>366</v>
      </c>
      <c r="M59" s="340" t="s">
        <v>366</v>
      </c>
      <c r="N59" s="340" t="s">
        <v>366</v>
      </c>
      <c r="O59" s="340" t="s">
        <v>366</v>
      </c>
      <c r="P59" s="340" t="s">
        <v>366</v>
      </c>
      <c r="Q59" s="340" t="s">
        <v>366</v>
      </c>
      <c r="R59" s="340" t="s">
        <v>366</v>
      </c>
      <c r="S59" s="340" t="s">
        <v>366</v>
      </c>
      <c r="T59" s="340" t="s">
        <v>366</v>
      </c>
      <c r="U59" s="340" t="s">
        <v>366</v>
      </c>
      <c r="V59" s="357"/>
      <c r="W59" s="358"/>
      <c r="X59" s="358"/>
      <c r="Y59" s="358"/>
      <c r="Z59" s="130"/>
      <c r="AA59" s="359" t="s">
        <v>37</v>
      </c>
      <c r="AB59" s="359"/>
      <c r="AC59" s="359"/>
      <c r="AD59" s="359"/>
      <c r="AE59" s="360"/>
      <c r="AF59" s="349"/>
      <c r="AG59" s="350"/>
      <c r="AH59" s="350"/>
      <c r="AI59" s="350"/>
      <c r="AJ59" s="351"/>
      <c r="AK59" s="343" t="e">
        <f>SQRT(SUMSQ(AK47:AO58))</f>
        <v>#VALUE!</v>
      </c>
      <c r="AL59" s="344"/>
      <c r="AM59" s="344"/>
      <c r="AN59" s="344"/>
      <c r="AO59" s="344"/>
      <c r="AP59" s="322" t="e">
        <f>IF(V58&lt;0.000000001,"∞",(AK59^4/((AK58^4/AP58)+(AK57^4/AP57))))</f>
        <v>#VALUE!</v>
      </c>
      <c r="AQ59" s="323"/>
      <c r="AR59" s="323"/>
      <c r="AS59" s="323"/>
      <c r="AT59" s="329"/>
      <c r="AU59" s="330"/>
      <c r="AV59" s="331"/>
      <c r="AW59" s="113"/>
      <c r="AX59" s="113"/>
      <c r="AY59" s="113"/>
      <c r="AZ59" s="113"/>
      <c r="BA59" s="113"/>
    </row>
    <row r="60" spans="1:53" ht="14.85" customHeight="1" thickTop="1" thickBot="1">
      <c r="A60" s="109"/>
      <c r="B60" s="338" t="s">
        <v>368</v>
      </c>
      <c r="C60" s="339"/>
      <c r="D60" s="339"/>
      <c r="E60" s="339"/>
      <c r="F60" s="339"/>
      <c r="G60" s="340" t="s">
        <v>369</v>
      </c>
      <c r="H60" s="340" t="s">
        <v>369</v>
      </c>
      <c r="I60" s="340" t="s">
        <v>369</v>
      </c>
      <c r="J60" s="340" t="s">
        <v>369</v>
      </c>
      <c r="K60" s="340" t="s">
        <v>369</v>
      </c>
      <c r="L60" s="340" t="s">
        <v>369</v>
      </c>
      <c r="M60" s="340" t="s">
        <v>369</v>
      </c>
      <c r="N60" s="340" t="s">
        <v>369</v>
      </c>
      <c r="O60" s="340" t="s">
        <v>369</v>
      </c>
      <c r="P60" s="340" t="s">
        <v>369</v>
      </c>
      <c r="Q60" s="340" t="s">
        <v>369</v>
      </c>
      <c r="R60" s="340" t="s">
        <v>369</v>
      </c>
      <c r="S60" s="340" t="s">
        <v>369</v>
      </c>
      <c r="T60" s="340" t="s">
        <v>369</v>
      </c>
      <c r="U60" s="340" t="s">
        <v>369</v>
      </c>
      <c r="V60" s="341"/>
      <c r="W60" s="342"/>
      <c r="X60" s="342"/>
      <c r="Y60" s="342"/>
      <c r="Z60" s="131"/>
      <c r="AA60" s="345" t="s">
        <v>370</v>
      </c>
      <c r="AB60" s="346"/>
      <c r="AC60" s="347" t="e">
        <f>IF(AP59="∞",2,TINV(0.0455,AP59))</f>
        <v>#VALUE!</v>
      </c>
      <c r="AD60" s="348"/>
      <c r="AE60" s="348"/>
      <c r="AF60" s="352"/>
      <c r="AG60" s="353"/>
      <c r="AH60" s="353"/>
      <c r="AI60" s="353"/>
      <c r="AJ60" s="354"/>
      <c r="AK60" s="343" t="e">
        <f>AK59*AC60</f>
        <v>#VALUE!</v>
      </c>
      <c r="AL60" s="344"/>
      <c r="AM60" s="344"/>
      <c r="AN60" s="344"/>
      <c r="AO60" s="344"/>
      <c r="AP60" s="324" t="s">
        <v>367</v>
      </c>
      <c r="AQ60" s="325" t="s">
        <v>367</v>
      </c>
      <c r="AR60" s="325" t="s">
        <v>367</v>
      </c>
      <c r="AS60" s="325"/>
      <c r="AT60" s="332"/>
      <c r="AU60" s="333"/>
      <c r="AV60" s="334"/>
      <c r="AW60" s="113"/>
      <c r="AX60" s="113"/>
      <c r="AY60" s="113"/>
      <c r="AZ60" s="113"/>
      <c r="BA60" s="113"/>
    </row>
    <row r="61" spans="1:53" ht="14.85" customHeight="1" thickTop="1" thickBot="1">
      <c r="A61" s="109"/>
      <c r="B61" s="139"/>
      <c r="C61" s="139"/>
      <c r="D61" s="139"/>
      <c r="E61" s="139"/>
      <c r="F61" s="139"/>
      <c r="G61" s="126"/>
      <c r="H61" s="126"/>
      <c r="I61" s="126"/>
      <c r="J61" s="126"/>
      <c r="K61" s="126"/>
      <c r="L61" s="126"/>
      <c r="M61" s="126"/>
      <c r="N61" s="126"/>
      <c r="O61" s="126"/>
      <c r="P61" s="126"/>
      <c r="Q61" s="126"/>
      <c r="R61" s="126"/>
      <c r="S61" s="126"/>
      <c r="T61" s="126"/>
      <c r="U61" s="126"/>
      <c r="V61" s="132"/>
      <c r="W61" s="132"/>
      <c r="X61" s="132"/>
      <c r="Y61" s="132"/>
      <c r="Z61" s="133"/>
      <c r="AA61" s="134"/>
      <c r="AB61" s="134"/>
      <c r="AC61" s="374" t="s">
        <v>371</v>
      </c>
      <c r="AD61" s="375"/>
      <c r="AE61" s="369">
        <f>IF($J$5&lt;0,0.04,0.03)</f>
        <v>0.03</v>
      </c>
      <c r="AF61" s="369"/>
      <c r="AG61" s="370"/>
      <c r="AH61" s="371" t="s">
        <v>372</v>
      </c>
      <c r="AI61" s="369"/>
      <c r="AJ61" s="369"/>
      <c r="AK61" s="372" t="e">
        <f>IF(AK60&lt;AE61,AE61,ROUNDUP(AK60,3))</f>
        <v>#VALUE!</v>
      </c>
      <c r="AL61" s="372"/>
      <c r="AM61" s="372"/>
      <c r="AN61" s="372"/>
      <c r="AO61" s="373"/>
      <c r="AP61" s="134"/>
      <c r="AQ61" s="134"/>
      <c r="AR61" s="134"/>
      <c r="AS61" s="132"/>
      <c r="AT61" s="132"/>
      <c r="AU61" s="132"/>
      <c r="AV61" s="132"/>
      <c r="AW61" s="113"/>
      <c r="AX61" s="113"/>
      <c r="AY61" s="113"/>
      <c r="AZ61" s="113"/>
      <c r="BA61" s="113"/>
    </row>
    <row r="62" spans="1:53" ht="14.85" customHeight="1" thickTop="1" thickBot="1">
      <c r="A62" s="109"/>
      <c r="B62" s="139"/>
      <c r="C62" s="139"/>
      <c r="D62" s="139"/>
      <c r="E62" s="139"/>
      <c r="F62" s="139"/>
      <c r="G62" s="121"/>
      <c r="H62" s="121"/>
      <c r="I62" s="121"/>
      <c r="J62" s="121"/>
      <c r="K62" s="121"/>
      <c r="L62" s="121"/>
      <c r="M62" s="121"/>
      <c r="N62" s="121"/>
      <c r="O62" s="121"/>
      <c r="P62" s="121"/>
      <c r="Q62" s="121"/>
      <c r="R62" s="121"/>
      <c r="S62" s="121"/>
      <c r="T62" s="121"/>
      <c r="U62" s="121"/>
      <c r="V62" s="113"/>
      <c r="W62" s="113"/>
      <c r="X62" s="113"/>
      <c r="Y62" s="113"/>
      <c r="Z62" s="123"/>
      <c r="AA62" s="124"/>
      <c r="AB62" s="124"/>
      <c r="AC62" s="124"/>
      <c r="AD62" s="124"/>
      <c r="AE62" s="124"/>
      <c r="AF62" s="125"/>
      <c r="AG62" s="125"/>
      <c r="AH62" s="125"/>
      <c r="AI62" s="125"/>
      <c r="AJ62" s="125"/>
      <c r="AK62" s="113"/>
      <c r="AL62" s="113"/>
      <c r="AM62" s="113"/>
      <c r="AN62" s="113"/>
      <c r="AO62" s="113"/>
      <c r="AP62" s="124"/>
      <c r="AQ62" s="124"/>
      <c r="AR62" s="124"/>
      <c r="AS62" s="113"/>
      <c r="AT62" s="113"/>
      <c r="AU62" s="113"/>
      <c r="AV62" s="113"/>
      <c r="AW62" s="113"/>
      <c r="AX62" s="113"/>
      <c r="AY62" s="113"/>
      <c r="AZ62" s="113"/>
      <c r="BA62" s="113"/>
    </row>
    <row r="63" spans="1:53" ht="14.85" customHeight="1" thickTop="1" thickBot="1">
      <c r="B63" s="355" t="s">
        <v>347</v>
      </c>
      <c r="C63" s="356"/>
      <c r="D63" s="356"/>
      <c r="E63" s="356"/>
      <c r="F63" s="356"/>
      <c r="G63" s="312" t="s">
        <v>348</v>
      </c>
      <c r="H63" s="312"/>
      <c r="I63" s="312"/>
      <c r="J63" s="312"/>
      <c r="K63" s="312"/>
      <c r="L63" s="312"/>
      <c r="M63" s="312"/>
      <c r="N63" s="312"/>
      <c r="O63" s="312"/>
      <c r="P63" s="312"/>
      <c r="Q63" s="312"/>
      <c r="R63" s="312"/>
      <c r="S63" s="312"/>
      <c r="T63" s="312"/>
      <c r="U63" s="312"/>
      <c r="V63" s="187" t="s">
        <v>417</v>
      </c>
      <c r="W63" s="187"/>
      <c r="X63" s="187"/>
      <c r="Y63" s="187"/>
      <c r="Z63" s="187"/>
      <c r="AA63" s="186" t="s">
        <v>418</v>
      </c>
      <c r="AB63" s="187"/>
      <c r="AC63" s="187"/>
      <c r="AD63" s="187"/>
      <c r="AE63" s="187"/>
      <c r="AF63" s="187" t="s">
        <v>349</v>
      </c>
      <c r="AG63" s="187"/>
      <c r="AH63" s="187"/>
      <c r="AI63" s="187" t="s">
        <v>350</v>
      </c>
      <c r="AJ63" s="187"/>
      <c r="AK63" s="186" t="s">
        <v>419</v>
      </c>
      <c r="AL63" s="187"/>
      <c r="AM63" s="187"/>
      <c r="AN63" s="187"/>
      <c r="AO63" s="187"/>
      <c r="AP63" s="361" t="s">
        <v>420</v>
      </c>
      <c r="AQ63" s="362"/>
      <c r="AR63" s="362"/>
      <c r="AS63" s="362"/>
      <c r="AT63" s="326" t="str">
        <f>IF(M7="","",IF(M7="CH1","","2"))</f>
        <v>2</v>
      </c>
      <c r="AU63" s="327"/>
      <c r="AV63" s="328"/>
      <c r="AW63" s="113"/>
      <c r="AX63" s="113"/>
      <c r="AY63" s="113"/>
      <c r="AZ63" s="113"/>
      <c r="BA63" s="113"/>
    </row>
    <row r="64" spans="1:53" ht="14.85" customHeight="1" thickTop="1" thickBot="1">
      <c r="A64" s="122"/>
      <c r="B64" s="355"/>
      <c r="C64" s="356"/>
      <c r="D64" s="356"/>
      <c r="E64" s="356"/>
      <c r="F64" s="356"/>
      <c r="G64" s="312"/>
      <c r="H64" s="312"/>
      <c r="I64" s="312"/>
      <c r="J64" s="312"/>
      <c r="K64" s="312"/>
      <c r="L64" s="312"/>
      <c r="M64" s="312"/>
      <c r="N64" s="312"/>
      <c r="O64" s="312"/>
      <c r="P64" s="312"/>
      <c r="Q64" s="312"/>
      <c r="R64" s="312"/>
      <c r="S64" s="312"/>
      <c r="T64" s="312"/>
      <c r="U64" s="312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7"/>
      <c r="AI64" s="187"/>
      <c r="AJ64" s="187"/>
      <c r="AK64" s="187"/>
      <c r="AL64" s="187"/>
      <c r="AM64" s="187"/>
      <c r="AN64" s="187"/>
      <c r="AO64" s="187"/>
      <c r="AP64" s="363"/>
      <c r="AQ64" s="364"/>
      <c r="AR64" s="364"/>
      <c r="AS64" s="364"/>
      <c r="AT64" s="329"/>
      <c r="AU64" s="330"/>
      <c r="AV64" s="331"/>
      <c r="AW64" s="113"/>
      <c r="AX64" s="113"/>
      <c r="AY64" s="113"/>
      <c r="AZ64" s="113"/>
      <c r="BA64" s="113"/>
    </row>
    <row r="65" spans="1:53" ht="14.85" customHeight="1" thickTop="1">
      <c r="A65" s="109"/>
      <c r="B65" s="188" t="s">
        <v>421</v>
      </c>
      <c r="C65" s="189"/>
      <c r="D65" s="189"/>
      <c r="E65" s="189"/>
      <c r="F65" s="189"/>
      <c r="G65" s="321" t="s">
        <v>351</v>
      </c>
      <c r="H65" s="321"/>
      <c r="I65" s="321"/>
      <c r="J65" s="321"/>
      <c r="K65" s="321"/>
      <c r="L65" s="321"/>
      <c r="M65" s="321"/>
      <c r="N65" s="321"/>
      <c r="O65" s="321"/>
      <c r="P65" s="321"/>
      <c r="Q65" s="321"/>
      <c r="R65" s="321"/>
      <c r="S65" s="321"/>
      <c r="T65" s="321"/>
      <c r="U65" s="321"/>
      <c r="V65" s="367">
        <f>$V$47</f>
        <v>3.0000000000000001E-3</v>
      </c>
      <c r="W65" s="368"/>
      <c r="X65" s="368"/>
      <c r="Y65" s="368"/>
      <c r="Z65" s="127" t="s">
        <v>434</v>
      </c>
      <c r="AA65" s="192" t="s">
        <v>37</v>
      </c>
      <c r="AB65" s="192"/>
      <c r="AC65" s="192"/>
      <c r="AD65" s="192"/>
      <c r="AE65" s="192"/>
      <c r="AF65" s="289">
        <v>2</v>
      </c>
      <c r="AG65" s="289"/>
      <c r="AH65" s="289"/>
      <c r="AI65" s="289">
        <v>1</v>
      </c>
      <c r="AJ65" s="289"/>
      <c r="AK65" s="290">
        <f>(V65/AF65)*AI65</f>
        <v>1.5E-3</v>
      </c>
      <c r="AL65" s="290"/>
      <c r="AM65" s="290"/>
      <c r="AN65" s="290"/>
      <c r="AO65" s="291"/>
      <c r="AP65" s="365" t="str">
        <f t="shared" ref="AP65:AP74" si="72">IF($B$8="","","∞")</f>
        <v>∞</v>
      </c>
      <c r="AQ65" s="366"/>
      <c r="AR65" s="366"/>
      <c r="AS65" s="366"/>
      <c r="AT65" s="329"/>
      <c r="AU65" s="330"/>
      <c r="AV65" s="331"/>
      <c r="AW65" s="113"/>
      <c r="AX65" s="113"/>
      <c r="AY65" s="113"/>
      <c r="AZ65" s="113"/>
      <c r="BA65" s="113"/>
    </row>
    <row r="66" spans="1:53" ht="14.85" customHeight="1">
      <c r="A66" s="109"/>
      <c r="B66" s="190" t="s">
        <v>422</v>
      </c>
      <c r="C66" s="191"/>
      <c r="D66" s="191"/>
      <c r="E66" s="191"/>
      <c r="F66" s="191"/>
      <c r="G66" s="194" t="s">
        <v>352</v>
      </c>
      <c r="H66" s="194"/>
      <c r="I66" s="194"/>
      <c r="J66" s="194"/>
      <c r="K66" s="194"/>
      <c r="L66" s="194"/>
      <c r="M66" s="194"/>
      <c r="N66" s="194"/>
      <c r="O66" s="194"/>
      <c r="P66" s="194"/>
      <c r="Q66" s="194"/>
      <c r="R66" s="194"/>
      <c r="S66" s="194"/>
      <c r="T66" s="194"/>
      <c r="U66" s="194"/>
      <c r="V66" s="317">
        <f>$V$48</f>
        <v>1.6000000000000001E-3</v>
      </c>
      <c r="W66" s="318"/>
      <c r="X66" s="318"/>
      <c r="Y66" s="318"/>
      <c r="Z66" s="128" t="s">
        <v>353</v>
      </c>
      <c r="AA66" s="193" t="s">
        <v>354</v>
      </c>
      <c r="AB66" s="193"/>
      <c r="AC66" s="193"/>
      <c r="AD66" s="193"/>
      <c r="AE66" s="193"/>
      <c r="AF66" s="195" t="s">
        <v>355</v>
      </c>
      <c r="AG66" s="195"/>
      <c r="AH66" s="195"/>
      <c r="AI66" s="195">
        <v>10</v>
      </c>
      <c r="AJ66" s="195"/>
      <c r="AK66" s="196">
        <f>(V66/SQRT(3))*AI66</f>
        <v>9.2376043070340128E-3</v>
      </c>
      <c r="AL66" s="196"/>
      <c r="AM66" s="196"/>
      <c r="AN66" s="196"/>
      <c r="AO66" s="197"/>
      <c r="AP66" s="304" t="str">
        <f t="shared" si="72"/>
        <v>∞</v>
      </c>
      <c r="AQ66" s="305"/>
      <c r="AR66" s="305"/>
      <c r="AS66" s="305"/>
      <c r="AT66" s="329"/>
      <c r="AU66" s="330"/>
      <c r="AV66" s="331"/>
      <c r="AW66" s="113"/>
      <c r="AX66" s="113"/>
      <c r="AY66" s="113"/>
      <c r="AZ66" s="113"/>
      <c r="BA66" s="113"/>
    </row>
    <row r="67" spans="1:53" ht="14.85" customHeight="1">
      <c r="A67" s="109"/>
      <c r="B67" s="190" t="s">
        <v>423</v>
      </c>
      <c r="C67" s="191"/>
      <c r="D67" s="191"/>
      <c r="E67" s="191"/>
      <c r="F67" s="191"/>
      <c r="G67" s="194" t="s">
        <v>356</v>
      </c>
      <c r="H67" s="194"/>
      <c r="I67" s="194"/>
      <c r="J67" s="194"/>
      <c r="K67" s="194"/>
      <c r="L67" s="194"/>
      <c r="M67" s="194"/>
      <c r="N67" s="194"/>
      <c r="O67" s="194"/>
      <c r="P67" s="194"/>
      <c r="Q67" s="194"/>
      <c r="R67" s="194"/>
      <c r="S67" s="194"/>
      <c r="T67" s="194"/>
      <c r="U67" s="194"/>
      <c r="V67" s="317">
        <f>$V$49</f>
        <v>1E-3</v>
      </c>
      <c r="W67" s="318"/>
      <c r="X67" s="318"/>
      <c r="Y67" s="318"/>
      <c r="Z67" s="128" t="s">
        <v>353</v>
      </c>
      <c r="AA67" s="193" t="s">
        <v>354</v>
      </c>
      <c r="AB67" s="193"/>
      <c r="AC67" s="193"/>
      <c r="AD67" s="193"/>
      <c r="AE67" s="193"/>
      <c r="AF67" s="195">
        <v>2</v>
      </c>
      <c r="AG67" s="195"/>
      <c r="AH67" s="195"/>
      <c r="AI67" s="195">
        <v>10</v>
      </c>
      <c r="AJ67" s="195"/>
      <c r="AK67" s="196">
        <f>(V67/AF67)*AI67</f>
        <v>5.0000000000000001E-3</v>
      </c>
      <c r="AL67" s="196"/>
      <c r="AM67" s="196"/>
      <c r="AN67" s="196"/>
      <c r="AO67" s="197"/>
      <c r="AP67" s="304" t="str">
        <f t="shared" si="72"/>
        <v>∞</v>
      </c>
      <c r="AQ67" s="305"/>
      <c r="AR67" s="305"/>
      <c r="AS67" s="305"/>
      <c r="AT67" s="329"/>
      <c r="AU67" s="330"/>
      <c r="AV67" s="331"/>
      <c r="AW67" s="113"/>
      <c r="AX67" s="113"/>
      <c r="AY67" s="113"/>
      <c r="AZ67" s="113"/>
      <c r="BA67" s="113"/>
    </row>
    <row r="68" spans="1:53" ht="14.85" customHeight="1">
      <c r="A68" s="109"/>
      <c r="B68" s="190" t="s">
        <v>424</v>
      </c>
      <c r="C68" s="191"/>
      <c r="D68" s="191"/>
      <c r="E68" s="191"/>
      <c r="F68" s="191"/>
      <c r="G68" s="194" t="s">
        <v>357</v>
      </c>
      <c r="H68" s="194"/>
      <c r="I68" s="194"/>
      <c r="J68" s="194"/>
      <c r="K68" s="194"/>
      <c r="L68" s="194"/>
      <c r="M68" s="194"/>
      <c r="N68" s="194"/>
      <c r="O68" s="194"/>
      <c r="P68" s="194"/>
      <c r="Q68" s="194"/>
      <c r="R68" s="194"/>
      <c r="S68" s="194"/>
      <c r="T68" s="194"/>
      <c r="U68" s="194"/>
      <c r="V68" s="317">
        <f>$V$50</f>
        <v>1E-3</v>
      </c>
      <c r="W68" s="318"/>
      <c r="X68" s="318"/>
      <c r="Y68" s="318"/>
      <c r="Z68" s="128" t="s">
        <v>353</v>
      </c>
      <c r="AA68" s="193" t="s">
        <v>354</v>
      </c>
      <c r="AB68" s="193"/>
      <c r="AC68" s="193"/>
      <c r="AD68" s="193"/>
      <c r="AE68" s="193"/>
      <c r="AF68" s="195" t="s">
        <v>355</v>
      </c>
      <c r="AG68" s="195"/>
      <c r="AH68" s="195"/>
      <c r="AI68" s="195">
        <v>10</v>
      </c>
      <c r="AJ68" s="195"/>
      <c r="AK68" s="196">
        <f>(V68/SQRT(3))*AI68</f>
        <v>5.773502691896258E-3</v>
      </c>
      <c r="AL68" s="196"/>
      <c r="AM68" s="196"/>
      <c r="AN68" s="196"/>
      <c r="AO68" s="197"/>
      <c r="AP68" s="304" t="str">
        <f t="shared" si="72"/>
        <v>∞</v>
      </c>
      <c r="AQ68" s="305"/>
      <c r="AR68" s="305"/>
      <c r="AS68" s="305"/>
      <c r="AT68" s="329"/>
      <c r="AU68" s="330"/>
      <c r="AV68" s="331"/>
      <c r="AW68" s="113"/>
      <c r="AX68" s="113"/>
      <c r="AY68" s="113"/>
      <c r="AZ68" s="113"/>
      <c r="BA68" s="113"/>
    </row>
    <row r="69" spans="1:53" ht="14.85" customHeight="1">
      <c r="A69" s="109"/>
      <c r="B69" s="190" t="s">
        <v>425</v>
      </c>
      <c r="C69" s="191"/>
      <c r="D69" s="191"/>
      <c r="E69" s="191"/>
      <c r="F69" s="191"/>
      <c r="G69" s="194" t="s">
        <v>358</v>
      </c>
      <c r="H69" s="194"/>
      <c r="I69" s="194"/>
      <c r="J69" s="194"/>
      <c r="K69" s="194"/>
      <c r="L69" s="194"/>
      <c r="M69" s="194"/>
      <c r="N69" s="194"/>
      <c r="O69" s="194"/>
      <c r="P69" s="194"/>
      <c r="Q69" s="194"/>
      <c r="R69" s="194"/>
      <c r="S69" s="194"/>
      <c r="T69" s="194"/>
      <c r="U69" s="194"/>
      <c r="V69" s="317">
        <f>$V$51</f>
        <v>5.0000000000000002E-5</v>
      </c>
      <c r="W69" s="318"/>
      <c r="X69" s="318"/>
      <c r="Y69" s="318"/>
      <c r="Z69" s="128" t="s">
        <v>434</v>
      </c>
      <c r="AA69" s="193" t="s">
        <v>354</v>
      </c>
      <c r="AB69" s="193"/>
      <c r="AC69" s="193"/>
      <c r="AD69" s="193"/>
      <c r="AE69" s="193"/>
      <c r="AF69" s="195" t="s">
        <v>355</v>
      </c>
      <c r="AG69" s="195"/>
      <c r="AH69" s="195"/>
      <c r="AI69" s="195">
        <v>1</v>
      </c>
      <c r="AJ69" s="195"/>
      <c r="AK69" s="196">
        <f>(V69/SQRT(3))*AI69</f>
        <v>2.8867513459481293E-5</v>
      </c>
      <c r="AL69" s="196"/>
      <c r="AM69" s="196"/>
      <c r="AN69" s="196"/>
      <c r="AO69" s="197"/>
      <c r="AP69" s="304" t="str">
        <f t="shared" si="72"/>
        <v>∞</v>
      </c>
      <c r="AQ69" s="305"/>
      <c r="AR69" s="305"/>
      <c r="AS69" s="305"/>
      <c r="AT69" s="329"/>
      <c r="AU69" s="330"/>
      <c r="AV69" s="331"/>
      <c r="AW69" s="113"/>
      <c r="AX69" s="113"/>
      <c r="AY69" s="113"/>
      <c r="AZ69" s="113"/>
      <c r="BA69" s="113"/>
    </row>
    <row r="70" spans="1:53" ht="14.85" customHeight="1">
      <c r="A70" s="109"/>
      <c r="B70" s="190" t="s">
        <v>426</v>
      </c>
      <c r="C70" s="191"/>
      <c r="D70" s="191"/>
      <c r="E70" s="191"/>
      <c r="F70" s="191"/>
      <c r="G70" s="194" t="s">
        <v>359</v>
      </c>
      <c r="H70" s="194"/>
      <c r="I70" s="194"/>
      <c r="J70" s="194"/>
      <c r="K70" s="194"/>
      <c r="L70" s="194"/>
      <c r="M70" s="194"/>
      <c r="N70" s="194"/>
      <c r="O70" s="194"/>
      <c r="P70" s="194"/>
      <c r="Q70" s="194"/>
      <c r="R70" s="194"/>
      <c r="S70" s="194"/>
      <c r="T70" s="194"/>
      <c r="U70" s="194"/>
      <c r="V70" s="317">
        <f>$V$52</f>
        <v>0.01</v>
      </c>
      <c r="W70" s="318"/>
      <c r="X70" s="318"/>
      <c r="Y70" s="318"/>
      <c r="Z70" s="128" t="s">
        <v>434</v>
      </c>
      <c r="AA70" s="193" t="s">
        <v>354</v>
      </c>
      <c r="AB70" s="193"/>
      <c r="AC70" s="193"/>
      <c r="AD70" s="193"/>
      <c r="AE70" s="193"/>
      <c r="AF70" s="195" t="s">
        <v>355</v>
      </c>
      <c r="AG70" s="195"/>
      <c r="AH70" s="195"/>
      <c r="AI70" s="195">
        <v>1</v>
      </c>
      <c r="AJ70" s="195"/>
      <c r="AK70" s="196">
        <f>(V70/SQRT(3))*AI70</f>
        <v>5.773502691896258E-3</v>
      </c>
      <c r="AL70" s="196"/>
      <c r="AM70" s="196"/>
      <c r="AN70" s="196"/>
      <c r="AO70" s="197"/>
      <c r="AP70" s="304" t="str">
        <f t="shared" si="72"/>
        <v>∞</v>
      </c>
      <c r="AQ70" s="305"/>
      <c r="AR70" s="305"/>
      <c r="AS70" s="305"/>
      <c r="AT70" s="329"/>
      <c r="AU70" s="330"/>
      <c r="AV70" s="331"/>
      <c r="AW70" s="113"/>
      <c r="AX70" s="113"/>
      <c r="AY70" s="113"/>
      <c r="AZ70" s="113"/>
      <c r="BA70" s="113"/>
    </row>
    <row r="71" spans="1:53" ht="14.85" customHeight="1">
      <c r="A71" s="109"/>
      <c r="B71" s="190" t="s">
        <v>427</v>
      </c>
      <c r="C71" s="191"/>
      <c r="D71" s="191"/>
      <c r="E71" s="191"/>
      <c r="F71" s="191"/>
      <c r="G71" s="194" t="s">
        <v>360</v>
      </c>
      <c r="H71" s="194"/>
      <c r="I71" s="194"/>
      <c r="J71" s="194"/>
      <c r="K71" s="194"/>
      <c r="L71" s="194"/>
      <c r="M71" s="194"/>
      <c r="N71" s="194"/>
      <c r="O71" s="194"/>
      <c r="P71" s="194"/>
      <c r="Q71" s="194"/>
      <c r="R71" s="194"/>
      <c r="S71" s="194"/>
      <c r="T71" s="194"/>
      <c r="U71" s="194"/>
      <c r="V71" s="317">
        <f>$V$53</f>
        <v>0.01</v>
      </c>
      <c r="W71" s="318"/>
      <c r="X71" s="318"/>
      <c r="Y71" s="318"/>
      <c r="Z71" s="128" t="s">
        <v>434</v>
      </c>
      <c r="AA71" s="193" t="s">
        <v>354</v>
      </c>
      <c r="AB71" s="193"/>
      <c r="AC71" s="193"/>
      <c r="AD71" s="193"/>
      <c r="AE71" s="193"/>
      <c r="AF71" s="195" t="s">
        <v>355</v>
      </c>
      <c r="AG71" s="195"/>
      <c r="AH71" s="195"/>
      <c r="AI71" s="195">
        <v>1</v>
      </c>
      <c r="AJ71" s="195"/>
      <c r="AK71" s="196">
        <f t="shared" ref="AK71:AK73" si="73">(V71/SQRT(3))*AI71</f>
        <v>5.773502691896258E-3</v>
      </c>
      <c r="AL71" s="196"/>
      <c r="AM71" s="196"/>
      <c r="AN71" s="196"/>
      <c r="AO71" s="197"/>
      <c r="AP71" s="304" t="str">
        <f t="shared" si="72"/>
        <v>∞</v>
      </c>
      <c r="AQ71" s="305"/>
      <c r="AR71" s="305"/>
      <c r="AS71" s="305"/>
      <c r="AT71" s="329"/>
      <c r="AU71" s="330"/>
      <c r="AV71" s="331"/>
      <c r="AW71" s="113"/>
      <c r="AX71" s="113"/>
      <c r="AY71" s="113"/>
      <c r="AZ71" s="113"/>
      <c r="BA71" s="113"/>
    </row>
    <row r="72" spans="1:53" ht="14.85" customHeight="1">
      <c r="A72" s="109"/>
      <c r="B72" s="190" t="s">
        <v>428</v>
      </c>
      <c r="C72" s="191"/>
      <c r="D72" s="191"/>
      <c r="E72" s="191"/>
      <c r="F72" s="191"/>
      <c r="G72" s="194" t="s">
        <v>361</v>
      </c>
      <c r="H72" s="194"/>
      <c r="I72" s="194"/>
      <c r="J72" s="194"/>
      <c r="K72" s="194"/>
      <c r="L72" s="194"/>
      <c r="M72" s="194"/>
      <c r="N72" s="194"/>
      <c r="O72" s="194"/>
      <c r="P72" s="194"/>
      <c r="Q72" s="194"/>
      <c r="R72" s="194"/>
      <c r="S72" s="194"/>
      <c r="T72" s="194"/>
      <c r="U72" s="194"/>
      <c r="V72" s="317">
        <f>$AB$3/2</f>
        <v>0</v>
      </c>
      <c r="W72" s="318"/>
      <c r="X72" s="318"/>
      <c r="Y72" s="318"/>
      <c r="Z72" s="128" t="s">
        <v>434</v>
      </c>
      <c r="AA72" s="193" t="s">
        <v>354</v>
      </c>
      <c r="AB72" s="193"/>
      <c r="AC72" s="193"/>
      <c r="AD72" s="193"/>
      <c r="AE72" s="193"/>
      <c r="AF72" s="195" t="s">
        <v>355</v>
      </c>
      <c r="AG72" s="195"/>
      <c r="AH72" s="195"/>
      <c r="AI72" s="195">
        <v>1</v>
      </c>
      <c r="AJ72" s="195"/>
      <c r="AK72" s="196">
        <f t="shared" si="73"/>
        <v>0</v>
      </c>
      <c r="AL72" s="196"/>
      <c r="AM72" s="196"/>
      <c r="AN72" s="196"/>
      <c r="AO72" s="197"/>
      <c r="AP72" s="304" t="str">
        <f t="shared" si="72"/>
        <v>∞</v>
      </c>
      <c r="AQ72" s="305"/>
      <c r="AR72" s="305"/>
      <c r="AS72" s="305"/>
      <c r="AT72" s="329"/>
      <c r="AU72" s="330"/>
      <c r="AV72" s="331"/>
      <c r="AW72" s="113"/>
      <c r="AX72" s="113"/>
      <c r="AY72" s="113"/>
      <c r="AZ72" s="113"/>
      <c r="BA72" s="113"/>
    </row>
    <row r="73" spans="1:53" ht="14.85" customHeight="1">
      <c r="A73" s="109"/>
      <c r="B73" s="190" t="s">
        <v>429</v>
      </c>
      <c r="C73" s="191"/>
      <c r="D73" s="191"/>
      <c r="E73" s="191"/>
      <c r="F73" s="191"/>
      <c r="G73" s="194" t="s">
        <v>362</v>
      </c>
      <c r="H73" s="194"/>
      <c r="I73" s="194"/>
      <c r="J73" s="194"/>
      <c r="K73" s="194"/>
      <c r="L73" s="194"/>
      <c r="M73" s="194"/>
      <c r="N73" s="194"/>
      <c r="O73" s="194"/>
      <c r="P73" s="194"/>
      <c r="Q73" s="194"/>
      <c r="R73" s="194"/>
      <c r="S73" s="194"/>
      <c r="T73" s="194"/>
      <c r="U73" s="194"/>
      <c r="V73" s="317" t="str">
        <f>M$31</f>
        <v/>
      </c>
      <c r="W73" s="318"/>
      <c r="X73" s="318"/>
      <c r="Y73" s="318"/>
      <c r="Z73" s="128" t="s">
        <v>434</v>
      </c>
      <c r="AA73" s="193" t="s">
        <v>354</v>
      </c>
      <c r="AB73" s="193"/>
      <c r="AC73" s="193"/>
      <c r="AD73" s="193"/>
      <c r="AE73" s="193"/>
      <c r="AF73" s="195" t="s">
        <v>355</v>
      </c>
      <c r="AG73" s="195"/>
      <c r="AH73" s="195"/>
      <c r="AI73" s="195">
        <v>1</v>
      </c>
      <c r="AJ73" s="195"/>
      <c r="AK73" s="196" t="e">
        <f t="shared" si="73"/>
        <v>#VALUE!</v>
      </c>
      <c r="AL73" s="196"/>
      <c r="AM73" s="196"/>
      <c r="AN73" s="196"/>
      <c r="AO73" s="197"/>
      <c r="AP73" s="304" t="str">
        <f t="shared" si="72"/>
        <v>∞</v>
      </c>
      <c r="AQ73" s="305"/>
      <c r="AR73" s="305"/>
      <c r="AS73" s="305"/>
      <c r="AT73" s="329"/>
      <c r="AU73" s="330"/>
      <c r="AV73" s="331"/>
      <c r="AW73" s="113"/>
      <c r="AX73" s="113"/>
      <c r="AY73" s="113"/>
      <c r="AZ73" s="113"/>
      <c r="BA73" s="113"/>
    </row>
    <row r="74" spans="1:53" ht="14.85" customHeight="1">
      <c r="A74" s="109"/>
      <c r="B74" s="190" t="s">
        <v>430</v>
      </c>
      <c r="C74" s="191"/>
      <c r="D74" s="191"/>
      <c r="E74" s="191"/>
      <c r="F74" s="191"/>
      <c r="G74" s="194" t="s">
        <v>363</v>
      </c>
      <c r="H74" s="194"/>
      <c r="I74" s="194"/>
      <c r="J74" s="194"/>
      <c r="K74" s="194"/>
      <c r="L74" s="194"/>
      <c r="M74" s="194"/>
      <c r="N74" s="194"/>
      <c r="O74" s="194"/>
      <c r="P74" s="194"/>
      <c r="Q74" s="194"/>
      <c r="R74" s="194"/>
      <c r="S74" s="194"/>
      <c r="T74" s="194"/>
      <c r="U74" s="194"/>
      <c r="V74" s="317">
        <v>0</v>
      </c>
      <c r="W74" s="318"/>
      <c r="X74" s="318"/>
      <c r="Y74" s="318"/>
      <c r="Z74" s="128" t="s">
        <v>434</v>
      </c>
      <c r="AA74" s="193" t="s">
        <v>354</v>
      </c>
      <c r="AB74" s="193"/>
      <c r="AC74" s="193"/>
      <c r="AD74" s="193"/>
      <c r="AE74" s="193"/>
      <c r="AF74" s="195" t="s">
        <v>355</v>
      </c>
      <c r="AG74" s="195"/>
      <c r="AH74" s="195"/>
      <c r="AI74" s="195">
        <v>1</v>
      </c>
      <c r="AJ74" s="195"/>
      <c r="AK74" s="196">
        <f>(V74/SQRT(3))*AI74</f>
        <v>0</v>
      </c>
      <c r="AL74" s="196"/>
      <c r="AM74" s="196"/>
      <c r="AN74" s="196"/>
      <c r="AO74" s="197"/>
      <c r="AP74" s="304" t="str">
        <f t="shared" si="72"/>
        <v>∞</v>
      </c>
      <c r="AQ74" s="305"/>
      <c r="AR74" s="305"/>
      <c r="AS74" s="305"/>
      <c r="AT74" s="329"/>
      <c r="AU74" s="330"/>
      <c r="AV74" s="331"/>
      <c r="AW74" s="113"/>
      <c r="AX74" s="113"/>
      <c r="AY74" s="113"/>
      <c r="AZ74" s="113"/>
      <c r="BA74" s="113"/>
    </row>
    <row r="75" spans="1:53" ht="14.85" customHeight="1">
      <c r="A75" s="109"/>
      <c r="B75" s="190" t="s">
        <v>431</v>
      </c>
      <c r="C75" s="191"/>
      <c r="D75" s="191"/>
      <c r="E75" s="191"/>
      <c r="F75" s="191"/>
      <c r="G75" s="194" t="s">
        <v>364</v>
      </c>
      <c r="H75" s="194"/>
      <c r="I75" s="194"/>
      <c r="J75" s="194"/>
      <c r="K75" s="194"/>
      <c r="L75" s="194"/>
      <c r="M75" s="194"/>
      <c r="N75" s="194"/>
      <c r="O75" s="194"/>
      <c r="P75" s="194"/>
      <c r="Q75" s="194"/>
      <c r="R75" s="194"/>
      <c r="S75" s="194"/>
      <c r="T75" s="194"/>
      <c r="U75" s="194"/>
      <c r="V75" s="317" t="str">
        <f>$E$16</f>
        <v/>
      </c>
      <c r="W75" s="318"/>
      <c r="X75" s="318"/>
      <c r="Y75" s="318"/>
      <c r="Z75" s="128" t="s">
        <v>434</v>
      </c>
      <c r="AA75" s="193" t="s">
        <v>37</v>
      </c>
      <c r="AB75" s="193"/>
      <c r="AC75" s="193"/>
      <c r="AD75" s="193"/>
      <c r="AE75" s="193"/>
      <c r="AF75" s="195">
        <v>1</v>
      </c>
      <c r="AG75" s="195"/>
      <c r="AH75" s="195"/>
      <c r="AI75" s="195">
        <f>IF($B$8="","",1)</f>
        <v>1</v>
      </c>
      <c r="AJ75" s="195"/>
      <c r="AK75" s="196" t="e">
        <f t="shared" ref="AK75" si="74">(V75/AF75)*AI75</f>
        <v>#VALUE!</v>
      </c>
      <c r="AL75" s="196"/>
      <c r="AM75" s="196"/>
      <c r="AN75" s="196"/>
      <c r="AO75" s="197"/>
      <c r="AP75" s="304">
        <v>9</v>
      </c>
      <c r="AQ75" s="305"/>
      <c r="AR75" s="305"/>
      <c r="AS75" s="305"/>
      <c r="AT75" s="329"/>
      <c r="AU75" s="330"/>
      <c r="AV75" s="331"/>
      <c r="AW75" s="113"/>
      <c r="AX75" s="113"/>
      <c r="AY75" s="113"/>
      <c r="AZ75" s="113"/>
      <c r="BA75" s="113"/>
    </row>
    <row r="76" spans="1:53" ht="14.85" customHeight="1" thickBot="1">
      <c r="A76" s="109"/>
      <c r="B76" s="306" t="s">
        <v>432</v>
      </c>
      <c r="C76" s="307"/>
      <c r="D76" s="307"/>
      <c r="E76" s="307"/>
      <c r="F76" s="307"/>
      <c r="G76" s="340" t="s">
        <v>365</v>
      </c>
      <c r="H76" s="340"/>
      <c r="I76" s="340"/>
      <c r="J76" s="340"/>
      <c r="K76" s="340"/>
      <c r="L76" s="340"/>
      <c r="M76" s="340"/>
      <c r="N76" s="340"/>
      <c r="O76" s="340"/>
      <c r="P76" s="340"/>
      <c r="Q76" s="340"/>
      <c r="R76" s="340"/>
      <c r="S76" s="340"/>
      <c r="T76" s="340"/>
      <c r="U76" s="340"/>
      <c r="V76" s="319" t="str">
        <f>M$16</f>
        <v/>
      </c>
      <c r="W76" s="320"/>
      <c r="X76" s="320"/>
      <c r="Y76" s="320"/>
      <c r="Z76" s="129" t="s">
        <v>434</v>
      </c>
      <c r="AA76" s="308" t="s">
        <v>37</v>
      </c>
      <c r="AB76" s="308"/>
      <c r="AC76" s="308"/>
      <c r="AD76" s="308"/>
      <c r="AE76" s="308"/>
      <c r="AF76" s="309">
        <v>1</v>
      </c>
      <c r="AG76" s="309"/>
      <c r="AH76" s="309"/>
      <c r="AI76" s="309">
        <f>IF($B$8="","",1)</f>
        <v>1</v>
      </c>
      <c r="AJ76" s="309"/>
      <c r="AK76" s="310" t="e">
        <f>(V76/AF76)*AI76</f>
        <v>#VALUE!</v>
      </c>
      <c r="AL76" s="310"/>
      <c r="AM76" s="310"/>
      <c r="AN76" s="310"/>
      <c r="AO76" s="311"/>
      <c r="AP76" s="304">
        <v>9</v>
      </c>
      <c r="AQ76" s="305"/>
      <c r="AR76" s="305"/>
      <c r="AS76" s="305"/>
      <c r="AT76" s="329"/>
      <c r="AU76" s="330"/>
      <c r="AV76" s="331"/>
      <c r="AW76" s="113"/>
      <c r="AX76" s="113"/>
      <c r="AY76" s="113"/>
      <c r="AZ76" s="113"/>
      <c r="BA76" s="113"/>
    </row>
    <row r="77" spans="1:53" ht="14.85" customHeight="1" thickTop="1" thickBot="1">
      <c r="A77" s="109"/>
      <c r="B77" s="338" t="s">
        <v>433</v>
      </c>
      <c r="C77" s="339"/>
      <c r="D77" s="339"/>
      <c r="E77" s="339"/>
      <c r="F77" s="339"/>
      <c r="G77" s="340" t="s">
        <v>366</v>
      </c>
      <c r="H77" s="340" t="s">
        <v>366</v>
      </c>
      <c r="I77" s="340" t="s">
        <v>366</v>
      </c>
      <c r="J77" s="340" t="s">
        <v>366</v>
      </c>
      <c r="K77" s="340" t="s">
        <v>366</v>
      </c>
      <c r="L77" s="340" t="s">
        <v>366</v>
      </c>
      <c r="M77" s="340" t="s">
        <v>366</v>
      </c>
      <c r="N77" s="340" t="s">
        <v>366</v>
      </c>
      <c r="O77" s="340" t="s">
        <v>366</v>
      </c>
      <c r="P77" s="340" t="s">
        <v>366</v>
      </c>
      <c r="Q77" s="340" t="s">
        <v>366</v>
      </c>
      <c r="R77" s="340" t="s">
        <v>366</v>
      </c>
      <c r="S77" s="340" t="s">
        <v>366</v>
      </c>
      <c r="T77" s="340" t="s">
        <v>366</v>
      </c>
      <c r="U77" s="340" t="s">
        <v>366</v>
      </c>
      <c r="V77" s="357"/>
      <c r="W77" s="358"/>
      <c r="X77" s="358"/>
      <c r="Y77" s="358"/>
      <c r="Z77" s="130"/>
      <c r="AA77" s="359" t="s">
        <v>37</v>
      </c>
      <c r="AB77" s="359"/>
      <c r="AC77" s="359"/>
      <c r="AD77" s="359"/>
      <c r="AE77" s="360"/>
      <c r="AF77" s="349"/>
      <c r="AG77" s="350"/>
      <c r="AH77" s="350"/>
      <c r="AI77" s="350"/>
      <c r="AJ77" s="351"/>
      <c r="AK77" s="343" t="e">
        <f>SQRT(SUMSQ(AK65:AO76))</f>
        <v>#VALUE!</v>
      </c>
      <c r="AL77" s="344"/>
      <c r="AM77" s="344"/>
      <c r="AN77" s="344"/>
      <c r="AO77" s="344"/>
      <c r="AP77" s="322" t="e">
        <f>IF(V76&lt;0.000000001,"∞",(AK77^4/((AK76^4/AP76)+(AK75^4/AP75))))</f>
        <v>#VALUE!</v>
      </c>
      <c r="AQ77" s="323"/>
      <c r="AR77" s="323"/>
      <c r="AS77" s="323"/>
      <c r="AT77" s="329"/>
      <c r="AU77" s="330"/>
      <c r="AV77" s="331"/>
      <c r="AW77" s="113"/>
      <c r="AX77" s="113"/>
      <c r="AY77" s="113"/>
      <c r="AZ77" s="113"/>
      <c r="BA77" s="113"/>
    </row>
    <row r="78" spans="1:53" ht="14.85" customHeight="1" thickTop="1" thickBot="1">
      <c r="A78" s="109"/>
      <c r="B78" s="338" t="s">
        <v>368</v>
      </c>
      <c r="C78" s="339"/>
      <c r="D78" s="339"/>
      <c r="E78" s="339"/>
      <c r="F78" s="339"/>
      <c r="G78" s="340" t="s">
        <v>369</v>
      </c>
      <c r="H78" s="340" t="s">
        <v>369</v>
      </c>
      <c r="I78" s="340" t="s">
        <v>369</v>
      </c>
      <c r="J78" s="340" t="s">
        <v>369</v>
      </c>
      <c r="K78" s="340" t="s">
        <v>369</v>
      </c>
      <c r="L78" s="340" t="s">
        <v>369</v>
      </c>
      <c r="M78" s="340" t="s">
        <v>369</v>
      </c>
      <c r="N78" s="340" t="s">
        <v>369</v>
      </c>
      <c r="O78" s="340" t="s">
        <v>369</v>
      </c>
      <c r="P78" s="340" t="s">
        <v>369</v>
      </c>
      <c r="Q78" s="340" t="s">
        <v>369</v>
      </c>
      <c r="R78" s="340" t="s">
        <v>369</v>
      </c>
      <c r="S78" s="340" t="s">
        <v>369</v>
      </c>
      <c r="T78" s="340" t="s">
        <v>369</v>
      </c>
      <c r="U78" s="340" t="s">
        <v>369</v>
      </c>
      <c r="V78" s="341"/>
      <c r="W78" s="342"/>
      <c r="X78" s="342"/>
      <c r="Y78" s="342"/>
      <c r="Z78" s="131"/>
      <c r="AA78" s="345" t="s">
        <v>370</v>
      </c>
      <c r="AB78" s="346"/>
      <c r="AC78" s="347" t="e">
        <f>IF(AP77="∞",2,TINV(0.0455,AP77))</f>
        <v>#VALUE!</v>
      </c>
      <c r="AD78" s="348"/>
      <c r="AE78" s="348"/>
      <c r="AF78" s="352"/>
      <c r="AG78" s="353"/>
      <c r="AH78" s="353"/>
      <c r="AI78" s="353"/>
      <c r="AJ78" s="354"/>
      <c r="AK78" s="343" t="e">
        <f>AK77*AC78</f>
        <v>#VALUE!</v>
      </c>
      <c r="AL78" s="344"/>
      <c r="AM78" s="344"/>
      <c r="AN78" s="344"/>
      <c r="AO78" s="344"/>
      <c r="AP78" s="324" t="s">
        <v>367</v>
      </c>
      <c r="AQ78" s="325" t="s">
        <v>367</v>
      </c>
      <c r="AR78" s="325" t="s">
        <v>367</v>
      </c>
      <c r="AS78" s="325"/>
      <c r="AT78" s="332"/>
      <c r="AU78" s="333"/>
      <c r="AV78" s="334"/>
      <c r="AW78" s="113"/>
      <c r="AX78" s="113"/>
      <c r="AY78" s="113"/>
      <c r="AZ78" s="113"/>
      <c r="BA78" s="113"/>
    </row>
    <row r="79" spans="1:53" ht="14.85" customHeight="1" thickTop="1" thickBot="1">
      <c r="A79" s="109"/>
      <c r="B79" s="139"/>
      <c r="C79" s="139"/>
      <c r="D79" s="139"/>
      <c r="E79" s="139"/>
      <c r="F79" s="139"/>
      <c r="G79" s="126"/>
      <c r="H79" s="126"/>
      <c r="I79" s="126"/>
      <c r="J79" s="126"/>
      <c r="K79" s="126"/>
      <c r="L79" s="126"/>
      <c r="M79" s="126"/>
      <c r="N79" s="126"/>
      <c r="O79" s="126"/>
      <c r="P79" s="126"/>
      <c r="Q79" s="126"/>
      <c r="R79" s="126"/>
      <c r="S79" s="126"/>
      <c r="T79" s="126"/>
      <c r="U79" s="126"/>
      <c r="V79" s="132"/>
      <c r="W79" s="132"/>
      <c r="X79" s="132"/>
      <c r="Y79" s="132"/>
      <c r="Z79" s="133"/>
      <c r="AA79" s="134"/>
      <c r="AB79" s="134"/>
      <c r="AC79" s="374" t="s">
        <v>371</v>
      </c>
      <c r="AD79" s="375"/>
      <c r="AE79" s="369">
        <f>IF($J$5&lt;0,0.04,0.03)</f>
        <v>0.03</v>
      </c>
      <c r="AF79" s="369"/>
      <c r="AG79" s="370"/>
      <c r="AH79" s="371" t="s">
        <v>372</v>
      </c>
      <c r="AI79" s="369"/>
      <c r="AJ79" s="369"/>
      <c r="AK79" s="372" t="e">
        <f>IF(AK78&lt;AE79,AE79,ROUNDUP(AK78,3))</f>
        <v>#VALUE!</v>
      </c>
      <c r="AL79" s="372"/>
      <c r="AM79" s="372"/>
      <c r="AN79" s="372"/>
      <c r="AO79" s="373"/>
      <c r="AP79" s="134"/>
      <c r="AQ79" s="134"/>
      <c r="AR79" s="134"/>
      <c r="AS79" s="132"/>
      <c r="AT79" s="132"/>
      <c r="AU79" s="132"/>
      <c r="AV79" s="132"/>
      <c r="AW79" s="113"/>
      <c r="AX79" s="113"/>
      <c r="AY79" s="113"/>
      <c r="AZ79" s="113"/>
      <c r="BA79" s="113"/>
    </row>
    <row r="80" spans="1:53" ht="14.85" customHeight="1" thickTop="1">
      <c r="A80" s="109"/>
      <c r="B80" s="139"/>
      <c r="C80" s="139"/>
      <c r="D80" s="139"/>
      <c r="E80" s="139"/>
      <c r="F80" s="139"/>
      <c r="G80" s="121"/>
      <c r="H80" s="121"/>
      <c r="I80" s="121"/>
      <c r="J80" s="121"/>
      <c r="K80" s="121"/>
      <c r="L80" s="121"/>
      <c r="M80" s="121"/>
      <c r="N80" s="121"/>
      <c r="O80" s="121"/>
      <c r="P80" s="121"/>
      <c r="Q80" s="121"/>
      <c r="R80" s="121"/>
      <c r="S80" s="121"/>
      <c r="T80" s="121"/>
      <c r="U80" s="121"/>
      <c r="V80" s="113"/>
      <c r="W80" s="113"/>
      <c r="X80" s="113"/>
      <c r="Y80" s="113"/>
      <c r="Z80" s="123"/>
      <c r="AA80" s="124"/>
      <c r="AB80" s="124"/>
      <c r="AC80" s="124"/>
      <c r="AD80" s="124"/>
      <c r="AE80" s="124"/>
      <c r="AF80" s="125"/>
      <c r="AG80" s="125"/>
      <c r="AH80" s="125"/>
      <c r="AI80" s="125"/>
      <c r="AJ80" s="125"/>
      <c r="AK80" s="113"/>
      <c r="AL80" s="113"/>
      <c r="AM80" s="113"/>
      <c r="AN80" s="113"/>
      <c r="AO80" s="113"/>
      <c r="AP80" s="124"/>
      <c r="AQ80" s="124"/>
      <c r="AR80" s="124"/>
      <c r="AS80" s="113"/>
      <c r="AT80" s="113"/>
      <c r="AU80" s="113"/>
      <c r="AV80" s="113"/>
      <c r="AW80" s="113"/>
      <c r="AX80" s="113"/>
      <c r="AY80" s="113"/>
      <c r="AZ80" s="113"/>
      <c r="BA80" s="113"/>
    </row>
    <row r="81" spans="1:74" ht="14.85" customHeight="1">
      <c r="A81" s="101"/>
      <c r="B81" s="135"/>
      <c r="C81" s="135"/>
      <c r="D81" s="135"/>
      <c r="E81" s="135"/>
      <c r="F81" s="135"/>
      <c r="G81" s="135"/>
      <c r="H81" s="135"/>
      <c r="I81" s="136"/>
      <c r="J81" s="136"/>
      <c r="K81" s="136"/>
      <c r="L81" s="136"/>
      <c r="M81" s="136"/>
      <c r="N81" s="136"/>
      <c r="O81" s="136"/>
      <c r="P81" s="136"/>
      <c r="Q81" s="136"/>
      <c r="R81" s="136"/>
      <c r="S81" s="136"/>
      <c r="T81" s="136"/>
      <c r="U81" s="136"/>
      <c r="V81" s="136"/>
      <c r="W81" s="136"/>
      <c r="X81" s="136"/>
      <c r="Y81" s="136"/>
      <c r="Z81" s="136"/>
      <c r="AA81" s="136"/>
      <c r="AB81" s="136"/>
      <c r="AC81" s="136"/>
      <c r="AD81" s="136"/>
      <c r="AE81" s="136"/>
      <c r="AF81" s="136"/>
      <c r="AG81" s="136"/>
      <c r="AH81" s="136"/>
      <c r="AI81" s="136"/>
      <c r="AJ81" s="136"/>
      <c r="AK81" s="136"/>
      <c r="AL81" s="136"/>
      <c r="AM81" s="136"/>
      <c r="AS81" s="265" t="s">
        <v>5</v>
      </c>
      <c r="AT81" s="265"/>
      <c r="AU81" s="265"/>
      <c r="AV81" s="275">
        <f>AV42+1</f>
        <v>4</v>
      </c>
      <c r="AW81" s="275"/>
      <c r="AX81" s="94" t="s">
        <v>6</v>
      </c>
      <c r="AY81" s="275">
        <f>$AY$1</f>
        <v>1</v>
      </c>
      <c r="AZ81" s="275"/>
      <c r="BA81" s="101"/>
      <c r="BU81" s="112"/>
      <c r="BV81" s="112"/>
    </row>
    <row r="82" spans="1:74" ht="14.85" customHeight="1">
      <c r="A82" s="101"/>
      <c r="B82" s="135"/>
      <c r="C82" s="135"/>
      <c r="D82" s="135"/>
      <c r="E82" s="135"/>
      <c r="F82" s="135"/>
      <c r="G82" s="135"/>
      <c r="H82" s="135"/>
      <c r="I82" s="136"/>
      <c r="J82" s="136"/>
      <c r="K82" s="136"/>
      <c r="L82" s="136"/>
      <c r="M82" s="136"/>
      <c r="N82" s="136"/>
      <c r="O82" s="136"/>
      <c r="P82" s="136"/>
      <c r="Q82" s="136"/>
      <c r="R82" s="136"/>
      <c r="S82" s="136"/>
      <c r="T82" s="136"/>
      <c r="U82" s="136"/>
      <c r="V82" s="136"/>
      <c r="W82" s="136"/>
      <c r="X82" s="136"/>
      <c r="Y82" s="136"/>
      <c r="Z82" s="136"/>
      <c r="AA82" s="136"/>
      <c r="AB82" s="136"/>
      <c r="AC82" s="136"/>
      <c r="AD82" s="136"/>
      <c r="AE82" s="136"/>
      <c r="AF82" s="136"/>
      <c r="AG82" s="136"/>
      <c r="AH82" s="136"/>
      <c r="AI82" s="136"/>
      <c r="AJ82" s="136"/>
      <c r="AK82" s="136"/>
      <c r="AL82" s="136"/>
      <c r="AM82" s="136"/>
      <c r="AQ82" s="98"/>
      <c r="BA82" s="101"/>
      <c r="BU82" s="112"/>
      <c r="BV82" s="112"/>
    </row>
    <row r="83" spans="1:74" ht="14.25" customHeight="1" thickBot="1">
      <c r="A83" s="101"/>
      <c r="B83" s="91" t="s">
        <v>346</v>
      </c>
      <c r="C83" s="101"/>
      <c r="E83" s="101"/>
      <c r="H83" s="103"/>
      <c r="I83" s="137"/>
      <c r="J83" s="138"/>
      <c r="K83" s="138"/>
      <c r="L83" s="138"/>
      <c r="M83" s="137"/>
      <c r="N83" s="138"/>
      <c r="O83" s="138"/>
      <c r="P83" s="138"/>
      <c r="Q83" s="137"/>
      <c r="R83" s="138"/>
      <c r="S83" s="138"/>
      <c r="T83" s="138"/>
      <c r="U83" s="137"/>
      <c r="V83" s="138"/>
      <c r="W83" s="138"/>
      <c r="X83" s="138"/>
      <c r="Y83" s="137"/>
      <c r="Z83" s="138"/>
      <c r="AA83" s="138"/>
      <c r="AB83" s="138"/>
      <c r="AC83" s="137"/>
      <c r="AD83" s="138"/>
      <c r="AE83" s="138"/>
      <c r="AF83" s="138"/>
      <c r="AG83" s="137"/>
      <c r="AH83" s="138"/>
      <c r="AI83" s="138"/>
      <c r="AJ83" s="138"/>
      <c r="AK83" s="137"/>
      <c r="AL83" s="138"/>
      <c r="AM83" s="138"/>
      <c r="AN83" s="138"/>
      <c r="AO83" s="272" t="s">
        <v>7</v>
      </c>
      <c r="AP83" s="272"/>
      <c r="AQ83" s="272"/>
      <c r="AR83" s="272"/>
      <c r="AS83" s="272"/>
      <c r="AT83" s="272"/>
      <c r="AU83" s="272"/>
      <c r="AV83" s="179" t="str">
        <f>$AV$44</f>
        <v xml:space="preserve"> /69 </v>
      </c>
      <c r="AW83" s="179"/>
      <c r="AX83" s="179"/>
      <c r="AY83" s="179"/>
      <c r="AZ83" s="179"/>
      <c r="BA83" s="101"/>
      <c r="BU83" s="112"/>
      <c r="BV83" s="112"/>
    </row>
    <row r="84" spans="1:74" ht="14.85" customHeight="1" thickTop="1" thickBot="1">
      <c r="B84" s="355" t="s">
        <v>347</v>
      </c>
      <c r="C84" s="356"/>
      <c r="D84" s="356"/>
      <c r="E84" s="356"/>
      <c r="F84" s="356"/>
      <c r="G84" s="312" t="s">
        <v>348</v>
      </c>
      <c r="H84" s="312"/>
      <c r="I84" s="312"/>
      <c r="J84" s="312"/>
      <c r="K84" s="312"/>
      <c r="L84" s="312"/>
      <c r="M84" s="312"/>
      <c r="N84" s="312"/>
      <c r="O84" s="312"/>
      <c r="P84" s="312"/>
      <c r="Q84" s="312"/>
      <c r="R84" s="312"/>
      <c r="S84" s="312"/>
      <c r="T84" s="312"/>
      <c r="U84" s="312"/>
      <c r="V84" s="187" t="s">
        <v>417</v>
      </c>
      <c r="W84" s="187"/>
      <c r="X84" s="187"/>
      <c r="Y84" s="187"/>
      <c r="Z84" s="187"/>
      <c r="AA84" s="186" t="s">
        <v>418</v>
      </c>
      <c r="AB84" s="187"/>
      <c r="AC84" s="187"/>
      <c r="AD84" s="187"/>
      <c r="AE84" s="187"/>
      <c r="AF84" s="187" t="s">
        <v>349</v>
      </c>
      <c r="AG84" s="187"/>
      <c r="AH84" s="187"/>
      <c r="AI84" s="187" t="s">
        <v>350</v>
      </c>
      <c r="AJ84" s="187"/>
      <c r="AK84" s="186" t="s">
        <v>419</v>
      </c>
      <c r="AL84" s="187"/>
      <c r="AM84" s="187"/>
      <c r="AN84" s="187"/>
      <c r="AO84" s="187"/>
      <c r="AP84" s="361" t="s">
        <v>420</v>
      </c>
      <c r="AQ84" s="362"/>
      <c r="AR84" s="362"/>
      <c r="AS84" s="362"/>
      <c r="AT84" s="326" t="str">
        <f>IF(Q10="","","3")</f>
        <v/>
      </c>
      <c r="AU84" s="327"/>
      <c r="AV84" s="328"/>
      <c r="AW84" s="113"/>
      <c r="AX84" s="113"/>
      <c r="AY84" s="113"/>
      <c r="AZ84" s="113"/>
      <c r="BA84" s="113"/>
    </row>
    <row r="85" spans="1:74" ht="14.85" customHeight="1" thickTop="1" thickBot="1">
      <c r="A85" s="122"/>
      <c r="B85" s="355"/>
      <c r="C85" s="356"/>
      <c r="D85" s="356"/>
      <c r="E85" s="356"/>
      <c r="F85" s="356"/>
      <c r="G85" s="312"/>
      <c r="H85" s="312"/>
      <c r="I85" s="312"/>
      <c r="J85" s="312"/>
      <c r="K85" s="312"/>
      <c r="L85" s="312"/>
      <c r="M85" s="312"/>
      <c r="N85" s="312"/>
      <c r="O85" s="312"/>
      <c r="P85" s="312"/>
      <c r="Q85" s="312"/>
      <c r="R85" s="312"/>
      <c r="S85" s="312"/>
      <c r="T85" s="312"/>
      <c r="U85" s="312"/>
      <c r="V85" s="187"/>
      <c r="W85" s="187"/>
      <c r="X85" s="187"/>
      <c r="Y85" s="187"/>
      <c r="Z85" s="187"/>
      <c r="AA85" s="187"/>
      <c r="AB85" s="187"/>
      <c r="AC85" s="187"/>
      <c r="AD85" s="187"/>
      <c r="AE85" s="187"/>
      <c r="AF85" s="187"/>
      <c r="AG85" s="187"/>
      <c r="AH85" s="187"/>
      <c r="AI85" s="187"/>
      <c r="AJ85" s="187"/>
      <c r="AK85" s="187"/>
      <c r="AL85" s="187"/>
      <c r="AM85" s="187"/>
      <c r="AN85" s="187"/>
      <c r="AO85" s="187"/>
      <c r="AP85" s="363"/>
      <c r="AQ85" s="364"/>
      <c r="AR85" s="364"/>
      <c r="AS85" s="364"/>
      <c r="AT85" s="329"/>
      <c r="AU85" s="330"/>
      <c r="AV85" s="331"/>
      <c r="AW85" s="113"/>
      <c r="AX85" s="113"/>
      <c r="AY85" s="113"/>
      <c r="AZ85" s="113"/>
      <c r="BA85" s="113"/>
    </row>
    <row r="86" spans="1:74" ht="14.85" customHeight="1" thickTop="1">
      <c r="A86" s="109"/>
      <c r="B86" s="188" t="s">
        <v>421</v>
      </c>
      <c r="C86" s="189"/>
      <c r="D86" s="189"/>
      <c r="E86" s="189"/>
      <c r="F86" s="189"/>
      <c r="G86" s="321" t="s">
        <v>351</v>
      </c>
      <c r="H86" s="321"/>
      <c r="I86" s="321"/>
      <c r="J86" s="321"/>
      <c r="K86" s="321"/>
      <c r="L86" s="321"/>
      <c r="M86" s="321"/>
      <c r="N86" s="321"/>
      <c r="O86" s="321"/>
      <c r="P86" s="321"/>
      <c r="Q86" s="321"/>
      <c r="R86" s="321"/>
      <c r="S86" s="321"/>
      <c r="T86" s="321"/>
      <c r="U86" s="321"/>
      <c r="V86" s="367">
        <f>$V$47</f>
        <v>3.0000000000000001E-3</v>
      </c>
      <c r="W86" s="368"/>
      <c r="X86" s="368"/>
      <c r="Y86" s="368"/>
      <c r="Z86" s="127" t="s">
        <v>434</v>
      </c>
      <c r="AA86" s="192" t="s">
        <v>37</v>
      </c>
      <c r="AB86" s="192"/>
      <c r="AC86" s="192"/>
      <c r="AD86" s="192"/>
      <c r="AE86" s="192"/>
      <c r="AF86" s="289">
        <v>2</v>
      </c>
      <c r="AG86" s="289"/>
      <c r="AH86" s="289"/>
      <c r="AI86" s="289">
        <v>1</v>
      </c>
      <c r="AJ86" s="289"/>
      <c r="AK86" s="290">
        <f>(V86/AF86)*AI86</f>
        <v>1.5E-3</v>
      </c>
      <c r="AL86" s="290"/>
      <c r="AM86" s="290"/>
      <c r="AN86" s="290"/>
      <c r="AO86" s="291"/>
      <c r="AP86" s="365" t="str">
        <f t="shared" ref="AP86:AP95" si="75">IF($B$8="","","∞")</f>
        <v>∞</v>
      </c>
      <c r="AQ86" s="366"/>
      <c r="AR86" s="366"/>
      <c r="AS86" s="366"/>
      <c r="AT86" s="329"/>
      <c r="AU86" s="330"/>
      <c r="AV86" s="331"/>
      <c r="AW86" s="113"/>
      <c r="AX86" s="113"/>
      <c r="AY86" s="113"/>
      <c r="AZ86" s="113"/>
      <c r="BA86" s="113"/>
    </row>
    <row r="87" spans="1:74" ht="14.85" customHeight="1">
      <c r="A87" s="109"/>
      <c r="B87" s="190" t="s">
        <v>422</v>
      </c>
      <c r="C87" s="191"/>
      <c r="D87" s="191"/>
      <c r="E87" s="191"/>
      <c r="F87" s="191"/>
      <c r="G87" s="194" t="s">
        <v>352</v>
      </c>
      <c r="H87" s="194"/>
      <c r="I87" s="194"/>
      <c r="J87" s="194"/>
      <c r="K87" s="194"/>
      <c r="L87" s="194"/>
      <c r="M87" s="194"/>
      <c r="N87" s="194"/>
      <c r="O87" s="194"/>
      <c r="P87" s="194"/>
      <c r="Q87" s="194"/>
      <c r="R87" s="194"/>
      <c r="S87" s="194"/>
      <c r="T87" s="194"/>
      <c r="U87" s="194"/>
      <c r="V87" s="317">
        <f>$V$48</f>
        <v>1.6000000000000001E-3</v>
      </c>
      <c r="W87" s="318"/>
      <c r="X87" s="318"/>
      <c r="Y87" s="318"/>
      <c r="Z87" s="128" t="s">
        <v>353</v>
      </c>
      <c r="AA87" s="193" t="s">
        <v>354</v>
      </c>
      <c r="AB87" s="193"/>
      <c r="AC87" s="193"/>
      <c r="AD87" s="193"/>
      <c r="AE87" s="193"/>
      <c r="AF87" s="195" t="s">
        <v>355</v>
      </c>
      <c r="AG87" s="195"/>
      <c r="AH87" s="195"/>
      <c r="AI87" s="195">
        <v>10</v>
      </c>
      <c r="AJ87" s="195"/>
      <c r="AK87" s="196">
        <f>(V87/SQRT(3))*AI87</f>
        <v>9.2376043070340128E-3</v>
      </c>
      <c r="AL87" s="196"/>
      <c r="AM87" s="196"/>
      <c r="AN87" s="196"/>
      <c r="AO87" s="197"/>
      <c r="AP87" s="304" t="str">
        <f t="shared" si="75"/>
        <v>∞</v>
      </c>
      <c r="AQ87" s="305"/>
      <c r="AR87" s="305"/>
      <c r="AS87" s="305"/>
      <c r="AT87" s="329"/>
      <c r="AU87" s="330"/>
      <c r="AV87" s="331"/>
      <c r="AW87" s="113"/>
      <c r="AX87" s="113"/>
      <c r="AY87" s="113"/>
      <c r="AZ87" s="113"/>
      <c r="BA87" s="113"/>
    </row>
    <row r="88" spans="1:74" ht="14.85" customHeight="1">
      <c r="A88" s="109"/>
      <c r="B88" s="190" t="s">
        <v>423</v>
      </c>
      <c r="C88" s="191"/>
      <c r="D88" s="191"/>
      <c r="E88" s="191"/>
      <c r="F88" s="191"/>
      <c r="G88" s="194" t="s">
        <v>356</v>
      </c>
      <c r="H88" s="194"/>
      <c r="I88" s="194"/>
      <c r="J88" s="194"/>
      <c r="K88" s="194"/>
      <c r="L88" s="194"/>
      <c r="M88" s="194"/>
      <c r="N88" s="194"/>
      <c r="O88" s="194"/>
      <c r="P88" s="194"/>
      <c r="Q88" s="194"/>
      <c r="R88" s="194"/>
      <c r="S88" s="194"/>
      <c r="T88" s="194"/>
      <c r="U88" s="194"/>
      <c r="V88" s="317">
        <f>$V$49</f>
        <v>1E-3</v>
      </c>
      <c r="W88" s="318"/>
      <c r="X88" s="318"/>
      <c r="Y88" s="318"/>
      <c r="Z88" s="128" t="s">
        <v>353</v>
      </c>
      <c r="AA88" s="193" t="s">
        <v>354</v>
      </c>
      <c r="AB88" s="193"/>
      <c r="AC88" s="193"/>
      <c r="AD88" s="193"/>
      <c r="AE88" s="193"/>
      <c r="AF88" s="195">
        <v>2</v>
      </c>
      <c r="AG88" s="195"/>
      <c r="AH88" s="195"/>
      <c r="AI88" s="195">
        <v>10</v>
      </c>
      <c r="AJ88" s="195"/>
      <c r="AK88" s="196">
        <f>(V88/AF88)*AI88</f>
        <v>5.0000000000000001E-3</v>
      </c>
      <c r="AL88" s="196"/>
      <c r="AM88" s="196"/>
      <c r="AN88" s="196"/>
      <c r="AO88" s="197"/>
      <c r="AP88" s="304" t="str">
        <f t="shared" si="75"/>
        <v>∞</v>
      </c>
      <c r="AQ88" s="305"/>
      <c r="AR88" s="305"/>
      <c r="AS88" s="305"/>
      <c r="AT88" s="329"/>
      <c r="AU88" s="330"/>
      <c r="AV88" s="331"/>
      <c r="AW88" s="113"/>
      <c r="AX88" s="113"/>
      <c r="AY88" s="113"/>
      <c r="AZ88" s="113"/>
      <c r="BA88" s="113"/>
    </row>
    <row r="89" spans="1:74" ht="14.85" customHeight="1">
      <c r="A89" s="109"/>
      <c r="B89" s="190" t="s">
        <v>424</v>
      </c>
      <c r="C89" s="191"/>
      <c r="D89" s="191"/>
      <c r="E89" s="191"/>
      <c r="F89" s="191"/>
      <c r="G89" s="194" t="s">
        <v>357</v>
      </c>
      <c r="H89" s="194"/>
      <c r="I89" s="194"/>
      <c r="J89" s="194"/>
      <c r="K89" s="194"/>
      <c r="L89" s="194"/>
      <c r="M89" s="194"/>
      <c r="N89" s="194"/>
      <c r="O89" s="194"/>
      <c r="P89" s="194"/>
      <c r="Q89" s="194"/>
      <c r="R89" s="194"/>
      <c r="S89" s="194"/>
      <c r="T89" s="194"/>
      <c r="U89" s="194"/>
      <c r="V89" s="317">
        <f>$V$50</f>
        <v>1E-3</v>
      </c>
      <c r="W89" s="318"/>
      <c r="X89" s="318"/>
      <c r="Y89" s="318"/>
      <c r="Z89" s="128" t="s">
        <v>353</v>
      </c>
      <c r="AA89" s="193" t="s">
        <v>354</v>
      </c>
      <c r="AB89" s="193"/>
      <c r="AC89" s="193"/>
      <c r="AD89" s="193"/>
      <c r="AE89" s="193"/>
      <c r="AF89" s="195" t="s">
        <v>355</v>
      </c>
      <c r="AG89" s="195"/>
      <c r="AH89" s="195"/>
      <c r="AI89" s="195">
        <v>10</v>
      </c>
      <c r="AJ89" s="195"/>
      <c r="AK89" s="196">
        <f>(V89/SQRT(3))*AI89</f>
        <v>5.773502691896258E-3</v>
      </c>
      <c r="AL89" s="196"/>
      <c r="AM89" s="196"/>
      <c r="AN89" s="196"/>
      <c r="AO89" s="197"/>
      <c r="AP89" s="304" t="str">
        <f t="shared" si="75"/>
        <v>∞</v>
      </c>
      <c r="AQ89" s="305"/>
      <c r="AR89" s="305"/>
      <c r="AS89" s="305"/>
      <c r="AT89" s="329"/>
      <c r="AU89" s="330"/>
      <c r="AV89" s="331"/>
      <c r="AW89" s="113"/>
      <c r="AX89" s="113"/>
      <c r="AY89" s="113"/>
      <c r="AZ89" s="113"/>
      <c r="BA89" s="113"/>
    </row>
    <row r="90" spans="1:74" ht="14.85" customHeight="1">
      <c r="A90" s="109"/>
      <c r="B90" s="190" t="s">
        <v>425</v>
      </c>
      <c r="C90" s="191"/>
      <c r="D90" s="191"/>
      <c r="E90" s="191"/>
      <c r="F90" s="191"/>
      <c r="G90" s="194" t="s">
        <v>358</v>
      </c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194"/>
      <c r="T90" s="194"/>
      <c r="U90" s="194"/>
      <c r="V90" s="317">
        <f>$V$51</f>
        <v>5.0000000000000002E-5</v>
      </c>
      <c r="W90" s="318"/>
      <c r="X90" s="318"/>
      <c r="Y90" s="318"/>
      <c r="Z90" s="128" t="s">
        <v>434</v>
      </c>
      <c r="AA90" s="193" t="s">
        <v>354</v>
      </c>
      <c r="AB90" s="193"/>
      <c r="AC90" s="193"/>
      <c r="AD90" s="193"/>
      <c r="AE90" s="193"/>
      <c r="AF90" s="195" t="s">
        <v>355</v>
      </c>
      <c r="AG90" s="195"/>
      <c r="AH90" s="195"/>
      <c r="AI90" s="195">
        <v>1</v>
      </c>
      <c r="AJ90" s="195"/>
      <c r="AK90" s="196">
        <f>(V90/SQRT(3))*AI90</f>
        <v>2.8867513459481293E-5</v>
      </c>
      <c r="AL90" s="196"/>
      <c r="AM90" s="196"/>
      <c r="AN90" s="196"/>
      <c r="AO90" s="197"/>
      <c r="AP90" s="304" t="str">
        <f t="shared" si="75"/>
        <v>∞</v>
      </c>
      <c r="AQ90" s="305"/>
      <c r="AR90" s="305"/>
      <c r="AS90" s="305"/>
      <c r="AT90" s="329"/>
      <c r="AU90" s="330"/>
      <c r="AV90" s="331"/>
      <c r="AW90" s="113"/>
      <c r="AX90" s="113"/>
      <c r="AY90" s="113"/>
      <c r="AZ90" s="113"/>
      <c r="BA90" s="113"/>
    </row>
    <row r="91" spans="1:74" ht="14.85" customHeight="1">
      <c r="A91" s="109"/>
      <c r="B91" s="190" t="s">
        <v>426</v>
      </c>
      <c r="C91" s="191"/>
      <c r="D91" s="191"/>
      <c r="E91" s="191"/>
      <c r="F91" s="191"/>
      <c r="G91" s="194" t="s">
        <v>359</v>
      </c>
      <c r="H91" s="194"/>
      <c r="I91" s="194"/>
      <c r="J91" s="194"/>
      <c r="K91" s="194"/>
      <c r="L91" s="194"/>
      <c r="M91" s="194"/>
      <c r="N91" s="194"/>
      <c r="O91" s="194"/>
      <c r="P91" s="194"/>
      <c r="Q91" s="194"/>
      <c r="R91" s="194"/>
      <c r="S91" s="194"/>
      <c r="T91" s="194"/>
      <c r="U91" s="194"/>
      <c r="V91" s="317">
        <f>$V$52</f>
        <v>0.01</v>
      </c>
      <c r="W91" s="318"/>
      <c r="X91" s="318"/>
      <c r="Y91" s="318"/>
      <c r="Z91" s="128" t="s">
        <v>434</v>
      </c>
      <c r="AA91" s="193" t="s">
        <v>354</v>
      </c>
      <c r="AB91" s="193"/>
      <c r="AC91" s="193"/>
      <c r="AD91" s="193"/>
      <c r="AE91" s="193"/>
      <c r="AF91" s="195" t="s">
        <v>355</v>
      </c>
      <c r="AG91" s="195"/>
      <c r="AH91" s="195"/>
      <c r="AI91" s="195">
        <v>1</v>
      </c>
      <c r="AJ91" s="195"/>
      <c r="AK91" s="196">
        <f>(V91/SQRT(3))*AI91</f>
        <v>5.773502691896258E-3</v>
      </c>
      <c r="AL91" s="196"/>
      <c r="AM91" s="196"/>
      <c r="AN91" s="196"/>
      <c r="AO91" s="197"/>
      <c r="AP91" s="304" t="str">
        <f t="shared" si="75"/>
        <v>∞</v>
      </c>
      <c r="AQ91" s="305"/>
      <c r="AR91" s="305"/>
      <c r="AS91" s="305"/>
      <c r="AT91" s="329"/>
      <c r="AU91" s="330"/>
      <c r="AV91" s="331"/>
      <c r="AW91" s="113"/>
      <c r="AX91" s="113"/>
      <c r="AY91" s="113"/>
      <c r="AZ91" s="113"/>
      <c r="BA91" s="113"/>
    </row>
    <row r="92" spans="1:74" ht="14.85" customHeight="1">
      <c r="A92" s="109"/>
      <c r="B92" s="190" t="s">
        <v>427</v>
      </c>
      <c r="C92" s="191"/>
      <c r="D92" s="191"/>
      <c r="E92" s="191"/>
      <c r="F92" s="191"/>
      <c r="G92" s="194" t="s">
        <v>360</v>
      </c>
      <c r="H92" s="194"/>
      <c r="I92" s="194"/>
      <c r="J92" s="194"/>
      <c r="K92" s="194"/>
      <c r="L92" s="194"/>
      <c r="M92" s="194"/>
      <c r="N92" s="194"/>
      <c r="O92" s="194"/>
      <c r="P92" s="194"/>
      <c r="Q92" s="194"/>
      <c r="R92" s="194"/>
      <c r="S92" s="194"/>
      <c r="T92" s="194"/>
      <c r="U92" s="194"/>
      <c r="V92" s="317">
        <f>$V$53</f>
        <v>0.01</v>
      </c>
      <c r="W92" s="318"/>
      <c r="X92" s="318"/>
      <c r="Y92" s="318"/>
      <c r="Z92" s="128" t="s">
        <v>434</v>
      </c>
      <c r="AA92" s="193" t="s">
        <v>354</v>
      </c>
      <c r="AB92" s="193"/>
      <c r="AC92" s="193"/>
      <c r="AD92" s="193"/>
      <c r="AE92" s="193"/>
      <c r="AF92" s="195" t="s">
        <v>355</v>
      </c>
      <c r="AG92" s="195"/>
      <c r="AH92" s="195"/>
      <c r="AI92" s="195">
        <v>1</v>
      </c>
      <c r="AJ92" s="195"/>
      <c r="AK92" s="196">
        <f t="shared" ref="AK92:AK94" si="76">(V92/SQRT(3))*AI92</f>
        <v>5.773502691896258E-3</v>
      </c>
      <c r="AL92" s="196"/>
      <c r="AM92" s="196"/>
      <c r="AN92" s="196"/>
      <c r="AO92" s="197"/>
      <c r="AP92" s="304" t="str">
        <f t="shared" si="75"/>
        <v>∞</v>
      </c>
      <c r="AQ92" s="305"/>
      <c r="AR92" s="305"/>
      <c r="AS92" s="305"/>
      <c r="AT92" s="329"/>
      <c r="AU92" s="330"/>
      <c r="AV92" s="331"/>
      <c r="AW92" s="113"/>
      <c r="AX92" s="113"/>
      <c r="AY92" s="113"/>
      <c r="AZ92" s="113"/>
      <c r="BA92" s="113"/>
    </row>
    <row r="93" spans="1:74" ht="14.85" customHeight="1">
      <c r="A93" s="109"/>
      <c r="B93" s="190" t="s">
        <v>428</v>
      </c>
      <c r="C93" s="191"/>
      <c r="D93" s="191"/>
      <c r="E93" s="191"/>
      <c r="F93" s="191"/>
      <c r="G93" s="194" t="s">
        <v>361</v>
      </c>
      <c r="H93" s="194"/>
      <c r="I93" s="194"/>
      <c r="J93" s="194"/>
      <c r="K93" s="194"/>
      <c r="L93" s="194"/>
      <c r="M93" s="194"/>
      <c r="N93" s="194"/>
      <c r="O93" s="194"/>
      <c r="P93" s="194"/>
      <c r="Q93" s="194"/>
      <c r="R93" s="194"/>
      <c r="S93" s="194"/>
      <c r="T93" s="194"/>
      <c r="U93" s="194"/>
      <c r="V93" s="317">
        <f>$AB$3/2</f>
        <v>0</v>
      </c>
      <c r="W93" s="318"/>
      <c r="X93" s="318"/>
      <c r="Y93" s="318"/>
      <c r="Z93" s="128" t="s">
        <v>434</v>
      </c>
      <c r="AA93" s="193" t="s">
        <v>354</v>
      </c>
      <c r="AB93" s="193"/>
      <c r="AC93" s="193"/>
      <c r="AD93" s="193"/>
      <c r="AE93" s="193"/>
      <c r="AF93" s="195" t="s">
        <v>355</v>
      </c>
      <c r="AG93" s="195"/>
      <c r="AH93" s="195"/>
      <c r="AI93" s="195">
        <v>1</v>
      </c>
      <c r="AJ93" s="195"/>
      <c r="AK93" s="196">
        <f t="shared" si="76"/>
        <v>0</v>
      </c>
      <c r="AL93" s="196"/>
      <c r="AM93" s="196"/>
      <c r="AN93" s="196"/>
      <c r="AO93" s="197"/>
      <c r="AP93" s="304" t="str">
        <f t="shared" si="75"/>
        <v>∞</v>
      </c>
      <c r="AQ93" s="305"/>
      <c r="AR93" s="305"/>
      <c r="AS93" s="305"/>
      <c r="AT93" s="329"/>
      <c r="AU93" s="330"/>
      <c r="AV93" s="331"/>
      <c r="AW93" s="113"/>
      <c r="AX93" s="113"/>
      <c r="AY93" s="113"/>
      <c r="AZ93" s="113"/>
      <c r="BA93" s="113"/>
    </row>
    <row r="94" spans="1:74" ht="14.85" customHeight="1">
      <c r="A94" s="109"/>
      <c r="B94" s="190" t="s">
        <v>429</v>
      </c>
      <c r="C94" s="191"/>
      <c r="D94" s="191"/>
      <c r="E94" s="191"/>
      <c r="F94" s="191"/>
      <c r="G94" s="194" t="s">
        <v>362</v>
      </c>
      <c r="H94" s="194"/>
      <c r="I94" s="194"/>
      <c r="J94" s="194"/>
      <c r="K94" s="194"/>
      <c r="L94" s="194"/>
      <c r="M94" s="194"/>
      <c r="N94" s="194"/>
      <c r="O94" s="194"/>
      <c r="P94" s="194"/>
      <c r="Q94" s="194"/>
      <c r="R94" s="194"/>
      <c r="S94" s="194"/>
      <c r="T94" s="194"/>
      <c r="U94" s="194"/>
      <c r="V94" s="317" t="str">
        <f>$Q$31</f>
        <v/>
      </c>
      <c r="W94" s="318"/>
      <c r="X94" s="318"/>
      <c r="Y94" s="318"/>
      <c r="Z94" s="128" t="s">
        <v>434</v>
      </c>
      <c r="AA94" s="193" t="s">
        <v>354</v>
      </c>
      <c r="AB94" s="193"/>
      <c r="AC94" s="193"/>
      <c r="AD94" s="193"/>
      <c r="AE94" s="193"/>
      <c r="AF94" s="195" t="s">
        <v>355</v>
      </c>
      <c r="AG94" s="195"/>
      <c r="AH94" s="195"/>
      <c r="AI94" s="195">
        <v>1</v>
      </c>
      <c r="AJ94" s="195"/>
      <c r="AK94" s="196" t="e">
        <f t="shared" si="76"/>
        <v>#VALUE!</v>
      </c>
      <c r="AL94" s="196"/>
      <c r="AM94" s="196"/>
      <c r="AN94" s="196"/>
      <c r="AO94" s="197"/>
      <c r="AP94" s="304" t="str">
        <f t="shared" si="75"/>
        <v>∞</v>
      </c>
      <c r="AQ94" s="305"/>
      <c r="AR94" s="305"/>
      <c r="AS94" s="305"/>
      <c r="AT94" s="329"/>
      <c r="AU94" s="330"/>
      <c r="AV94" s="331"/>
      <c r="AW94" s="113"/>
      <c r="AX94" s="113"/>
      <c r="AY94" s="113"/>
      <c r="AZ94" s="113"/>
      <c r="BA94" s="113"/>
    </row>
    <row r="95" spans="1:74" ht="14.85" customHeight="1">
      <c r="A95" s="109"/>
      <c r="B95" s="190" t="s">
        <v>430</v>
      </c>
      <c r="C95" s="191"/>
      <c r="D95" s="191"/>
      <c r="E95" s="191"/>
      <c r="F95" s="191"/>
      <c r="G95" s="194" t="s">
        <v>363</v>
      </c>
      <c r="H95" s="194"/>
      <c r="I95" s="194"/>
      <c r="J95" s="194"/>
      <c r="K95" s="194"/>
      <c r="L95" s="194"/>
      <c r="M95" s="194"/>
      <c r="N95" s="194"/>
      <c r="O95" s="194"/>
      <c r="P95" s="194"/>
      <c r="Q95" s="194"/>
      <c r="R95" s="194"/>
      <c r="S95" s="194"/>
      <c r="T95" s="194"/>
      <c r="U95" s="194"/>
      <c r="V95" s="317">
        <v>0</v>
      </c>
      <c r="W95" s="318"/>
      <c r="X95" s="318"/>
      <c r="Y95" s="318"/>
      <c r="Z95" s="128" t="s">
        <v>434</v>
      </c>
      <c r="AA95" s="193" t="s">
        <v>354</v>
      </c>
      <c r="AB95" s="193"/>
      <c r="AC95" s="193"/>
      <c r="AD95" s="193"/>
      <c r="AE95" s="193"/>
      <c r="AF95" s="195" t="s">
        <v>355</v>
      </c>
      <c r="AG95" s="195"/>
      <c r="AH95" s="195"/>
      <c r="AI95" s="195">
        <v>1</v>
      </c>
      <c r="AJ95" s="195"/>
      <c r="AK95" s="196">
        <f>(V95/SQRT(3))*AI95</f>
        <v>0</v>
      </c>
      <c r="AL95" s="196"/>
      <c r="AM95" s="196"/>
      <c r="AN95" s="196"/>
      <c r="AO95" s="197"/>
      <c r="AP95" s="304" t="str">
        <f t="shared" si="75"/>
        <v>∞</v>
      </c>
      <c r="AQ95" s="305"/>
      <c r="AR95" s="305"/>
      <c r="AS95" s="305"/>
      <c r="AT95" s="329"/>
      <c r="AU95" s="330"/>
      <c r="AV95" s="331"/>
      <c r="AW95" s="113"/>
      <c r="AX95" s="113"/>
      <c r="AY95" s="113"/>
      <c r="AZ95" s="113"/>
      <c r="BA95" s="113"/>
    </row>
    <row r="96" spans="1:74" ht="14.85" customHeight="1">
      <c r="A96" s="109"/>
      <c r="B96" s="190" t="s">
        <v>431</v>
      </c>
      <c r="C96" s="191"/>
      <c r="D96" s="191"/>
      <c r="E96" s="191"/>
      <c r="F96" s="191"/>
      <c r="G96" s="194" t="s">
        <v>364</v>
      </c>
      <c r="H96" s="194"/>
      <c r="I96" s="194"/>
      <c r="J96" s="194"/>
      <c r="K96" s="194"/>
      <c r="L96" s="194"/>
      <c r="M96" s="194"/>
      <c r="N96" s="194"/>
      <c r="O96" s="194"/>
      <c r="P96" s="194"/>
      <c r="Q96" s="194"/>
      <c r="R96" s="194"/>
      <c r="S96" s="194"/>
      <c r="T96" s="194"/>
      <c r="U96" s="194"/>
      <c r="V96" s="317" t="str">
        <f>$E$16</f>
        <v/>
      </c>
      <c r="W96" s="318"/>
      <c r="X96" s="318"/>
      <c r="Y96" s="318"/>
      <c r="Z96" s="128" t="s">
        <v>434</v>
      </c>
      <c r="AA96" s="193" t="s">
        <v>37</v>
      </c>
      <c r="AB96" s="193"/>
      <c r="AC96" s="193"/>
      <c r="AD96" s="193"/>
      <c r="AE96" s="193"/>
      <c r="AF96" s="195">
        <v>1</v>
      </c>
      <c r="AG96" s="195"/>
      <c r="AH96" s="195"/>
      <c r="AI96" s="195">
        <f>IF($B$8="","",1)</f>
        <v>1</v>
      </c>
      <c r="AJ96" s="195"/>
      <c r="AK96" s="196" t="e">
        <f t="shared" ref="AK96" si="77">(V96/AF96)*AI96</f>
        <v>#VALUE!</v>
      </c>
      <c r="AL96" s="196"/>
      <c r="AM96" s="196"/>
      <c r="AN96" s="196"/>
      <c r="AO96" s="197"/>
      <c r="AP96" s="304">
        <v>9</v>
      </c>
      <c r="AQ96" s="305"/>
      <c r="AR96" s="305"/>
      <c r="AS96" s="305"/>
      <c r="AT96" s="329"/>
      <c r="AU96" s="330"/>
      <c r="AV96" s="331"/>
      <c r="AW96" s="113"/>
      <c r="AX96" s="113"/>
      <c r="AY96" s="113"/>
      <c r="AZ96" s="113"/>
      <c r="BA96" s="113"/>
    </row>
    <row r="97" spans="1:53" ht="14.85" customHeight="1" thickBot="1">
      <c r="A97" s="109"/>
      <c r="B97" s="306" t="s">
        <v>432</v>
      </c>
      <c r="C97" s="307"/>
      <c r="D97" s="307"/>
      <c r="E97" s="307"/>
      <c r="F97" s="307"/>
      <c r="G97" s="340" t="s">
        <v>365</v>
      </c>
      <c r="H97" s="340"/>
      <c r="I97" s="340"/>
      <c r="J97" s="340"/>
      <c r="K97" s="340"/>
      <c r="L97" s="340"/>
      <c r="M97" s="340"/>
      <c r="N97" s="340"/>
      <c r="O97" s="340"/>
      <c r="P97" s="340"/>
      <c r="Q97" s="340"/>
      <c r="R97" s="340"/>
      <c r="S97" s="340"/>
      <c r="T97" s="340"/>
      <c r="U97" s="340"/>
      <c r="V97" s="319" t="str">
        <f>$Q$16</f>
        <v/>
      </c>
      <c r="W97" s="320"/>
      <c r="X97" s="320"/>
      <c r="Y97" s="320"/>
      <c r="Z97" s="129" t="s">
        <v>434</v>
      </c>
      <c r="AA97" s="308" t="s">
        <v>37</v>
      </c>
      <c r="AB97" s="308"/>
      <c r="AC97" s="308"/>
      <c r="AD97" s="308"/>
      <c r="AE97" s="308"/>
      <c r="AF97" s="309">
        <v>1</v>
      </c>
      <c r="AG97" s="309"/>
      <c r="AH97" s="309"/>
      <c r="AI97" s="309">
        <f>IF($B$8="","",1)</f>
        <v>1</v>
      </c>
      <c r="AJ97" s="309"/>
      <c r="AK97" s="310" t="e">
        <f>(V97/AF97)*AI97</f>
        <v>#VALUE!</v>
      </c>
      <c r="AL97" s="310"/>
      <c r="AM97" s="310"/>
      <c r="AN97" s="310"/>
      <c r="AO97" s="311"/>
      <c r="AP97" s="304">
        <v>9</v>
      </c>
      <c r="AQ97" s="305"/>
      <c r="AR97" s="305"/>
      <c r="AS97" s="305"/>
      <c r="AT97" s="329"/>
      <c r="AU97" s="330"/>
      <c r="AV97" s="331"/>
      <c r="AW97" s="113"/>
      <c r="AX97" s="113"/>
      <c r="AY97" s="113"/>
      <c r="AZ97" s="113"/>
      <c r="BA97" s="113"/>
    </row>
    <row r="98" spans="1:53" ht="14.85" customHeight="1" thickTop="1" thickBot="1">
      <c r="A98" s="109"/>
      <c r="B98" s="338" t="s">
        <v>433</v>
      </c>
      <c r="C98" s="339"/>
      <c r="D98" s="339"/>
      <c r="E98" s="339"/>
      <c r="F98" s="339"/>
      <c r="G98" s="340" t="s">
        <v>366</v>
      </c>
      <c r="H98" s="340" t="s">
        <v>366</v>
      </c>
      <c r="I98" s="340" t="s">
        <v>366</v>
      </c>
      <c r="J98" s="340" t="s">
        <v>366</v>
      </c>
      <c r="K98" s="340" t="s">
        <v>366</v>
      </c>
      <c r="L98" s="340" t="s">
        <v>366</v>
      </c>
      <c r="M98" s="340" t="s">
        <v>366</v>
      </c>
      <c r="N98" s="340" t="s">
        <v>366</v>
      </c>
      <c r="O98" s="340" t="s">
        <v>366</v>
      </c>
      <c r="P98" s="340" t="s">
        <v>366</v>
      </c>
      <c r="Q98" s="340" t="s">
        <v>366</v>
      </c>
      <c r="R98" s="340" t="s">
        <v>366</v>
      </c>
      <c r="S98" s="340" t="s">
        <v>366</v>
      </c>
      <c r="T98" s="340" t="s">
        <v>366</v>
      </c>
      <c r="U98" s="340" t="s">
        <v>366</v>
      </c>
      <c r="V98" s="357"/>
      <c r="W98" s="358"/>
      <c r="X98" s="358"/>
      <c r="Y98" s="358"/>
      <c r="Z98" s="130"/>
      <c r="AA98" s="359" t="s">
        <v>37</v>
      </c>
      <c r="AB98" s="359"/>
      <c r="AC98" s="359"/>
      <c r="AD98" s="359"/>
      <c r="AE98" s="360"/>
      <c r="AF98" s="349"/>
      <c r="AG98" s="350"/>
      <c r="AH98" s="350"/>
      <c r="AI98" s="350"/>
      <c r="AJ98" s="351"/>
      <c r="AK98" s="343" t="e">
        <f>SQRT(SUMSQ(AK86:AO97))</f>
        <v>#VALUE!</v>
      </c>
      <c r="AL98" s="344"/>
      <c r="AM98" s="344"/>
      <c r="AN98" s="344"/>
      <c r="AO98" s="344"/>
      <c r="AP98" s="322" t="e">
        <f>IF(V97&lt;0.000000001,"∞",(AK98^4/((AK97^4/AP97)+(AK96^4/AP96))))</f>
        <v>#VALUE!</v>
      </c>
      <c r="AQ98" s="323"/>
      <c r="AR98" s="323"/>
      <c r="AS98" s="323"/>
      <c r="AT98" s="329"/>
      <c r="AU98" s="330"/>
      <c r="AV98" s="331"/>
      <c r="AW98" s="113"/>
      <c r="AX98" s="113"/>
      <c r="AY98" s="113"/>
      <c r="AZ98" s="113"/>
      <c r="BA98" s="113"/>
    </row>
    <row r="99" spans="1:53" ht="14.85" customHeight="1" thickTop="1" thickBot="1">
      <c r="A99" s="109"/>
      <c r="B99" s="338" t="s">
        <v>368</v>
      </c>
      <c r="C99" s="339"/>
      <c r="D99" s="339"/>
      <c r="E99" s="339"/>
      <c r="F99" s="339"/>
      <c r="G99" s="340" t="s">
        <v>369</v>
      </c>
      <c r="H99" s="340" t="s">
        <v>369</v>
      </c>
      <c r="I99" s="340" t="s">
        <v>369</v>
      </c>
      <c r="J99" s="340" t="s">
        <v>369</v>
      </c>
      <c r="K99" s="340" t="s">
        <v>369</v>
      </c>
      <c r="L99" s="340" t="s">
        <v>369</v>
      </c>
      <c r="M99" s="340" t="s">
        <v>369</v>
      </c>
      <c r="N99" s="340" t="s">
        <v>369</v>
      </c>
      <c r="O99" s="340" t="s">
        <v>369</v>
      </c>
      <c r="P99" s="340" t="s">
        <v>369</v>
      </c>
      <c r="Q99" s="340" t="s">
        <v>369</v>
      </c>
      <c r="R99" s="340" t="s">
        <v>369</v>
      </c>
      <c r="S99" s="340" t="s">
        <v>369</v>
      </c>
      <c r="T99" s="340" t="s">
        <v>369</v>
      </c>
      <c r="U99" s="340" t="s">
        <v>369</v>
      </c>
      <c r="V99" s="341"/>
      <c r="W99" s="342"/>
      <c r="X99" s="342"/>
      <c r="Y99" s="342"/>
      <c r="Z99" s="131"/>
      <c r="AA99" s="345" t="s">
        <v>370</v>
      </c>
      <c r="AB99" s="346"/>
      <c r="AC99" s="347" t="e">
        <f>IF(AP98="∞",2,TINV(0.0455,AP98))</f>
        <v>#VALUE!</v>
      </c>
      <c r="AD99" s="348"/>
      <c r="AE99" s="348"/>
      <c r="AF99" s="352"/>
      <c r="AG99" s="353"/>
      <c r="AH99" s="353"/>
      <c r="AI99" s="353"/>
      <c r="AJ99" s="354"/>
      <c r="AK99" s="343" t="e">
        <f>AK98*AC99</f>
        <v>#VALUE!</v>
      </c>
      <c r="AL99" s="344"/>
      <c r="AM99" s="344"/>
      <c r="AN99" s="344"/>
      <c r="AO99" s="344"/>
      <c r="AP99" s="324" t="s">
        <v>367</v>
      </c>
      <c r="AQ99" s="325" t="s">
        <v>367</v>
      </c>
      <c r="AR99" s="325" t="s">
        <v>367</v>
      </c>
      <c r="AS99" s="325"/>
      <c r="AT99" s="332"/>
      <c r="AU99" s="333"/>
      <c r="AV99" s="334"/>
      <c r="AW99" s="113"/>
      <c r="AX99" s="113"/>
      <c r="AY99" s="113"/>
      <c r="AZ99" s="113"/>
      <c r="BA99" s="113"/>
    </row>
    <row r="100" spans="1:53" ht="14.85" customHeight="1" thickTop="1" thickBot="1">
      <c r="A100" s="109"/>
      <c r="B100" s="139"/>
      <c r="C100" s="139"/>
      <c r="D100" s="139"/>
      <c r="E100" s="139"/>
      <c r="F100" s="139"/>
      <c r="G100" s="126"/>
      <c r="H100" s="126"/>
      <c r="I100" s="126"/>
      <c r="J100" s="126"/>
      <c r="K100" s="126"/>
      <c r="L100" s="126"/>
      <c r="M100" s="126"/>
      <c r="N100" s="126"/>
      <c r="O100" s="126"/>
      <c r="P100" s="126"/>
      <c r="Q100" s="126"/>
      <c r="R100" s="126"/>
      <c r="S100" s="126"/>
      <c r="T100" s="126"/>
      <c r="U100" s="126"/>
      <c r="V100" s="132"/>
      <c r="W100" s="132"/>
      <c r="X100" s="132"/>
      <c r="Y100" s="132"/>
      <c r="Z100" s="133"/>
      <c r="AA100" s="134"/>
      <c r="AB100" s="134"/>
      <c r="AC100" s="374" t="s">
        <v>371</v>
      </c>
      <c r="AD100" s="375"/>
      <c r="AE100" s="369">
        <f>IF($J$5&lt;0,0.04,0.03)</f>
        <v>0.03</v>
      </c>
      <c r="AF100" s="369"/>
      <c r="AG100" s="370"/>
      <c r="AH100" s="371" t="s">
        <v>372</v>
      </c>
      <c r="AI100" s="369"/>
      <c r="AJ100" s="369"/>
      <c r="AK100" s="372" t="e">
        <f>IF(AK99&lt;AE100,AE100,ROUNDUP(AK99,3))</f>
        <v>#VALUE!</v>
      </c>
      <c r="AL100" s="372"/>
      <c r="AM100" s="372"/>
      <c r="AN100" s="372"/>
      <c r="AO100" s="373"/>
      <c r="AP100" s="134"/>
      <c r="AQ100" s="134"/>
      <c r="AR100" s="134"/>
      <c r="AS100" s="132"/>
      <c r="AT100" s="132"/>
      <c r="AU100" s="132"/>
      <c r="AV100" s="132"/>
      <c r="AW100" s="113"/>
      <c r="AX100" s="113"/>
      <c r="AY100" s="113"/>
      <c r="AZ100" s="113"/>
      <c r="BA100" s="113"/>
    </row>
    <row r="101" spans="1:53" ht="14.85" customHeight="1" thickTop="1" thickBot="1">
      <c r="A101" s="109"/>
      <c r="B101" s="139"/>
      <c r="C101" s="139"/>
      <c r="D101" s="139"/>
      <c r="E101" s="139"/>
      <c r="F101" s="139"/>
      <c r="G101" s="121"/>
      <c r="H101" s="121"/>
      <c r="I101" s="121"/>
      <c r="J101" s="121"/>
      <c r="K101" s="121"/>
      <c r="L101" s="121"/>
      <c r="M101" s="121"/>
      <c r="N101" s="121"/>
      <c r="O101" s="121"/>
      <c r="P101" s="121"/>
      <c r="Q101" s="121"/>
      <c r="R101" s="121"/>
      <c r="S101" s="121"/>
      <c r="T101" s="121"/>
      <c r="U101" s="121"/>
      <c r="V101" s="113"/>
      <c r="W101" s="113"/>
      <c r="X101" s="113"/>
      <c r="Y101" s="113"/>
      <c r="Z101" s="123"/>
      <c r="AA101" s="124"/>
      <c r="AB101" s="124"/>
      <c r="AC101" s="124"/>
      <c r="AD101" s="124"/>
      <c r="AE101" s="124"/>
      <c r="AF101" s="125"/>
      <c r="AG101" s="125"/>
      <c r="AH101" s="125"/>
      <c r="AI101" s="125"/>
      <c r="AJ101" s="125"/>
      <c r="AK101" s="113"/>
      <c r="AL101" s="113"/>
      <c r="AM101" s="113"/>
      <c r="AN101" s="113"/>
      <c r="AO101" s="113"/>
      <c r="AP101" s="124"/>
      <c r="AQ101" s="124"/>
      <c r="AR101" s="124"/>
      <c r="AS101" s="113"/>
      <c r="AT101" s="113"/>
      <c r="AU101" s="113"/>
      <c r="AV101" s="113"/>
      <c r="AW101" s="113"/>
      <c r="AX101" s="113"/>
      <c r="AY101" s="113"/>
      <c r="AZ101" s="113"/>
      <c r="BA101" s="113"/>
    </row>
    <row r="102" spans="1:53" ht="14.85" customHeight="1" thickTop="1" thickBot="1">
      <c r="B102" s="355" t="s">
        <v>347</v>
      </c>
      <c r="C102" s="356"/>
      <c r="D102" s="356"/>
      <c r="E102" s="356"/>
      <c r="F102" s="356"/>
      <c r="G102" s="312" t="s">
        <v>348</v>
      </c>
      <c r="H102" s="312"/>
      <c r="I102" s="312"/>
      <c r="J102" s="312"/>
      <c r="K102" s="312"/>
      <c r="L102" s="312"/>
      <c r="M102" s="312"/>
      <c r="N102" s="312"/>
      <c r="O102" s="312"/>
      <c r="P102" s="312"/>
      <c r="Q102" s="312"/>
      <c r="R102" s="312"/>
      <c r="S102" s="312"/>
      <c r="T102" s="312"/>
      <c r="U102" s="312"/>
      <c r="V102" s="187" t="s">
        <v>417</v>
      </c>
      <c r="W102" s="187"/>
      <c r="X102" s="187"/>
      <c r="Y102" s="187"/>
      <c r="Z102" s="187"/>
      <c r="AA102" s="186" t="s">
        <v>418</v>
      </c>
      <c r="AB102" s="187"/>
      <c r="AC102" s="187"/>
      <c r="AD102" s="187"/>
      <c r="AE102" s="187"/>
      <c r="AF102" s="187" t="s">
        <v>349</v>
      </c>
      <c r="AG102" s="187"/>
      <c r="AH102" s="187"/>
      <c r="AI102" s="187" t="s">
        <v>350</v>
      </c>
      <c r="AJ102" s="187"/>
      <c r="AK102" s="186" t="s">
        <v>419</v>
      </c>
      <c r="AL102" s="187"/>
      <c r="AM102" s="187"/>
      <c r="AN102" s="187"/>
      <c r="AO102" s="187"/>
      <c r="AP102" s="361" t="s">
        <v>420</v>
      </c>
      <c r="AQ102" s="362"/>
      <c r="AR102" s="362"/>
      <c r="AS102" s="362"/>
      <c r="AT102" s="326" t="str">
        <f>IF(U10="","","4")</f>
        <v/>
      </c>
      <c r="AU102" s="327"/>
      <c r="AV102" s="328"/>
      <c r="AW102" s="113"/>
      <c r="AX102" s="113"/>
      <c r="AY102" s="113"/>
      <c r="AZ102" s="113"/>
      <c r="BA102" s="113"/>
    </row>
    <row r="103" spans="1:53" ht="14.85" customHeight="1" thickTop="1" thickBot="1">
      <c r="A103" s="122"/>
      <c r="B103" s="355"/>
      <c r="C103" s="356"/>
      <c r="D103" s="356"/>
      <c r="E103" s="356"/>
      <c r="F103" s="356"/>
      <c r="G103" s="312"/>
      <c r="H103" s="312"/>
      <c r="I103" s="312"/>
      <c r="J103" s="312"/>
      <c r="K103" s="312"/>
      <c r="L103" s="312"/>
      <c r="M103" s="312"/>
      <c r="N103" s="312"/>
      <c r="O103" s="312"/>
      <c r="P103" s="312"/>
      <c r="Q103" s="312"/>
      <c r="R103" s="312"/>
      <c r="S103" s="312"/>
      <c r="T103" s="312"/>
      <c r="U103" s="312"/>
      <c r="V103" s="187"/>
      <c r="W103" s="187"/>
      <c r="X103" s="187"/>
      <c r="Y103" s="187"/>
      <c r="Z103" s="187"/>
      <c r="AA103" s="187"/>
      <c r="AB103" s="187"/>
      <c r="AC103" s="187"/>
      <c r="AD103" s="187"/>
      <c r="AE103" s="187"/>
      <c r="AF103" s="187"/>
      <c r="AG103" s="187"/>
      <c r="AH103" s="187"/>
      <c r="AI103" s="187"/>
      <c r="AJ103" s="187"/>
      <c r="AK103" s="187"/>
      <c r="AL103" s="187"/>
      <c r="AM103" s="187"/>
      <c r="AN103" s="187"/>
      <c r="AO103" s="187"/>
      <c r="AP103" s="363"/>
      <c r="AQ103" s="364"/>
      <c r="AR103" s="364"/>
      <c r="AS103" s="364"/>
      <c r="AT103" s="329"/>
      <c r="AU103" s="330"/>
      <c r="AV103" s="331"/>
      <c r="AW103" s="113"/>
      <c r="AX103" s="113"/>
      <c r="AY103" s="113"/>
      <c r="AZ103" s="113"/>
      <c r="BA103" s="113"/>
    </row>
    <row r="104" spans="1:53" ht="14.85" customHeight="1" thickTop="1">
      <c r="A104" s="109"/>
      <c r="B104" s="188" t="s">
        <v>421</v>
      </c>
      <c r="C104" s="189"/>
      <c r="D104" s="189"/>
      <c r="E104" s="189"/>
      <c r="F104" s="189"/>
      <c r="G104" s="321" t="s">
        <v>351</v>
      </c>
      <c r="H104" s="321"/>
      <c r="I104" s="321"/>
      <c r="J104" s="321"/>
      <c r="K104" s="321"/>
      <c r="L104" s="321"/>
      <c r="M104" s="321"/>
      <c r="N104" s="321"/>
      <c r="O104" s="321"/>
      <c r="P104" s="321"/>
      <c r="Q104" s="321"/>
      <c r="R104" s="321"/>
      <c r="S104" s="321"/>
      <c r="T104" s="321"/>
      <c r="U104" s="321"/>
      <c r="V104" s="367">
        <f>$V$47</f>
        <v>3.0000000000000001E-3</v>
      </c>
      <c r="W104" s="368"/>
      <c r="X104" s="368"/>
      <c r="Y104" s="368"/>
      <c r="Z104" s="127" t="s">
        <v>434</v>
      </c>
      <c r="AA104" s="192" t="s">
        <v>37</v>
      </c>
      <c r="AB104" s="192"/>
      <c r="AC104" s="192"/>
      <c r="AD104" s="192"/>
      <c r="AE104" s="192"/>
      <c r="AF104" s="289">
        <v>2</v>
      </c>
      <c r="AG104" s="289"/>
      <c r="AH104" s="289"/>
      <c r="AI104" s="289">
        <v>1</v>
      </c>
      <c r="AJ104" s="289"/>
      <c r="AK104" s="290">
        <f>(V104/AF104)*AI104</f>
        <v>1.5E-3</v>
      </c>
      <c r="AL104" s="290"/>
      <c r="AM104" s="290"/>
      <c r="AN104" s="290"/>
      <c r="AO104" s="291"/>
      <c r="AP104" s="365" t="str">
        <f t="shared" ref="AP104:AP113" si="78">IF($B$8="","","∞")</f>
        <v>∞</v>
      </c>
      <c r="AQ104" s="366"/>
      <c r="AR104" s="366"/>
      <c r="AS104" s="366"/>
      <c r="AT104" s="329"/>
      <c r="AU104" s="330"/>
      <c r="AV104" s="331"/>
      <c r="AW104" s="113"/>
      <c r="AX104" s="113"/>
      <c r="AY104" s="113"/>
      <c r="AZ104" s="113"/>
      <c r="BA104" s="113"/>
    </row>
    <row r="105" spans="1:53" ht="14.85" customHeight="1">
      <c r="A105" s="109"/>
      <c r="B105" s="190" t="s">
        <v>422</v>
      </c>
      <c r="C105" s="191"/>
      <c r="D105" s="191"/>
      <c r="E105" s="191"/>
      <c r="F105" s="191"/>
      <c r="G105" s="194" t="s">
        <v>352</v>
      </c>
      <c r="H105" s="194"/>
      <c r="I105" s="194"/>
      <c r="J105" s="194"/>
      <c r="K105" s="194"/>
      <c r="L105" s="194"/>
      <c r="M105" s="194"/>
      <c r="N105" s="194"/>
      <c r="O105" s="194"/>
      <c r="P105" s="194"/>
      <c r="Q105" s="194"/>
      <c r="R105" s="194"/>
      <c r="S105" s="194"/>
      <c r="T105" s="194"/>
      <c r="U105" s="194"/>
      <c r="V105" s="317">
        <f>$V$48</f>
        <v>1.6000000000000001E-3</v>
      </c>
      <c r="W105" s="318"/>
      <c r="X105" s="318"/>
      <c r="Y105" s="318"/>
      <c r="Z105" s="128" t="s">
        <v>353</v>
      </c>
      <c r="AA105" s="193" t="s">
        <v>354</v>
      </c>
      <c r="AB105" s="193"/>
      <c r="AC105" s="193"/>
      <c r="AD105" s="193"/>
      <c r="AE105" s="193"/>
      <c r="AF105" s="195" t="s">
        <v>355</v>
      </c>
      <c r="AG105" s="195"/>
      <c r="AH105" s="195"/>
      <c r="AI105" s="195">
        <v>10</v>
      </c>
      <c r="AJ105" s="195"/>
      <c r="AK105" s="196">
        <f>(V105/SQRT(3))*AI105</f>
        <v>9.2376043070340128E-3</v>
      </c>
      <c r="AL105" s="196"/>
      <c r="AM105" s="196"/>
      <c r="AN105" s="196"/>
      <c r="AO105" s="197"/>
      <c r="AP105" s="304" t="str">
        <f t="shared" si="78"/>
        <v>∞</v>
      </c>
      <c r="AQ105" s="305"/>
      <c r="AR105" s="305"/>
      <c r="AS105" s="305"/>
      <c r="AT105" s="329"/>
      <c r="AU105" s="330"/>
      <c r="AV105" s="331"/>
      <c r="AW105" s="113"/>
      <c r="AX105" s="113"/>
      <c r="AY105" s="113"/>
      <c r="AZ105" s="113"/>
      <c r="BA105" s="113"/>
    </row>
    <row r="106" spans="1:53" ht="14.85" customHeight="1">
      <c r="A106" s="109"/>
      <c r="B106" s="190" t="s">
        <v>423</v>
      </c>
      <c r="C106" s="191"/>
      <c r="D106" s="191"/>
      <c r="E106" s="191"/>
      <c r="F106" s="191"/>
      <c r="G106" s="194" t="s">
        <v>356</v>
      </c>
      <c r="H106" s="194"/>
      <c r="I106" s="194"/>
      <c r="J106" s="194"/>
      <c r="K106" s="194"/>
      <c r="L106" s="194"/>
      <c r="M106" s="194"/>
      <c r="N106" s="194"/>
      <c r="O106" s="194"/>
      <c r="P106" s="194"/>
      <c r="Q106" s="194"/>
      <c r="R106" s="194"/>
      <c r="S106" s="194"/>
      <c r="T106" s="194"/>
      <c r="U106" s="194"/>
      <c r="V106" s="317">
        <f>$V$49</f>
        <v>1E-3</v>
      </c>
      <c r="W106" s="318"/>
      <c r="X106" s="318"/>
      <c r="Y106" s="318"/>
      <c r="Z106" s="128" t="s">
        <v>353</v>
      </c>
      <c r="AA106" s="193" t="s">
        <v>354</v>
      </c>
      <c r="AB106" s="193"/>
      <c r="AC106" s="193"/>
      <c r="AD106" s="193"/>
      <c r="AE106" s="193"/>
      <c r="AF106" s="195">
        <v>2</v>
      </c>
      <c r="AG106" s="195"/>
      <c r="AH106" s="195"/>
      <c r="AI106" s="195">
        <v>10</v>
      </c>
      <c r="AJ106" s="195"/>
      <c r="AK106" s="196">
        <f>(V106/AF106)*AI106</f>
        <v>5.0000000000000001E-3</v>
      </c>
      <c r="AL106" s="196"/>
      <c r="AM106" s="196"/>
      <c r="AN106" s="196"/>
      <c r="AO106" s="197"/>
      <c r="AP106" s="304" t="str">
        <f t="shared" si="78"/>
        <v>∞</v>
      </c>
      <c r="AQ106" s="305"/>
      <c r="AR106" s="305"/>
      <c r="AS106" s="305"/>
      <c r="AT106" s="329"/>
      <c r="AU106" s="330"/>
      <c r="AV106" s="331"/>
      <c r="AW106" s="113"/>
      <c r="AX106" s="113"/>
      <c r="AY106" s="113"/>
      <c r="AZ106" s="113"/>
      <c r="BA106" s="113"/>
    </row>
    <row r="107" spans="1:53" ht="14.85" customHeight="1">
      <c r="A107" s="109"/>
      <c r="B107" s="190" t="s">
        <v>424</v>
      </c>
      <c r="C107" s="191"/>
      <c r="D107" s="191"/>
      <c r="E107" s="191"/>
      <c r="F107" s="191"/>
      <c r="G107" s="194" t="s">
        <v>357</v>
      </c>
      <c r="H107" s="194"/>
      <c r="I107" s="194"/>
      <c r="J107" s="194"/>
      <c r="K107" s="194"/>
      <c r="L107" s="194"/>
      <c r="M107" s="194"/>
      <c r="N107" s="194"/>
      <c r="O107" s="194"/>
      <c r="P107" s="194"/>
      <c r="Q107" s="194"/>
      <c r="R107" s="194"/>
      <c r="S107" s="194"/>
      <c r="T107" s="194"/>
      <c r="U107" s="194"/>
      <c r="V107" s="317">
        <f>$V$50</f>
        <v>1E-3</v>
      </c>
      <c r="W107" s="318"/>
      <c r="X107" s="318"/>
      <c r="Y107" s="318"/>
      <c r="Z107" s="128" t="s">
        <v>353</v>
      </c>
      <c r="AA107" s="193" t="s">
        <v>354</v>
      </c>
      <c r="AB107" s="193"/>
      <c r="AC107" s="193"/>
      <c r="AD107" s="193"/>
      <c r="AE107" s="193"/>
      <c r="AF107" s="195" t="s">
        <v>355</v>
      </c>
      <c r="AG107" s="195"/>
      <c r="AH107" s="195"/>
      <c r="AI107" s="195">
        <v>10</v>
      </c>
      <c r="AJ107" s="195"/>
      <c r="AK107" s="196">
        <f>(V107/SQRT(3))*AI107</f>
        <v>5.773502691896258E-3</v>
      </c>
      <c r="AL107" s="196"/>
      <c r="AM107" s="196"/>
      <c r="AN107" s="196"/>
      <c r="AO107" s="197"/>
      <c r="AP107" s="304" t="str">
        <f t="shared" si="78"/>
        <v>∞</v>
      </c>
      <c r="AQ107" s="305"/>
      <c r="AR107" s="305"/>
      <c r="AS107" s="305"/>
      <c r="AT107" s="329"/>
      <c r="AU107" s="330"/>
      <c r="AV107" s="331"/>
      <c r="AW107" s="113"/>
      <c r="AX107" s="113"/>
      <c r="AY107" s="113"/>
      <c r="AZ107" s="113"/>
      <c r="BA107" s="113"/>
    </row>
    <row r="108" spans="1:53" ht="14.85" customHeight="1">
      <c r="A108" s="109"/>
      <c r="B108" s="190" t="s">
        <v>425</v>
      </c>
      <c r="C108" s="191"/>
      <c r="D108" s="191"/>
      <c r="E108" s="191"/>
      <c r="F108" s="191"/>
      <c r="G108" s="194" t="s">
        <v>358</v>
      </c>
      <c r="H108" s="194"/>
      <c r="I108" s="194"/>
      <c r="J108" s="194"/>
      <c r="K108" s="194"/>
      <c r="L108" s="194"/>
      <c r="M108" s="194"/>
      <c r="N108" s="194"/>
      <c r="O108" s="194"/>
      <c r="P108" s="194"/>
      <c r="Q108" s="194"/>
      <c r="R108" s="194"/>
      <c r="S108" s="194"/>
      <c r="T108" s="194"/>
      <c r="U108" s="194"/>
      <c r="V108" s="317">
        <f>$V$51</f>
        <v>5.0000000000000002E-5</v>
      </c>
      <c r="W108" s="318"/>
      <c r="X108" s="318"/>
      <c r="Y108" s="318"/>
      <c r="Z108" s="128" t="s">
        <v>434</v>
      </c>
      <c r="AA108" s="193" t="s">
        <v>354</v>
      </c>
      <c r="AB108" s="193"/>
      <c r="AC108" s="193"/>
      <c r="AD108" s="193"/>
      <c r="AE108" s="193"/>
      <c r="AF108" s="195" t="s">
        <v>355</v>
      </c>
      <c r="AG108" s="195"/>
      <c r="AH108" s="195"/>
      <c r="AI108" s="195">
        <v>1</v>
      </c>
      <c r="AJ108" s="195"/>
      <c r="AK108" s="196">
        <f>(V108/SQRT(3))*AI108</f>
        <v>2.8867513459481293E-5</v>
      </c>
      <c r="AL108" s="196"/>
      <c r="AM108" s="196"/>
      <c r="AN108" s="196"/>
      <c r="AO108" s="197"/>
      <c r="AP108" s="304" t="str">
        <f t="shared" si="78"/>
        <v>∞</v>
      </c>
      <c r="AQ108" s="305"/>
      <c r="AR108" s="305"/>
      <c r="AS108" s="305"/>
      <c r="AT108" s="329"/>
      <c r="AU108" s="330"/>
      <c r="AV108" s="331"/>
      <c r="AW108" s="113"/>
      <c r="AX108" s="113"/>
      <c r="AY108" s="113"/>
      <c r="AZ108" s="113"/>
      <c r="BA108" s="113"/>
    </row>
    <row r="109" spans="1:53" ht="14.85" customHeight="1">
      <c r="A109" s="109"/>
      <c r="B109" s="190" t="s">
        <v>426</v>
      </c>
      <c r="C109" s="191"/>
      <c r="D109" s="191"/>
      <c r="E109" s="191"/>
      <c r="F109" s="191"/>
      <c r="G109" s="194" t="s">
        <v>359</v>
      </c>
      <c r="H109" s="194"/>
      <c r="I109" s="194"/>
      <c r="J109" s="194"/>
      <c r="K109" s="194"/>
      <c r="L109" s="194"/>
      <c r="M109" s="194"/>
      <c r="N109" s="194"/>
      <c r="O109" s="194"/>
      <c r="P109" s="194"/>
      <c r="Q109" s="194"/>
      <c r="R109" s="194"/>
      <c r="S109" s="194"/>
      <c r="T109" s="194"/>
      <c r="U109" s="194"/>
      <c r="V109" s="317">
        <f>$V$52</f>
        <v>0.01</v>
      </c>
      <c r="W109" s="318"/>
      <c r="X109" s="318"/>
      <c r="Y109" s="318"/>
      <c r="Z109" s="128" t="s">
        <v>434</v>
      </c>
      <c r="AA109" s="193" t="s">
        <v>354</v>
      </c>
      <c r="AB109" s="193"/>
      <c r="AC109" s="193"/>
      <c r="AD109" s="193"/>
      <c r="AE109" s="193"/>
      <c r="AF109" s="195" t="s">
        <v>355</v>
      </c>
      <c r="AG109" s="195"/>
      <c r="AH109" s="195"/>
      <c r="AI109" s="195">
        <v>1</v>
      </c>
      <c r="AJ109" s="195"/>
      <c r="AK109" s="196">
        <f>(V109/SQRT(3))*AI109</f>
        <v>5.773502691896258E-3</v>
      </c>
      <c r="AL109" s="196"/>
      <c r="AM109" s="196"/>
      <c r="AN109" s="196"/>
      <c r="AO109" s="197"/>
      <c r="AP109" s="304" t="str">
        <f t="shared" si="78"/>
        <v>∞</v>
      </c>
      <c r="AQ109" s="305"/>
      <c r="AR109" s="305"/>
      <c r="AS109" s="305"/>
      <c r="AT109" s="329"/>
      <c r="AU109" s="330"/>
      <c r="AV109" s="331"/>
      <c r="AW109" s="113"/>
      <c r="AX109" s="113"/>
      <c r="AY109" s="113"/>
      <c r="AZ109" s="113"/>
      <c r="BA109" s="113"/>
    </row>
    <row r="110" spans="1:53" ht="14.85" customHeight="1">
      <c r="A110" s="109"/>
      <c r="B110" s="190" t="s">
        <v>427</v>
      </c>
      <c r="C110" s="191"/>
      <c r="D110" s="191"/>
      <c r="E110" s="191"/>
      <c r="F110" s="191"/>
      <c r="G110" s="194" t="s">
        <v>360</v>
      </c>
      <c r="H110" s="194"/>
      <c r="I110" s="194"/>
      <c r="J110" s="194"/>
      <c r="K110" s="194"/>
      <c r="L110" s="194"/>
      <c r="M110" s="194"/>
      <c r="N110" s="194"/>
      <c r="O110" s="194"/>
      <c r="P110" s="194"/>
      <c r="Q110" s="194"/>
      <c r="R110" s="194"/>
      <c r="S110" s="194"/>
      <c r="T110" s="194"/>
      <c r="U110" s="194"/>
      <c r="V110" s="317">
        <f>$V$53</f>
        <v>0.01</v>
      </c>
      <c r="W110" s="318"/>
      <c r="X110" s="318"/>
      <c r="Y110" s="318"/>
      <c r="Z110" s="128" t="s">
        <v>434</v>
      </c>
      <c r="AA110" s="193" t="s">
        <v>354</v>
      </c>
      <c r="AB110" s="193"/>
      <c r="AC110" s="193"/>
      <c r="AD110" s="193"/>
      <c r="AE110" s="193"/>
      <c r="AF110" s="195" t="s">
        <v>355</v>
      </c>
      <c r="AG110" s="195"/>
      <c r="AH110" s="195"/>
      <c r="AI110" s="195">
        <v>1</v>
      </c>
      <c r="AJ110" s="195"/>
      <c r="AK110" s="196">
        <f t="shared" ref="AK110:AK112" si="79">(V110/SQRT(3))*AI110</f>
        <v>5.773502691896258E-3</v>
      </c>
      <c r="AL110" s="196"/>
      <c r="AM110" s="196"/>
      <c r="AN110" s="196"/>
      <c r="AO110" s="197"/>
      <c r="AP110" s="304" t="str">
        <f t="shared" si="78"/>
        <v>∞</v>
      </c>
      <c r="AQ110" s="305"/>
      <c r="AR110" s="305"/>
      <c r="AS110" s="305"/>
      <c r="AT110" s="329"/>
      <c r="AU110" s="330"/>
      <c r="AV110" s="331"/>
      <c r="AW110" s="113"/>
      <c r="AX110" s="113"/>
      <c r="AY110" s="113"/>
      <c r="AZ110" s="113"/>
      <c r="BA110" s="113"/>
    </row>
    <row r="111" spans="1:53" ht="14.85" customHeight="1">
      <c r="A111" s="109"/>
      <c r="B111" s="190" t="s">
        <v>428</v>
      </c>
      <c r="C111" s="191"/>
      <c r="D111" s="191"/>
      <c r="E111" s="191"/>
      <c r="F111" s="191"/>
      <c r="G111" s="194" t="s">
        <v>361</v>
      </c>
      <c r="H111" s="194"/>
      <c r="I111" s="194"/>
      <c r="J111" s="194"/>
      <c r="K111" s="194"/>
      <c r="L111" s="194"/>
      <c r="M111" s="194"/>
      <c r="N111" s="194"/>
      <c r="O111" s="194"/>
      <c r="P111" s="194"/>
      <c r="Q111" s="194"/>
      <c r="R111" s="194"/>
      <c r="S111" s="194"/>
      <c r="T111" s="194"/>
      <c r="U111" s="194"/>
      <c r="V111" s="317">
        <f>$AB$3/2</f>
        <v>0</v>
      </c>
      <c r="W111" s="318"/>
      <c r="X111" s="318"/>
      <c r="Y111" s="318"/>
      <c r="Z111" s="128" t="s">
        <v>434</v>
      </c>
      <c r="AA111" s="193" t="s">
        <v>354</v>
      </c>
      <c r="AB111" s="193"/>
      <c r="AC111" s="193"/>
      <c r="AD111" s="193"/>
      <c r="AE111" s="193"/>
      <c r="AF111" s="195" t="s">
        <v>355</v>
      </c>
      <c r="AG111" s="195"/>
      <c r="AH111" s="195"/>
      <c r="AI111" s="195">
        <v>1</v>
      </c>
      <c r="AJ111" s="195"/>
      <c r="AK111" s="196">
        <f t="shared" si="79"/>
        <v>0</v>
      </c>
      <c r="AL111" s="196"/>
      <c r="AM111" s="196"/>
      <c r="AN111" s="196"/>
      <c r="AO111" s="197"/>
      <c r="AP111" s="304" t="str">
        <f t="shared" si="78"/>
        <v>∞</v>
      </c>
      <c r="AQ111" s="305"/>
      <c r="AR111" s="305"/>
      <c r="AS111" s="305"/>
      <c r="AT111" s="329"/>
      <c r="AU111" s="330"/>
      <c r="AV111" s="331"/>
      <c r="AW111" s="113"/>
      <c r="AX111" s="113"/>
      <c r="AY111" s="113"/>
      <c r="AZ111" s="113"/>
      <c r="BA111" s="113"/>
    </row>
    <row r="112" spans="1:53" ht="14.85" customHeight="1">
      <c r="A112" s="109"/>
      <c r="B112" s="190" t="s">
        <v>429</v>
      </c>
      <c r="C112" s="191"/>
      <c r="D112" s="191"/>
      <c r="E112" s="191"/>
      <c r="F112" s="191"/>
      <c r="G112" s="194" t="s">
        <v>362</v>
      </c>
      <c r="H112" s="194"/>
      <c r="I112" s="194"/>
      <c r="J112" s="194"/>
      <c r="K112" s="194"/>
      <c r="L112" s="194"/>
      <c r="M112" s="194"/>
      <c r="N112" s="194"/>
      <c r="O112" s="194"/>
      <c r="P112" s="194"/>
      <c r="Q112" s="194"/>
      <c r="R112" s="194"/>
      <c r="S112" s="194"/>
      <c r="T112" s="194"/>
      <c r="U112" s="194"/>
      <c r="V112" s="317" t="str">
        <f>$U$31</f>
        <v/>
      </c>
      <c r="W112" s="318"/>
      <c r="X112" s="318"/>
      <c r="Y112" s="318"/>
      <c r="Z112" s="128" t="s">
        <v>434</v>
      </c>
      <c r="AA112" s="193" t="s">
        <v>354</v>
      </c>
      <c r="AB112" s="193"/>
      <c r="AC112" s="193"/>
      <c r="AD112" s="193"/>
      <c r="AE112" s="193"/>
      <c r="AF112" s="195" t="s">
        <v>355</v>
      </c>
      <c r="AG112" s="195"/>
      <c r="AH112" s="195"/>
      <c r="AI112" s="195">
        <v>1</v>
      </c>
      <c r="AJ112" s="195"/>
      <c r="AK112" s="196" t="e">
        <f t="shared" si="79"/>
        <v>#VALUE!</v>
      </c>
      <c r="AL112" s="196"/>
      <c r="AM112" s="196"/>
      <c r="AN112" s="196"/>
      <c r="AO112" s="197"/>
      <c r="AP112" s="304" t="str">
        <f t="shared" si="78"/>
        <v>∞</v>
      </c>
      <c r="AQ112" s="305"/>
      <c r="AR112" s="305"/>
      <c r="AS112" s="305"/>
      <c r="AT112" s="329"/>
      <c r="AU112" s="330"/>
      <c r="AV112" s="331"/>
      <c r="AW112" s="113"/>
      <c r="AX112" s="113"/>
      <c r="AY112" s="113"/>
      <c r="AZ112" s="113"/>
      <c r="BA112" s="113"/>
    </row>
    <row r="113" spans="1:74" ht="14.85" customHeight="1">
      <c r="A113" s="109"/>
      <c r="B113" s="190" t="s">
        <v>430</v>
      </c>
      <c r="C113" s="191"/>
      <c r="D113" s="191"/>
      <c r="E113" s="191"/>
      <c r="F113" s="191"/>
      <c r="G113" s="194" t="s">
        <v>363</v>
      </c>
      <c r="H113" s="194"/>
      <c r="I113" s="194"/>
      <c r="J113" s="194"/>
      <c r="K113" s="194"/>
      <c r="L113" s="194"/>
      <c r="M113" s="194"/>
      <c r="N113" s="194"/>
      <c r="O113" s="194"/>
      <c r="P113" s="194"/>
      <c r="Q113" s="194"/>
      <c r="R113" s="194"/>
      <c r="S113" s="194"/>
      <c r="T113" s="194"/>
      <c r="U113" s="194"/>
      <c r="V113" s="317">
        <v>0</v>
      </c>
      <c r="W113" s="318"/>
      <c r="X113" s="318"/>
      <c r="Y113" s="318"/>
      <c r="Z113" s="128" t="s">
        <v>434</v>
      </c>
      <c r="AA113" s="193" t="s">
        <v>354</v>
      </c>
      <c r="AB113" s="193"/>
      <c r="AC113" s="193"/>
      <c r="AD113" s="193"/>
      <c r="AE113" s="193"/>
      <c r="AF113" s="195" t="s">
        <v>355</v>
      </c>
      <c r="AG113" s="195"/>
      <c r="AH113" s="195"/>
      <c r="AI113" s="195">
        <v>1</v>
      </c>
      <c r="AJ113" s="195"/>
      <c r="AK113" s="196">
        <f>(V113/SQRT(3))*AI113</f>
        <v>0</v>
      </c>
      <c r="AL113" s="196"/>
      <c r="AM113" s="196"/>
      <c r="AN113" s="196"/>
      <c r="AO113" s="197"/>
      <c r="AP113" s="304" t="str">
        <f t="shared" si="78"/>
        <v>∞</v>
      </c>
      <c r="AQ113" s="305"/>
      <c r="AR113" s="305"/>
      <c r="AS113" s="305"/>
      <c r="AT113" s="329"/>
      <c r="AU113" s="330"/>
      <c r="AV113" s="331"/>
      <c r="AW113" s="113"/>
      <c r="AX113" s="113"/>
      <c r="AY113" s="113"/>
      <c r="AZ113" s="113"/>
      <c r="BA113" s="113"/>
    </row>
    <row r="114" spans="1:74" ht="14.85" customHeight="1">
      <c r="A114" s="109"/>
      <c r="B114" s="190" t="s">
        <v>431</v>
      </c>
      <c r="C114" s="191"/>
      <c r="D114" s="191"/>
      <c r="E114" s="191"/>
      <c r="F114" s="191"/>
      <c r="G114" s="194" t="s">
        <v>364</v>
      </c>
      <c r="H114" s="194"/>
      <c r="I114" s="194"/>
      <c r="J114" s="194"/>
      <c r="K114" s="194"/>
      <c r="L114" s="194"/>
      <c r="M114" s="194"/>
      <c r="N114" s="194"/>
      <c r="O114" s="194"/>
      <c r="P114" s="194"/>
      <c r="Q114" s="194"/>
      <c r="R114" s="194"/>
      <c r="S114" s="194"/>
      <c r="T114" s="194"/>
      <c r="U114" s="194"/>
      <c r="V114" s="317" t="str">
        <f>$E$16</f>
        <v/>
      </c>
      <c r="W114" s="318"/>
      <c r="X114" s="318"/>
      <c r="Y114" s="318"/>
      <c r="Z114" s="128" t="s">
        <v>434</v>
      </c>
      <c r="AA114" s="193" t="s">
        <v>37</v>
      </c>
      <c r="AB114" s="193"/>
      <c r="AC114" s="193"/>
      <c r="AD114" s="193"/>
      <c r="AE114" s="193"/>
      <c r="AF114" s="195">
        <v>1</v>
      </c>
      <c r="AG114" s="195"/>
      <c r="AH114" s="195"/>
      <c r="AI114" s="195">
        <f>IF($B$8="","",1)</f>
        <v>1</v>
      </c>
      <c r="AJ114" s="195"/>
      <c r="AK114" s="196" t="e">
        <f t="shared" ref="AK114" si="80">(V114/AF114)*AI114</f>
        <v>#VALUE!</v>
      </c>
      <c r="AL114" s="196"/>
      <c r="AM114" s="196"/>
      <c r="AN114" s="196"/>
      <c r="AO114" s="197"/>
      <c r="AP114" s="304">
        <v>9</v>
      </c>
      <c r="AQ114" s="305"/>
      <c r="AR114" s="305"/>
      <c r="AS114" s="305"/>
      <c r="AT114" s="329"/>
      <c r="AU114" s="330"/>
      <c r="AV114" s="331"/>
      <c r="AW114" s="113"/>
      <c r="AX114" s="113"/>
      <c r="AY114" s="113"/>
      <c r="AZ114" s="113"/>
      <c r="BA114" s="113"/>
    </row>
    <row r="115" spans="1:74" ht="14.85" customHeight="1" thickBot="1">
      <c r="A115" s="109"/>
      <c r="B115" s="306" t="s">
        <v>432</v>
      </c>
      <c r="C115" s="307"/>
      <c r="D115" s="307"/>
      <c r="E115" s="307"/>
      <c r="F115" s="307"/>
      <c r="G115" s="340" t="s">
        <v>365</v>
      </c>
      <c r="H115" s="340"/>
      <c r="I115" s="340"/>
      <c r="J115" s="340"/>
      <c r="K115" s="340"/>
      <c r="L115" s="340"/>
      <c r="M115" s="340"/>
      <c r="N115" s="340"/>
      <c r="O115" s="340"/>
      <c r="P115" s="340"/>
      <c r="Q115" s="340"/>
      <c r="R115" s="340"/>
      <c r="S115" s="340"/>
      <c r="T115" s="340"/>
      <c r="U115" s="340"/>
      <c r="V115" s="319" t="str">
        <f>$U$16</f>
        <v/>
      </c>
      <c r="W115" s="320"/>
      <c r="X115" s="320"/>
      <c r="Y115" s="320"/>
      <c r="Z115" s="129" t="s">
        <v>434</v>
      </c>
      <c r="AA115" s="308" t="s">
        <v>37</v>
      </c>
      <c r="AB115" s="308"/>
      <c r="AC115" s="308"/>
      <c r="AD115" s="308"/>
      <c r="AE115" s="308"/>
      <c r="AF115" s="309">
        <v>1</v>
      </c>
      <c r="AG115" s="309"/>
      <c r="AH115" s="309"/>
      <c r="AI115" s="309">
        <f>IF($B$8="","",1)</f>
        <v>1</v>
      </c>
      <c r="AJ115" s="309"/>
      <c r="AK115" s="310" t="e">
        <f>(V115/AF115)*AI115</f>
        <v>#VALUE!</v>
      </c>
      <c r="AL115" s="310"/>
      <c r="AM115" s="310"/>
      <c r="AN115" s="310"/>
      <c r="AO115" s="311"/>
      <c r="AP115" s="304">
        <v>9</v>
      </c>
      <c r="AQ115" s="305"/>
      <c r="AR115" s="305"/>
      <c r="AS115" s="305"/>
      <c r="AT115" s="329"/>
      <c r="AU115" s="330"/>
      <c r="AV115" s="331"/>
      <c r="AW115" s="113"/>
      <c r="AX115" s="113"/>
      <c r="AY115" s="113"/>
      <c r="AZ115" s="113"/>
      <c r="BA115" s="113"/>
    </row>
    <row r="116" spans="1:74" ht="14.85" customHeight="1" thickTop="1" thickBot="1">
      <c r="A116" s="109"/>
      <c r="B116" s="338" t="s">
        <v>433</v>
      </c>
      <c r="C116" s="339"/>
      <c r="D116" s="339"/>
      <c r="E116" s="339"/>
      <c r="F116" s="339"/>
      <c r="G116" s="340" t="s">
        <v>366</v>
      </c>
      <c r="H116" s="340" t="s">
        <v>366</v>
      </c>
      <c r="I116" s="340" t="s">
        <v>366</v>
      </c>
      <c r="J116" s="340" t="s">
        <v>366</v>
      </c>
      <c r="K116" s="340" t="s">
        <v>366</v>
      </c>
      <c r="L116" s="340" t="s">
        <v>366</v>
      </c>
      <c r="M116" s="340" t="s">
        <v>366</v>
      </c>
      <c r="N116" s="340" t="s">
        <v>366</v>
      </c>
      <c r="O116" s="340" t="s">
        <v>366</v>
      </c>
      <c r="P116" s="340" t="s">
        <v>366</v>
      </c>
      <c r="Q116" s="340" t="s">
        <v>366</v>
      </c>
      <c r="R116" s="340" t="s">
        <v>366</v>
      </c>
      <c r="S116" s="340" t="s">
        <v>366</v>
      </c>
      <c r="T116" s="340" t="s">
        <v>366</v>
      </c>
      <c r="U116" s="340" t="s">
        <v>366</v>
      </c>
      <c r="V116" s="357"/>
      <c r="W116" s="358"/>
      <c r="X116" s="358"/>
      <c r="Y116" s="358"/>
      <c r="Z116" s="130"/>
      <c r="AA116" s="359" t="s">
        <v>37</v>
      </c>
      <c r="AB116" s="359"/>
      <c r="AC116" s="359"/>
      <c r="AD116" s="359"/>
      <c r="AE116" s="360"/>
      <c r="AF116" s="349"/>
      <c r="AG116" s="350"/>
      <c r="AH116" s="350"/>
      <c r="AI116" s="350"/>
      <c r="AJ116" s="351"/>
      <c r="AK116" s="343" t="e">
        <f>SQRT(SUMSQ(AK104:AO115))</f>
        <v>#VALUE!</v>
      </c>
      <c r="AL116" s="344"/>
      <c r="AM116" s="344"/>
      <c r="AN116" s="344"/>
      <c r="AO116" s="344"/>
      <c r="AP116" s="322" t="e">
        <f>IF(V115&lt;0.000000001,"∞",(AK116^4/((AK115^4/AP115)+(AK114^4/AP114))))</f>
        <v>#VALUE!</v>
      </c>
      <c r="AQ116" s="323"/>
      <c r="AR116" s="323"/>
      <c r="AS116" s="323"/>
      <c r="AT116" s="329"/>
      <c r="AU116" s="330"/>
      <c r="AV116" s="331"/>
      <c r="AW116" s="113"/>
      <c r="AX116" s="113"/>
      <c r="AY116" s="113"/>
      <c r="AZ116" s="113"/>
      <c r="BA116" s="113"/>
    </row>
    <row r="117" spans="1:74" ht="14.85" customHeight="1" thickTop="1" thickBot="1">
      <c r="A117" s="109"/>
      <c r="B117" s="338" t="s">
        <v>368</v>
      </c>
      <c r="C117" s="339"/>
      <c r="D117" s="339"/>
      <c r="E117" s="339"/>
      <c r="F117" s="339"/>
      <c r="G117" s="340" t="s">
        <v>369</v>
      </c>
      <c r="H117" s="340" t="s">
        <v>369</v>
      </c>
      <c r="I117" s="340" t="s">
        <v>369</v>
      </c>
      <c r="J117" s="340" t="s">
        <v>369</v>
      </c>
      <c r="K117" s="340" t="s">
        <v>369</v>
      </c>
      <c r="L117" s="340" t="s">
        <v>369</v>
      </c>
      <c r="M117" s="340" t="s">
        <v>369</v>
      </c>
      <c r="N117" s="340" t="s">
        <v>369</v>
      </c>
      <c r="O117" s="340" t="s">
        <v>369</v>
      </c>
      <c r="P117" s="340" t="s">
        <v>369</v>
      </c>
      <c r="Q117" s="340" t="s">
        <v>369</v>
      </c>
      <c r="R117" s="340" t="s">
        <v>369</v>
      </c>
      <c r="S117" s="340" t="s">
        <v>369</v>
      </c>
      <c r="T117" s="340" t="s">
        <v>369</v>
      </c>
      <c r="U117" s="340" t="s">
        <v>369</v>
      </c>
      <c r="V117" s="341"/>
      <c r="W117" s="342"/>
      <c r="X117" s="342"/>
      <c r="Y117" s="342"/>
      <c r="Z117" s="131"/>
      <c r="AA117" s="345" t="s">
        <v>370</v>
      </c>
      <c r="AB117" s="346"/>
      <c r="AC117" s="347" t="e">
        <f>IF(AP116="∞",2,TINV(0.0455,AP116))</f>
        <v>#VALUE!</v>
      </c>
      <c r="AD117" s="348"/>
      <c r="AE117" s="348"/>
      <c r="AF117" s="352"/>
      <c r="AG117" s="353"/>
      <c r="AH117" s="353"/>
      <c r="AI117" s="353"/>
      <c r="AJ117" s="354"/>
      <c r="AK117" s="343" t="e">
        <f>AK116*AC117</f>
        <v>#VALUE!</v>
      </c>
      <c r="AL117" s="344"/>
      <c r="AM117" s="344"/>
      <c r="AN117" s="344"/>
      <c r="AO117" s="344"/>
      <c r="AP117" s="324" t="s">
        <v>367</v>
      </c>
      <c r="AQ117" s="325" t="s">
        <v>367</v>
      </c>
      <c r="AR117" s="325" t="s">
        <v>367</v>
      </c>
      <c r="AS117" s="325"/>
      <c r="AT117" s="332"/>
      <c r="AU117" s="333"/>
      <c r="AV117" s="334"/>
      <c r="AW117" s="113"/>
      <c r="AX117" s="113"/>
      <c r="AY117" s="113"/>
      <c r="AZ117" s="113"/>
      <c r="BA117" s="113"/>
    </row>
    <row r="118" spans="1:74" ht="14.85" customHeight="1" thickTop="1" thickBot="1">
      <c r="A118" s="109"/>
      <c r="B118" s="139"/>
      <c r="C118" s="139"/>
      <c r="D118" s="139"/>
      <c r="E118" s="139"/>
      <c r="F118" s="139"/>
      <c r="G118" s="121"/>
      <c r="H118" s="121"/>
      <c r="I118" s="121"/>
      <c r="J118" s="121"/>
      <c r="K118" s="121"/>
      <c r="L118" s="121"/>
      <c r="M118" s="121"/>
      <c r="N118" s="121"/>
      <c r="O118" s="121"/>
      <c r="P118" s="121"/>
      <c r="Q118" s="121"/>
      <c r="R118" s="121"/>
      <c r="S118" s="121"/>
      <c r="T118" s="121"/>
      <c r="U118" s="121"/>
      <c r="V118" s="113"/>
      <c r="W118" s="113"/>
      <c r="X118" s="113"/>
      <c r="Y118" s="113"/>
      <c r="Z118" s="123"/>
      <c r="AA118" s="124"/>
      <c r="AB118" s="124"/>
      <c r="AC118" s="374" t="s">
        <v>371</v>
      </c>
      <c r="AD118" s="375"/>
      <c r="AE118" s="369">
        <f>IF($J$5&lt;0,0.04,0.03)</f>
        <v>0.03</v>
      </c>
      <c r="AF118" s="369"/>
      <c r="AG118" s="370"/>
      <c r="AH118" s="371" t="s">
        <v>372</v>
      </c>
      <c r="AI118" s="369"/>
      <c r="AJ118" s="369"/>
      <c r="AK118" s="376" t="e">
        <f>IF(AK117&lt;AE118,AE118,ROUNDUP(AK117,3))</f>
        <v>#VALUE!</v>
      </c>
      <c r="AL118" s="376"/>
      <c r="AM118" s="376"/>
      <c r="AN118" s="376"/>
      <c r="AO118" s="377"/>
      <c r="AP118" s="124"/>
      <c r="AQ118" s="124"/>
      <c r="AR118" s="124"/>
      <c r="AS118" s="113"/>
      <c r="AT118" s="113"/>
      <c r="AU118" s="113"/>
      <c r="AV118" s="113"/>
      <c r="AW118" s="113"/>
      <c r="AX118" s="113"/>
      <c r="AY118" s="113"/>
      <c r="AZ118" s="113"/>
      <c r="BA118" s="113"/>
    </row>
    <row r="119" spans="1:74" ht="14.85" customHeight="1" thickTop="1">
      <c r="A119" s="109"/>
      <c r="B119" s="139"/>
      <c r="C119" s="139"/>
      <c r="D119" s="139"/>
      <c r="E119" s="139"/>
      <c r="F119" s="139"/>
      <c r="G119" s="121"/>
      <c r="H119" s="121"/>
      <c r="I119" s="121"/>
      <c r="J119" s="121"/>
      <c r="K119" s="121"/>
      <c r="L119" s="121"/>
      <c r="M119" s="121"/>
      <c r="N119" s="121"/>
      <c r="O119" s="121"/>
      <c r="P119" s="121"/>
      <c r="Q119" s="121"/>
      <c r="R119" s="121"/>
      <c r="S119" s="121"/>
      <c r="T119" s="121"/>
      <c r="U119" s="121"/>
      <c r="V119" s="113"/>
      <c r="W119" s="113"/>
      <c r="X119" s="113"/>
      <c r="Y119" s="113"/>
      <c r="Z119" s="123"/>
      <c r="AA119" s="124"/>
      <c r="AB119" s="124"/>
      <c r="AC119" s="124"/>
      <c r="AD119" s="124"/>
      <c r="AE119" s="124"/>
      <c r="AF119" s="125"/>
      <c r="AG119" s="125"/>
      <c r="AH119" s="125"/>
      <c r="AI119" s="125"/>
      <c r="AJ119" s="125"/>
      <c r="AK119" s="113"/>
      <c r="AL119" s="113"/>
      <c r="AM119" s="113"/>
      <c r="AN119" s="113"/>
      <c r="AO119" s="113"/>
      <c r="AP119" s="124"/>
      <c r="AQ119" s="124"/>
      <c r="AR119" s="124"/>
      <c r="AS119" s="113"/>
      <c r="AT119" s="113"/>
      <c r="AU119" s="113"/>
      <c r="AV119" s="113"/>
      <c r="AW119" s="113"/>
      <c r="AX119" s="113"/>
      <c r="AY119" s="113"/>
      <c r="AZ119" s="113"/>
      <c r="BA119" s="113"/>
    </row>
    <row r="120" spans="1:74" ht="14.85" customHeight="1">
      <c r="A120" s="101"/>
      <c r="B120" s="135"/>
      <c r="C120" s="135"/>
      <c r="D120" s="135"/>
      <c r="E120" s="135"/>
      <c r="F120" s="135"/>
      <c r="G120" s="135"/>
      <c r="H120" s="135"/>
      <c r="I120" s="136"/>
      <c r="J120" s="136"/>
      <c r="K120" s="136"/>
      <c r="L120" s="136"/>
      <c r="M120" s="136"/>
      <c r="N120" s="136"/>
      <c r="O120" s="136"/>
      <c r="P120" s="136"/>
      <c r="Q120" s="136"/>
      <c r="R120" s="136"/>
      <c r="S120" s="136"/>
      <c r="T120" s="136"/>
      <c r="U120" s="136"/>
      <c r="V120" s="136"/>
      <c r="W120" s="136"/>
      <c r="X120" s="136"/>
      <c r="Y120" s="136"/>
      <c r="Z120" s="136"/>
      <c r="AA120" s="136"/>
      <c r="AB120" s="136"/>
      <c r="AC120" s="136"/>
      <c r="AD120" s="136"/>
      <c r="AE120" s="136"/>
      <c r="AF120" s="136"/>
      <c r="AG120" s="136"/>
      <c r="AH120" s="136"/>
      <c r="AI120" s="136"/>
      <c r="AJ120" s="136"/>
      <c r="AK120" s="136"/>
      <c r="AL120" s="136"/>
      <c r="AM120" s="136"/>
      <c r="AS120" s="265" t="s">
        <v>5</v>
      </c>
      <c r="AT120" s="265"/>
      <c r="AU120" s="265"/>
      <c r="AV120" s="275">
        <f>AV81+1</f>
        <v>5</v>
      </c>
      <c r="AW120" s="275"/>
      <c r="AX120" s="94" t="s">
        <v>6</v>
      </c>
      <c r="AY120" s="275">
        <f>$AY$1</f>
        <v>1</v>
      </c>
      <c r="AZ120" s="275"/>
      <c r="BA120" s="101"/>
      <c r="BU120" s="112"/>
      <c r="BV120" s="112"/>
    </row>
    <row r="121" spans="1:74" ht="14.85" customHeight="1">
      <c r="A121" s="101"/>
      <c r="B121" s="135"/>
      <c r="C121" s="135"/>
      <c r="D121" s="135"/>
      <c r="E121" s="135"/>
      <c r="F121" s="135"/>
      <c r="G121" s="135"/>
      <c r="H121" s="135"/>
      <c r="I121" s="136"/>
      <c r="J121" s="136"/>
      <c r="K121" s="136"/>
      <c r="L121" s="136"/>
      <c r="M121" s="136"/>
      <c r="N121" s="136"/>
      <c r="O121" s="136"/>
      <c r="P121" s="136"/>
      <c r="Q121" s="136"/>
      <c r="R121" s="136"/>
      <c r="S121" s="136"/>
      <c r="T121" s="136"/>
      <c r="U121" s="136"/>
      <c r="V121" s="136"/>
      <c r="W121" s="136"/>
      <c r="X121" s="136"/>
      <c r="Y121" s="136"/>
      <c r="Z121" s="136"/>
      <c r="AA121" s="136"/>
      <c r="AB121" s="136"/>
      <c r="AC121" s="136"/>
      <c r="AD121" s="136"/>
      <c r="AE121" s="136"/>
      <c r="AF121" s="136"/>
      <c r="AG121" s="136"/>
      <c r="AH121" s="136"/>
      <c r="AI121" s="136"/>
      <c r="AJ121" s="136"/>
      <c r="AK121" s="136"/>
      <c r="AL121" s="136"/>
      <c r="AM121" s="136"/>
      <c r="AQ121" s="98"/>
      <c r="BA121" s="101"/>
      <c r="BU121" s="112"/>
      <c r="BV121" s="112"/>
    </row>
    <row r="122" spans="1:74" ht="14.25" customHeight="1" thickBot="1">
      <c r="A122" s="101"/>
      <c r="B122" s="91" t="s">
        <v>346</v>
      </c>
      <c r="C122" s="101"/>
      <c r="E122" s="101"/>
      <c r="H122" s="103"/>
      <c r="I122" s="137"/>
      <c r="J122" s="138"/>
      <c r="K122" s="138"/>
      <c r="L122" s="138"/>
      <c r="M122" s="137"/>
      <c r="N122" s="138"/>
      <c r="O122" s="138"/>
      <c r="P122" s="138"/>
      <c r="Q122" s="137"/>
      <c r="R122" s="138"/>
      <c r="S122" s="138"/>
      <c r="T122" s="138"/>
      <c r="U122" s="137"/>
      <c r="V122" s="138"/>
      <c r="W122" s="138"/>
      <c r="X122" s="138"/>
      <c r="Y122" s="137"/>
      <c r="Z122" s="138"/>
      <c r="AA122" s="138"/>
      <c r="AB122" s="138"/>
      <c r="AC122" s="137"/>
      <c r="AD122" s="138"/>
      <c r="AE122" s="138"/>
      <c r="AF122" s="138"/>
      <c r="AG122" s="137"/>
      <c r="AH122" s="138"/>
      <c r="AI122" s="138"/>
      <c r="AJ122" s="138"/>
      <c r="AK122" s="137"/>
      <c r="AL122" s="138"/>
      <c r="AM122" s="138"/>
      <c r="AN122" s="138"/>
      <c r="AO122" s="272" t="s">
        <v>7</v>
      </c>
      <c r="AP122" s="272"/>
      <c r="AQ122" s="272"/>
      <c r="AR122" s="272"/>
      <c r="AS122" s="272"/>
      <c r="AT122" s="272"/>
      <c r="AU122" s="272"/>
      <c r="AV122" s="179" t="str">
        <f>$AV$83</f>
        <v xml:space="preserve"> /69 </v>
      </c>
      <c r="AW122" s="179"/>
      <c r="AX122" s="179"/>
      <c r="AY122" s="179"/>
      <c r="AZ122" s="179"/>
      <c r="BA122" s="101"/>
      <c r="BU122" s="112"/>
      <c r="BV122" s="112"/>
    </row>
    <row r="123" spans="1:74" ht="14.85" customHeight="1" thickTop="1" thickBot="1">
      <c r="B123" s="355" t="s">
        <v>347</v>
      </c>
      <c r="C123" s="356"/>
      <c r="D123" s="356"/>
      <c r="E123" s="356"/>
      <c r="F123" s="356"/>
      <c r="G123" s="312" t="s">
        <v>348</v>
      </c>
      <c r="H123" s="312"/>
      <c r="I123" s="312"/>
      <c r="J123" s="312"/>
      <c r="K123" s="312"/>
      <c r="L123" s="312"/>
      <c r="M123" s="312"/>
      <c r="N123" s="312"/>
      <c r="O123" s="312"/>
      <c r="P123" s="312"/>
      <c r="Q123" s="312"/>
      <c r="R123" s="312"/>
      <c r="S123" s="312"/>
      <c r="T123" s="312"/>
      <c r="U123" s="312"/>
      <c r="V123" s="187" t="s">
        <v>417</v>
      </c>
      <c r="W123" s="187"/>
      <c r="X123" s="187"/>
      <c r="Y123" s="187"/>
      <c r="Z123" s="187"/>
      <c r="AA123" s="186" t="s">
        <v>418</v>
      </c>
      <c r="AB123" s="187"/>
      <c r="AC123" s="187"/>
      <c r="AD123" s="187"/>
      <c r="AE123" s="187"/>
      <c r="AF123" s="187" t="s">
        <v>349</v>
      </c>
      <c r="AG123" s="187"/>
      <c r="AH123" s="187"/>
      <c r="AI123" s="187" t="s">
        <v>350</v>
      </c>
      <c r="AJ123" s="187"/>
      <c r="AK123" s="186" t="s">
        <v>419</v>
      </c>
      <c r="AL123" s="187"/>
      <c r="AM123" s="187"/>
      <c r="AN123" s="187"/>
      <c r="AO123" s="187"/>
      <c r="AP123" s="361" t="s">
        <v>420</v>
      </c>
      <c r="AQ123" s="362"/>
      <c r="AR123" s="362"/>
      <c r="AS123" s="362"/>
      <c r="AT123" s="326" t="str">
        <f>IF(Y10="","","5")</f>
        <v/>
      </c>
      <c r="AU123" s="327"/>
      <c r="AV123" s="328"/>
      <c r="AW123" s="113"/>
      <c r="AX123" s="113"/>
      <c r="AY123" s="113"/>
      <c r="AZ123" s="113"/>
      <c r="BA123" s="113"/>
    </row>
    <row r="124" spans="1:74" ht="14.85" customHeight="1" thickTop="1" thickBot="1">
      <c r="A124" s="122"/>
      <c r="B124" s="355"/>
      <c r="C124" s="356"/>
      <c r="D124" s="356"/>
      <c r="E124" s="356"/>
      <c r="F124" s="356"/>
      <c r="G124" s="312"/>
      <c r="H124" s="312"/>
      <c r="I124" s="312"/>
      <c r="J124" s="312"/>
      <c r="K124" s="312"/>
      <c r="L124" s="312"/>
      <c r="M124" s="312"/>
      <c r="N124" s="312"/>
      <c r="O124" s="312"/>
      <c r="P124" s="312"/>
      <c r="Q124" s="312"/>
      <c r="R124" s="312"/>
      <c r="S124" s="312"/>
      <c r="T124" s="312"/>
      <c r="U124" s="312"/>
      <c r="V124" s="187"/>
      <c r="W124" s="187"/>
      <c r="X124" s="187"/>
      <c r="Y124" s="187"/>
      <c r="Z124" s="187"/>
      <c r="AA124" s="187"/>
      <c r="AB124" s="187"/>
      <c r="AC124" s="187"/>
      <c r="AD124" s="187"/>
      <c r="AE124" s="187"/>
      <c r="AF124" s="187"/>
      <c r="AG124" s="187"/>
      <c r="AH124" s="187"/>
      <c r="AI124" s="187"/>
      <c r="AJ124" s="187"/>
      <c r="AK124" s="187"/>
      <c r="AL124" s="187"/>
      <c r="AM124" s="187"/>
      <c r="AN124" s="187"/>
      <c r="AO124" s="187"/>
      <c r="AP124" s="363"/>
      <c r="AQ124" s="364"/>
      <c r="AR124" s="364"/>
      <c r="AS124" s="364"/>
      <c r="AT124" s="329"/>
      <c r="AU124" s="330"/>
      <c r="AV124" s="331"/>
      <c r="AW124" s="113"/>
      <c r="AX124" s="113"/>
      <c r="AY124" s="113"/>
      <c r="AZ124" s="113"/>
      <c r="BA124" s="113"/>
    </row>
    <row r="125" spans="1:74" ht="14.85" customHeight="1" thickTop="1">
      <c r="A125" s="109"/>
      <c r="B125" s="188" t="s">
        <v>421</v>
      </c>
      <c r="C125" s="189"/>
      <c r="D125" s="189"/>
      <c r="E125" s="189"/>
      <c r="F125" s="189"/>
      <c r="G125" s="321" t="s">
        <v>351</v>
      </c>
      <c r="H125" s="321"/>
      <c r="I125" s="321"/>
      <c r="J125" s="321"/>
      <c r="K125" s="321"/>
      <c r="L125" s="321"/>
      <c r="M125" s="321"/>
      <c r="N125" s="321"/>
      <c r="O125" s="321"/>
      <c r="P125" s="321"/>
      <c r="Q125" s="321"/>
      <c r="R125" s="321"/>
      <c r="S125" s="321"/>
      <c r="T125" s="321"/>
      <c r="U125" s="321"/>
      <c r="V125" s="367">
        <f>$V$47</f>
        <v>3.0000000000000001E-3</v>
      </c>
      <c r="W125" s="368"/>
      <c r="X125" s="368"/>
      <c r="Y125" s="368"/>
      <c r="Z125" s="127" t="s">
        <v>434</v>
      </c>
      <c r="AA125" s="192" t="s">
        <v>37</v>
      </c>
      <c r="AB125" s="192"/>
      <c r="AC125" s="192"/>
      <c r="AD125" s="192"/>
      <c r="AE125" s="192"/>
      <c r="AF125" s="289">
        <v>2</v>
      </c>
      <c r="AG125" s="289"/>
      <c r="AH125" s="289"/>
      <c r="AI125" s="289">
        <v>1</v>
      </c>
      <c r="AJ125" s="289"/>
      <c r="AK125" s="290">
        <f>(V125/AF125)*AI125</f>
        <v>1.5E-3</v>
      </c>
      <c r="AL125" s="290"/>
      <c r="AM125" s="290"/>
      <c r="AN125" s="290"/>
      <c r="AO125" s="291"/>
      <c r="AP125" s="365" t="str">
        <f t="shared" ref="AP125:AP134" si="81">IF($B$8="","","∞")</f>
        <v>∞</v>
      </c>
      <c r="AQ125" s="366"/>
      <c r="AR125" s="366"/>
      <c r="AS125" s="366"/>
      <c r="AT125" s="329"/>
      <c r="AU125" s="330"/>
      <c r="AV125" s="331"/>
      <c r="AW125" s="113"/>
      <c r="AX125" s="113"/>
      <c r="AY125" s="113"/>
      <c r="AZ125" s="113"/>
      <c r="BA125" s="113"/>
    </row>
    <row r="126" spans="1:74" ht="14.85" customHeight="1">
      <c r="A126" s="109"/>
      <c r="B126" s="190" t="s">
        <v>422</v>
      </c>
      <c r="C126" s="191"/>
      <c r="D126" s="191"/>
      <c r="E126" s="191"/>
      <c r="F126" s="191"/>
      <c r="G126" s="194" t="s">
        <v>352</v>
      </c>
      <c r="H126" s="194"/>
      <c r="I126" s="194"/>
      <c r="J126" s="194"/>
      <c r="K126" s="194"/>
      <c r="L126" s="194"/>
      <c r="M126" s="194"/>
      <c r="N126" s="194"/>
      <c r="O126" s="194"/>
      <c r="P126" s="194"/>
      <c r="Q126" s="194"/>
      <c r="R126" s="194"/>
      <c r="S126" s="194"/>
      <c r="T126" s="194"/>
      <c r="U126" s="194"/>
      <c r="V126" s="317">
        <f>$V$48</f>
        <v>1.6000000000000001E-3</v>
      </c>
      <c r="W126" s="318"/>
      <c r="X126" s="318"/>
      <c r="Y126" s="318"/>
      <c r="Z126" s="128" t="s">
        <v>353</v>
      </c>
      <c r="AA126" s="193" t="s">
        <v>354</v>
      </c>
      <c r="AB126" s="193"/>
      <c r="AC126" s="193"/>
      <c r="AD126" s="193"/>
      <c r="AE126" s="193"/>
      <c r="AF126" s="195" t="s">
        <v>355</v>
      </c>
      <c r="AG126" s="195"/>
      <c r="AH126" s="195"/>
      <c r="AI126" s="195">
        <v>10</v>
      </c>
      <c r="AJ126" s="195"/>
      <c r="AK126" s="196">
        <f>(V126/SQRT(3))*AI126</f>
        <v>9.2376043070340128E-3</v>
      </c>
      <c r="AL126" s="196"/>
      <c r="AM126" s="196"/>
      <c r="AN126" s="196"/>
      <c r="AO126" s="197"/>
      <c r="AP126" s="304" t="str">
        <f t="shared" si="81"/>
        <v>∞</v>
      </c>
      <c r="AQ126" s="305"/>
      <c r="AR126" s="305"/>
      <c r="AS126" s="305"/>
      <c r="AT126" s="329"/>
      <c r="AU126" s="330"/>
      <c r="AV126" s="331"/>
      <c r="AW126" s="113"/>
      <c r="AX126" s="113"/>
      <c r="AY126" s="113"/>
      <c r="AZ126" s="113"/>
      <c r="BA126" s="113"/>
    </row>
    <row r="127" spans="1:74" ht="14.85" customHeight="1">
      <c r="A127" s="109"/>
      <c r="B127" s="190" t="s">
        <v>423</v>
      </c>
      <c r="C127" s="191"/>
      <c r="D127" s="191"/>
      <c r="E127" s="191"/>
      <c r="F127" s="191"/>
      <c r="G127" s="194" t="s">
        <v>356</v>
      </c>
      <c r="H127" s="194"/>
      <c r="I127" s="194"/>
      <c r="J127" s="194"/>
      <c r="K127" s="194"/>
      <c r="L127" s="194"/>
      <c r="M127" s="194"/>
      <c r="N127" s="194"/>
      <c r="O127" s="194"/>
      <c r="P127" s="194"/>
      <c r="Q127" s="194"/>
      <c r="R127" s="194"/>
      <c r="S127" s="194"/>
      <c r="T127" s="194"/>
      <c r="U127" s="194"/>
      <c r="V127" s="317">
        <f>$V$49</f>
        <v>1E-3</v>
      </c>
      <c r="W127" s="318"/>
      <c r="X127" s="318"/>
      <c r="Y127" s="318"/>
      <c r="Z127" s="128" t="s">
        <v>353</v>
      </c>
      <c r="AA127" s="193" t="s">
        <v>354</v>
      </c>
      <c r="AB127" s="193"/>
      <c r="AC127" s="193"/>
      <c r="AD127" s="193"/>
      <c r="AE127" s="193"/>
      <c r="AF127" s="195">
        <v>2</v>
      </c>
      <c r="AG127" s="195"/>
      <c r="AH127" s="195"/>
      <c r="AI127" s="195">
        <v>10</v>
      </c>
      <c r="AJ127" s="195"/>
      <c r="AK127" s="196">
        <f>(V127/AF127)*AI127</f>
        <v>5.0000000000000001E-3</v>
      </c>
      <c r="AL127" s="196"/>
      <c r="AM127" s="196"/>
      <c r="AN127" s="196"/>
      <c r="AO127" s="197"/>
      <c r="AP127" s="304" t="str">
        <f t="shared" si="81"/>
        <v>∞</v>
      </c>
      <c r="AQ127" s="305"/>
      <c r="AR127" s="305"/>
      <c r="AS127" s="305"/>
      <c r="AT127" s="329"/>
      <c r="AU127" s="330"/>
      <c r="AV127" s="331"/>
      <c r="AW127" s="113"/>
      <c r="AX127" s="113"/>
      <c r="AY127" s="113"/>
      <c r="AZ127" s="113"/>
      <c r="BA127" s="113"/>
    </row>
    <row r="128" spans="1:74" ht="14.85" customHeight="1">
      <c r="A128" s="109"/>
      <c r="B128" s="190" t="s">
        <v>424</v>
      </c>
      <c r="C128" s="191"/>
      <c r="D128" s="191"/>
      <c r="E128" s="191"/>
      <c r="F128" s="191"/>
      <c r="G128" s="194" t="s">
        <v>357</v>
      </c>
      <c r="H128" s="194"/>
      <c r="I128" s="194"/>
      <c r="J128" s="194"/>
      <c r="K128" s="194"/>
      <c r="L128" s="194"/>
      <c r="M128" s="194"/>
      <c r="N128" s="194"/>
      <c r="O128" s="194"/>
      <c r="P128" s="194"/>
      <c r="Q128" s="194"/>
      <c r="R128" s="194"/>
      <c r="S128" s="194"/>
      <c r="T128" s="194"/>
      <c r="U128" s="194"/>
      <c r="V128" s="317">
        <f>$V$50</f>
        <v>1E-3</v>
      </c>
      <c r="W128" s="318"/>
      <c r="X128" s="318"/>
      <c r="Y128" s="318"/>
      <c r="Z128" s="128" t="s">
        <v>353</v>
      </c>
      <c r="AA128" s="193" t="s">
        <v>354</v>
      </c>
      <c r="AB128" s="193"/>
      <c r="AC128" s="193"/>
      <c r="AD128" s="193"/>
      <c r="AE128" s="193"/>
      <c r="AF128" s="195" t="s">
        <v>355</v>
      </c>
      <c r="AG128" s="195"/>
      <c r="AH128" s="195"/>
      <c r="AI128" s="195">
        <v>10</v>
      </c>
      <c r="AJ128" s="195"/>
      <c r="AK128" s="196">
        <f>(V128/SQRT(3))*AI128</f>
        <v>5.773502691896258E-3</v>
      </c>
      <c r="AL128" s="196"/>
      <c r="AM128" s="196"/>
      <c r="AN128" s="196"/>
      <c r="AO128" s="197"/>
      <c r="AP128" s="304" t="str">
        <f t="shared" si="81"/>
        <v>∞</v>
      </c>
      <c r="AQ128" s="305"/>
      <c r="AR128" s="305"/>
      <c r="AS128" s="305"/>
      <c r="AT128" s="329"/>
      <c r="AU128" s="330"/>
      <c r="AV128" s="331"/>
      <c r="AW128" s="113"/>
      <c r="AX128" s="113"/>
      <c r="AY128" s="113"/>
      <c r="AZ128" s="113"/>
      <c r="BA128" s="113"/>
    </row>
    <row r="129" spans="1:53" ht="14.85" customHeight="1">
      <c r="A129" s="109"/>
      <c r="B129" s="190" t="s">
        <v>425</v>
      </c>
      <c r="C129" s="191"/>
      <c r="D129" s="191"/>
      <c r="E129" s="191"/>
      <c r="F129" s="191"/>
      <c r="G129" s="194" t="s">
        <v>358</v>
      </c>
      <c r="H129" s="194"/>
      <c r="I129" s="194"/>
      <c r="J129" s="194"/>
      <c r="K129" s="194"/>
      <c r="L129" s="194"/>
      <c r="M129" s="194"/>
      <c r="N129" s="194"/>
      <c r="O129" s="194"/>
      <c r="P129" s="194"/>
      <c r="Q129" s="194"/>
      <c r="R129" s="194"/>
      <c r="S129" s="194"/>
      <c r="T129" s="194"/>
      <c r="U129" s="194"/>
      <c r="V129" s="317">
        <f>$V$51</f>
        <v>5.0000000000000002E-5</v>
      </c>
      <c r="W129" s="318"/>
      <c r="X129" s="318"/>
      <c r="Y129" s="318"/>
      <c r="Z129" s="128" t="s">
        <v>434</v>
      </c>
      <c r="AA129" s="193" t="s">
        <v>354</v>
      </c>
      <c r="AB129" s="193"/>
      <c r="AC129" s="193"/>
      <c r="AD129" s="193"/>
      <c r="AE129" s="193"/>
      <c r="AF129" s="195" t="s">
        <v>355</v>
      </c>
      <c r="AG129" s="195"/>
      <c r="AH129" s="195"/>
      <c r="AI129" s="195">
        <v>1</v>
      </c>
      <c r="AJ129" s="195"/>
      <c r="AK129" s="196">
        <f>(V129/SQRT(3))*AI129</f>
        <v>2.8867513459481293E-5</v>
      </c>
      <c r="AL129" s="196"/>
      <c r="AM129" s="196"/>
      <c r="AN129" s="196"/>
      <c r="AO129" s="197"/>
      <c r="AP129" s="304" t="str">
        <f t="shared" si="81"/>
        <v>∞</v>
      </c>
      <c r="AQ129" s="305"/>
      <c r="AR129" s="305"/>
      <c r="AS129" s="305"/>
      <c r="AT129" s="329"/>
      <c r="AU129" s="330"/>
      <c r="AV129" s="331"/>
      <c r="AW129" s="113"/>
      <c r="AX129" s="113"/>
      <c r="AY129" s="113"/>
      <c r="AZ129" s="113"/>
      <c r="BA129" s="113"/>
    </row>
    <row r="130" spans="1:53" ht="14.85" customHeight="1">
      <c r="A130" s="109"/>
      <c r="B130" s="190" t="s">
        <v>426</v>
      </c>
      <c r="C130" s="191"/>
      <c r="D130" s="191"/>
      <c r="E130" s="191"/>
      <c r="F130" s="191"/>
      <c r="G130" s="194" t="s">
        <v>359</v>
      </c>
      <c r="H130" s="194"/>
      <c r="I130" s="194"/>
      <c r="J130" s="194"/>
      <c r="K130" s="194"/>
      <c r="L130" s="194"/>
      <c r="M130" s="194"/>
      <c r="N130" s="194"/>
      <c r="O130" s="194"/>
      <c r="P130" s="194"/>
      <c r="Q130" s="194"/>
      <c r="R130" s="194"/>
      <c r="S130" s="194"/>
      <c r="T130" s="194"/>
      <c r="U130" s="194"/>
      <c r="V130" s="317">
        <f>$V$52</f>
        <v>0.01</v>
      </c>
      <c r="W130" s="318"/>
      <c r="X130" s="318"/>
      <c r="Y130" s="318"/>
      <c r="Z130" s="128" t="s">
        <v>434</v>
      </c>
      <c r="AA130" s="193" t="s">
        <v>354</v>
      </c>
      <c r="AB130" s="193"/>
      <c r="AC130" s="193"/>
      <c r="AD130" s="193"/>
      <c r="AE130" s="193"/>
      <c r="AF130" s="195" t="s">
        <v>355</v>
      </c>
      <c r="AG130" s="195"/>
      <c r="AH130" s="195"/>
      <c r="AI130" s="195">
        <v>1</v>
      </c>
      <c r="AJ130" s="195"/>
      <c r="AK130" s="196">
        <f>(V130/SQRT(3))*AI130</f>
        <v>5.773502691896258E-3</v>
      </c>
      <c r="AL130" s="196"/>
      <c r="AM130" s="196"/>
      <c r="AN130" s="196"/>
      <c r="AO130" s="197"/>
      <c r="AP130" s="304" t="str">
        <f t="shared" si="81"/>
        <v>∞</v>
      </c>
      <c r="AQ130" s="305"/>
      <c r="AR130" s="305"/>
      <c r="AS130" s="305"/>
      <c r="AT130" s="329"/>
      <c r="AU130" s="330"/>
      <c r="AV130" s="331"/>
      <c r="AW130" s="113"/>
      <c r="AX130" s="113"/>
      <c r="AY130" s="113"/>
      <c r="AZ130" s="113"/>
      <c r="BA130" s="113"/>
    </row>
    <row r="131" spans="1:53" ht="14.85" customHeight="1">
      <c r="A131" s="109"/>
      <c r="B131" s="190" t="s">
        <v>427</v>
      </c>
      <c r="C131" s="191"/>
      <c r="D131" s="191"/>
      <c r="E131" s="191"/>
      <c r="F131" s="191"/>
      <c r="G131" s="194" t="s">
        <v>360</v>
      </c>
      <c r="H131" s="194"/>
      <c r="I131" s="194"/>
      <c r="J131" s="194"/>
      <c r="K131" s="194"/>
      <c r="L131" s="194"/>
      <c r="M131" s="194"/>
      <c r="N131" s="194"/>
      <c r="O131" s="194"/>
      <c r="P131" s="194"/>
      <c r="Q131" s="194"/>
      <c r="R131" s="194"/>
      <c r="S131" s="194"/>
      <c r="T131" s="194"/>
      <c r="U131" s="194"/>
      <c r="V131" s="317">
        <f>$V$53</f>
        <v>0.01</v>
      </c>
      <c r="W131" s="318"/>
      <c r="X131" s="318"/>
      <c r="Y131" s="318"/>
      <c r="Z131" s="128" t="s">
        <v>434</v>
      </c>
      <c r="AA131" s="193" t="s">
        <v>354</v>
      </c>
      <c r="AB131" s="193"/>
      <c r="AC131" s="193"/>
      <c r="AD131" s="193"/>
      <c r="AE131" s="193"/>
      <c r="AF131" s="195" t="s">
        <v>355</v>
      </c>
      <c r="AG131" s="195"/>
      <c r="AH131" s="195"/>
      <c r="AI131" s="195">
        <v>1</v>
      </c>
      <c r="AJ131" s="195"/>
      <c r="AK131" s="196">
        <f t="shared" ref="AK131:AK133" si="82">(V131/SQRT(3))*AI131</f>
        <v>5.773502691896258E-3</v>
      </c>
      <c r="AL131" s="196"/>
      <c r="AM131" s="196"/>
      <c r="AN131" s="196"/>
      <c r="AO131" s="197"/>
      <c r="AP131" s="304" t="str">
        <f t="shared" si="81"/>
        <v>∞</v>
      </c>
      <c r="AQ131" s="305"/>
      <c r="AR131" s="305"/>
      <c r="AS131" s="305"/>
      <c r="AT131" s="329"/>
      <c r="AU131" s="330"/>
      <c r="AV131" s="331"/>
      <c r="AW131" s="113"/>
      <c r="AX131" s="113"/>
      <c r="AY131" s="113"/>
      <c r="AZ131" s="113"/>
      <c r="BA131" s="113"/>
    </row>
    <row r="132" spans="1:53" ht="14.85" customHeight="1">
      <c r="A132" s="109"/>
      <c r="B132" s="190" t="s">
        <v>428</v>
      </c>
      <c r="C132" s="191"/>
      <c r="D132" s="191"/>
      <c r="E132" s="191"/>
      <c r="F132" s="191"/>
      <c r="G132" s="194" t="s">
        <v>361</v>
      </c>
      <c r="H132" s="194"/>
      <c r="I132" s="194"/>
      <c r="J132" s="194"/>
      <c r="K132" s="194"/>
      <c r="L132" s="194"/>
      <c r="M132" s="194"/>
      <c r="N132" s="194"/>
      <c r="O132" s="194"/>
      <c r="P132" s="194"/>
      <c r="Q132" s="194"/>
      <c r="R132" s="194"/>
      <c r="S132" s="194"/>
      <c r="T132" s="194"/>
      <c r="U132" s="194"/>
      <c r="V132" s="317">
        <f>$AB$3/2</f>
        <v>0</v>
      </c>
      <c r="W132" s="318"/>
      <c r="X132" s="318"/>
      <c r="Y132" s="318"/>
      <c r="Z132" s="128" t="s">
        <v>434</v>
      </c>
      <c r="AA132" s="193" t="s">
        <v>354</v>
      </c>
      <c r="AB132" s="193"/>
      <c r="AC132" s="193"/>
      <c r="AD132" s="193"/>
      <c r="AE132" s="193"/>
      <c r="AF132" s="195" t="s">
        <v>355</v>
      </c>
      <c r="AG132" s="195"/>
      <c r="AH132" s="195"/>
      <c r="AI132" s="195">
        <v>1</v>
      </c>
      <c r="AJ132" s="195"/>
      <c r="AK132" s="196">
        <f t="shared" si="82"/>
        <v>0</v>
      </c>
      <c r="AL132" s="196"/>
      <c r="AM132" s="196"/>
      <c r="AN132" s="196"/>
      <c r="AO132" s="197"/>
      <c r="AP132" s="304" t="str">
        <f t="shared" si="81"/>
        <v>∞</v>
      </c>
      <c r="AQ132" s="305"/>
      <c r="AR132" s="305"/>
      <c r="AS132" s="305"/>
      <c r="AT132" s="329"/>
      <c r="AU132" s="330"/>
      <c r="AV132" s="331"/>
      <c r="AW132" s="113"/>
      <c r="AX132" s="113"/>
      <c r="AY132" s="113"/>
      <c r="AZ132" s="113"/>
      <c r="BA132" s="113"/>
    </row>
    <row r="133" spans="1:53" ht="14.85" customHeight="1">
      <c r="A133" s="109"/>
      <c r="B133" s="190" t="s">
        <v>429</v>
      </c>
      <c r="C133" s="191"/>
      <c r="D133" s="191"/>
      <c r="E133" s="191"/>
      <c r="F133" s="191"/>
      <c r="G133" s="194" t="s">
        <v>362</v>
      </c>
      <c r="H133" s="194"/>
      <c r="I133" s="194"/>
      <c r="J133" s="194"/>
      <c r="K133" s="194"/>
      <c r="L133" s="194"/>
      <c r="M133" s="194"/>
      <c r="N133" s="194"/>
      <c r="O133" s="194"/>
      <c r="P133" s="194"/>
      <c r="Q133" s="194"/>
      <c r="R133" s="194"/>
      <c r="S133" s="194"/>
      <c r="T133" s="194"/>
      <c r="U133" s="194"/>
      <c r="V133" s="317" t="str">
        <f>$Y$31</f>
        <v/>
      </c>
      <c r="W133" s="318"/>
      <c r="X133" s="318"/>
      <c r="Y133" s="318"/>
      <c r="Z133" s="128" t="s">
        <v>434</v>
      </c>
      <c r="AA133" s="193" t="s">
        <v>354</v>
      </c>
      <c r="AB133" s="193"/>
      <c r="AC133" s="193"/>
      <c r="AD133" s="193"/>
      <c r="AE133" s="193"/>
      <c r="AF133" s="195" t="s">
        <v>355</v>
      </c>
      <c r="AG133" s="195"/>
      <c r="AH133" s="195"/>
      <c r="AI133" s="195">
        <v>1</v>
      </c>
      <c r="AJ133" s="195"/>
      <c r="AK133" s="196" t="e">
        <f t="shared" si="82"/>
        <v>#VALUE!</v>
      </c>
      <c r="AL133" s="196"/>
      <c r="AM133" s="196"/>
      <c r="AN133" s="196"/>
      <c r="AO133" s="197"/>
      <c r="AP133" s="304" t="str">
        <f t="shared" si="81"/>
        <v>∞</v>
      </c>
      <c r="AQ133" s="305"/>
      <c r="AR133" s="305"/>
      <c r="AS133" s="305"/>
      <c r="AT133" s="329"/>
      <c r="AU133" s="330"/>
      <c r="AV133" s="331"/>
      <c r="AW133" s="113"/>
      <c r="AX133" s="113"/>
      <c r="AY133" s="113"/>
      <c r="AZ133" s="113"/>
      <c r="BA133" s="113"/>
    </row>
    <row r="134" spans="1:53" ht="14.85" customHeight="1">
      <c r="A134" s="109"/>
      <c r="B134" s="190" t="s">
        <v>430</v>
      </c>
      <c r="C134" s="191"/>
      <c r="D134" s="191"/>
      <c r="E134" s="191"/>
      <c r="F134" s="191"/>
      <c r="G134" s="194" t="s">
        <v>363</v>
      </c>
      <c r="H134" s="194"/>
      <c r="I134" s="194"/>
      <c r="J134" s="194"/>
      <c r="K134" s="194"/>
      <c r="L134" s="194"/>
      <c r="M134" s="194"/>
      <c r="N134" s="194"/>
      <c r="O134" s="194"/>
      <c r="P134" s="194"/>
      <c r="Q134" s="194"/>
      <c r="R134" s="194"/>
      <c r="S134" s="194"/>
      <c r="T134" s="194"/>
      <c r="U134" s="194"/>
      <c r="V134" s="317">
        <v>0</v>
      </c>
      <c r="W134" s="318"/>
      <c r="X134" s="318"/>
      <c r="Y134" s="318"/>
      <c r="Z134" s="128" t="s">
        <v>434</v>
      </c>
      <c r="AA134" s="193" t="s">
        <v>354</v>
      </c>
      <c r="AB134" s="193"/>
      <c r="AC134" s="193"/>
      <c r="AD134" s="193"/>
      <c r="AE134" s="193"/>
      <c r="AF134" s="195" t="s">
        <v>355</v>
      </c>
      <c r="AG134" s="195"/>
      <c r="AH134" s="195"/>
      <c r="AI134" s="195">
        <v>1</v>
      </c>
      <c r="AJ134" s="195"/>
      <c r="AK134" s="196">
        <f>(V134/SQRT(3))*AI134</f>
        <v>0</v>
      </c>
      <c r="AL134" s="196"/>
      <c r="AM134" s="196"/>
      <c r="AN134" s="196"/>
      <c r="AO134" s="197"/>
      <c r="AP134" s="304" t="str">
        <f t="shared" si="81"/>
        <v>∞</v>
      </c>
      <c r="AQ134" s="305"/>
      <c r="AR134" s="305"/>
      <c r="AS134" s="305"/>
      <c r="AT134" s="329"/>
      <c r="AU134" s="330"/>
      <c r="AV134" s="331"/>
      <c r="AW134" s="113"/>
      <c r="AX134" s="113"/>
      <c r="AY134" s="113"/>
      <c r="AZ134" s="113"/>
      <c r="BA134" s="113"/>
    </row>
    <row r="135" spans="1:53" ht="14.85" customHeight="1">
      <c r="A135" s="109"/>
      <c r="B135" s="190" t="s">
        <v>431</v>
      </c>
      <c r="C135" s="191"/>
      <c r="D135" s="191"/>
      <c r="E135" s="191"/>
      <c r="F135" s="191"/>
      <c r="G135" s="194" t="s">
        <v>364</v>
      </c>
      <c r="H135" s="194"/>
      <c r="I135" s="194"/>
      <c r="J135" s="194"/>
      <c r="K135" s="194"/>
      <c r="L135" s="194"/>
      <c r="M135" s="194"/>
      <c r="N135" s="194"/>
      <c r="O135" s="194"/>
      <c r="P135" s="194"/>
      <c r="Q135" s="194"/>
      <c r="R135" s="194"/>
      <c r="S135" s="194"/>
      <c r="T135" s="194"/>
      <c r="U135" s="194"/>
      <c r="V135" s="317" t="str">
        <f>$E$16</f>
        <v/>
      </c>
      <c r="W135" s="318"/>
      <c r="X135" s="318"/>
      <c r="Y135" s="318"/>
      <c r="Z135" s="128" t="s">
        <v>434</v>
      </c>
      <c r="AA135" s="193" t="s">
        <v>37</v>
      </c>
      <c r="AB135" s="193"/>
      <c r="AC135" s="193"/>
      <c r="AD135" s="193"/>
      <c r="AE135" s="193"/>
      <c r="AF135" s="195">
        <v>1</v>
      </c>
      <c r="AG135" s="195"/>
      <c r="AH135" s="195"/>
      <c r="AI135" s="195">
        <f>IF($B$8="","",1)</f>
        <v>1</v>
      </c>
      <c r="AJ135" s="195"/>
      <c r="AK135" s="196" t="e">
        <f t="shared" ref="AK135" si="83">(V135/AF135)*AI135</f>
        <v>#VALUE!</v>
      </c>
      <c r="AL135" s="196"/>
      <c r="AM135" s="196"/>
      <c r="AN135" s="196"/>
      <c r="AO135" s="197"/>
      <c r="AP135" s="304">
        <v>9</v>
      </c>
      <c r="AQ135" s="305"/>
      <c r="AR135" s="305"/>
      <c r="AS135" s="305"/>
      <c r="AT135" s="329"/>
      <c r="AU135" s="330"/>
      <c r="AV135" s="331"/>
      <c r="AW135" s="113"/>
      <c r="AX135" s="113"/>
      <c r="AY135" s="113"/>
      <c r="AZ135" s="113"/>
      <c r="BA135" s="113"/>
    </row>
    <row r="136" spans="1:53" ht="14.85" customHeight="1" thickBot="1">
      <c r="A136" s="109"/>
      <c r="B136" s="306" t="s">
        <v>432</v>
      </c>
      <c r="C136" s="307"/>
      <c r="D136" s="307"/>
      <c r="E136" s="307"/>
      <c r="F136" s="307"/>
      <c r="G136" s="340" t="s">
        <v>365</v>
      </c>
      <c r="H136" s="340"/>
      <c r="I136" s="340"/>
      <c r="J136" s="340"/>
      <c r="K136" s="340"/>
      <c r="L136" s="340"/>
      <c r="M136" s="340"/>
      <c r="N136" s="340"/>
      <c r="O136" s="340"/>
      <c r="P136" s="340"/>
      <c r="Q136" s="340"/>
      <c r="R136" s="340"/>
      <c r="S136" s="340"/>
      <c r="T136" s="340"/>
      <c r="U136" s="340"/>
      <c r="V136" s="319" t="str">
        <f>$Y$16</f>
        <v/>
      </c>
      <c r="W136" s="320"/>
      <c r="X136" s="320"/>
      <c r="Y136" s="320"/>
      <c r="Z136" s="129" t="s">
        <v>434</v>
      </c>
      <c r="AA136" s="308" t="s">
        <v>37</v>
      </c>
      <c r="AB136" s="308"/>
      <c r="AC136" s="308"/>
      <c r="AD136" s="308"/>
      <c r="AE136" s="308"/>
      <c r="AF136" s="309">
        <v>1</v>
      </c>
      <c r="AG136" s="309"/>
      <c r="AH136" s="309"/>
      <c r="AI136" s="309">
        <f>IF($B$8="","",1)</f>
        <v>1</v>
      </c>
      <c r="AJ136" s="309"/>
      <c r="AK136" s="310" t="e">
        <f>(V136/AF136)*AI136</f>
        <v>#VALUE!</v>
      </c>
      <c r="AL136" s="310"/>
      <c r="AM136" s="310"/>
      <c r="AN136" s="310"/>
      <c r="AO136" s="311"/>
      <c r="AP136" s="304">
        <v>9</v>
      </c>
      <c r="AQ136" s="305"/>
      <c r="AR136" s="305"/>
      <c r="AS136" s="305"/>
      <c r="AT136" s="329"/>
      <c r="AU136" s="330"/>
      <c r="AV136" s="331"/>
      <c r="AW136" s="113"/>
      <c r="AX136" s="113"/>
      <c r="AY136" s="113"/>
      <c r="AZ136" s="113"/>
      <c r="BA136" s="113"/>
    </row>
    <row r="137" spans="1:53" ht="14.85" customHeight="1" thickTop="1" thickBot="1">
      <c r="A137" s="109"/>
      <c r="B137" s="338" t="s">
        <v>433</v>
      </c>
      <c r="C137" s="339"/>
      <c r="D137" s="339"/>
      <c r="E137" s="339"/>
      <c r="F137" s="339"/>
      <c r="G137" s="340" t="s">
        <v>366</v>
      </c>
      <c r="H137" s="340" t="s">
        <v>366</v>
      </c>
      <c r="I137" s="340" t="s">
        <v>366</v>
      </c>
      <c r="J137" s="340" t="s">
        <v>366</v>
      </c>
      <c r="K137" s="340" t="s">
        <v>366</v>
      </c>
      <c r="L137" s="340" t="s">
        <v>366</v>
      </c>
      <c r="M137" s="340" t="s">
        <v>366</v>
      </c>
      <c r="N137" s="340" t="s">
        <v>366</v>
      </c>
      <c r="O137" s="340" t="s">
        <v>366</v>
      </c>
      <c r="P137" s="340" t="s">
        <v>366</v>
      </c>
      <c r="Q137" s="340" t="s">
        <v>366</v>
      </c>
      <c r="R137" s="340" t="s">
        <v>366</v>
      </c>
      <c r="S137" s="340" t="s">
        <v>366</v>
      </c>
      <c r="T137" s="340" t="s">
        <v>366</v>
      </c>
      <c r="U137" s="340" t="s">
        <v>366</v>
      </c>
      <c r="V137" s="357"/>
      <c r="W137" s="358"/>
      <c r="X137" s="358"/>
      <c r="Y137" s="358"/>
      <c r="Z137" s="130"/>
      <c r="AA137" s="359" t="s">
        <v>37</v>
      </c>
      <c r="AB137" s="359"/>
      <c r="AC137" s="359"/>
      <c r="AD137" s="359"/>
      <c r="AE137" s="360"/>
      <c r="AF137" s="349"/>
      <c r="AG137" s="350"/>
      <c r="AH137" s="350"/>
      <c r="AI137" s="350"/>
      <c r="AJ137" s="351"/>
      <c r="AK137" s="343" t="e">
        <f>SQRT(SUMSQ(AK125:AO136))</f>
        <v>#VALUE!</v>
      </c>
      <c r="AL137" s="344"/>
      <c r="AM137" s="344"/>
      <c r="AN137" s="344"/>
      <c r="AO137" s="344"/>
      <c r="AP137" s="322" t="e">
        <f>IF(V136&lt;0.000000001,"∞",(AK137^4/((AK136^4/AP136)+(AK135^4/AP135))))</f>
        <v>#VALUE!</v>
      </c>
      <c r="AQ137" s="323"/>
      <c r="AR137" s="323"/>
      <c r="AS137" s="323"/>
      <c r="AT137" s="329"/>
      <c r="AU137" s="330"/>
      <c r="AV137" s="331"/>
      <c r="AW137" s="113"/>
      <c r="AX137" s="113"/>
      <c r="AY137" s="113"/>
      <c r="AZ137" s="113"/>
      <c r="BA137" s="113"/>
    </row>
    <row r="138" spans="1:53" ht="14.85" customHeight="1" thickTop="1" thickBot="1">
      <c r="A138" s="109"/>
      <c r="B138" s="338" t="s">
        <v>368</v>
      </c>
      <c r="C138" s="339"/>
      <c r="D138" s="339"/>
      <c r="E138" s="339"/>
      <c r="F138" s="339"/>
      <c r="G138" s="340" t="s">
        <v>369</v>
      </c>
      <c r="H138" s="340" t="s">
        <v>369</v>
      </c>
      <c r="I138" s="340" t="s">
        <v>369</v>
      </c>
      <c r="J138" s="340" t="s">
        <v>369</v>
      </c>
      <c r="K138" s="340" t="s">
        <v>369</v>
      </c>
      <c r="L138" s="340" t="s">
        <v>369</v>
      </c>
      <c r="M138" s="340" t="s">
        <v>369</v>
      </c>
      <c r="N138" s="340" t="s">
        <v>369</v>
      </c>
      <c r="O138" s="340" t="s">
        <v>369</v>
      </c>
      <c r="P138" s="340" t="s">
        <v>369</v>
      </c>
      <c r="Q138" s="340" t="s">
        <v>369</v>
      </c>
      <c r="R138" s="340" t="s">
        <v>369</v>
      </c>
      <c r="S138" s="340" t="s">
        <v>369</v>
      </c>
      <c r="T138" s="340" t="s">
        <v>369</v>
      </c>
      <c r="U138" s="340" t="s">
        <v>369</v>
      </c>
      <c r="V138" s="341"/>
      <c r="W138" s="342"/>
      <c r="X138" s="342"/>
      <c r="Y138" s="342"/>
      <c r="Z138" s="131"/>
      <c r="AA138" s="345" t="s">
        <v>370</v>
      </c>
      <c r="AB138" s="346"/>
      <c r="AC138" s="347" t="e">
        <f>IF(AP137="∞",2,TINV(0.0455,AP137))</f>
        <v>#VALUE!</v>
      </c>
      <c r="AD138" s="348"/>
      <c r="AE138" s="348"/>
      <c r="AF138" s="352"/>
      <c r="AG138" s="353"/>
      <c r="AH138" s="353"/>
      <c r="AI138" s="353"/>
      <c r="AJ138" s="354"/>
      <c r="AK138" s="343" t="e">
        <f>AK137*AC138</f>
        <v>#VALUE!</v>
      </c>
      <c r="AL138" s="344"/>
      <c r="AM138" s="344"/>
      <c r="AN138" s="344"/>
      <c r="AO138" s="344"/>
      <c r="AP138" s="324" t="s">
        <v>367</v>
      </c>
      <c r="AQ138" s="325" t="s">
        <v>367</v>
      </c>
      <c r="AR138" s="325" t="s">
        <v>367</v>
      </c>
      <c r="AS138" s="325"/>
      <c r="AT138" s="332"/>
      <c r="AU138" s="333"/>
      <c r="AV138" s="334"/>
      <c r="AW138" s="113"/>
      <c r="AX138" s="113"/>
      <c r="AY138" s="113"/>
      <c r="AZ138" s="113"/>
      <c r="BA138" s="113"/>
    </row>
    <row r="139" spans="1:53" ht="14.85" customHeight="1" thickTop="1" thickBot="1">
      <c r="A139" s="109"/>
      <c r="B139" s="139"/>
      <c r="C139" s="139"/>
      <c r="D139" s="139"/>
      <c r="E139" s="139"/>
      <c r="F139" s="139"/>
      <c r="G139" s="121"/>
      <c r="H139" s="121"/>
      <c r="I139" s="121"/>
      <c r="J139" s="121"/>
      <c r="K139" s="121"/>
      <c r="L139" s="121"/>
      <c r="M139" s="121"/>
      <c r="N139" s="121"/>
      <c r="O139" s="121"/>
      <c r="P139" s="121"/>
      <c r="Q139" s="121"/>
      <c r="R139" s="121"/>
      <c r="S139" s="121"/>
      <c r="T139" s="121"/>
      <c r="U139" s="121"/>
      <c r="V139" s="113"/>
      <c r="W139" s="113"/>
      <c r="X139" s="113"/>
      <c r="Y139" s="113"/>
      <c r="Z139" s="123"/>
      <c r="AA139" s="124"/>
      <c r="AB139" s="124"/>
      <c r="AC139" s="374" t="s">
        <v>371</v>
      </c>
      <c r="AD139" s="375"/>
      <c r="AE139" s="369">
        <f>IF($J$5&lt;0,0.04,0.03)</f>
        <v>0.03</v>
      </c>
      <c r="AF139" s="369"/>
      <c r="AG139" s="370"/>
      <c r="AH139" s="371" t="s">
        <v>372</v>
      </c>
      <c r="AI139" s="369"/>
      <c r="AJ139" s="369"/>
      <c r="AK139" s="376" t="e">
        <f>IF(AK138&lt;AE139,AE139,ROUNDUP(AK138,3))</f>
        <v>#VALUE!</v>
      </c>
      <c r="AL139" s="376"/>
      <c r="AM139" s="376"/>
      <c r="AN139" s="376"/>
      <c r="AO139" s="377"/>
      <c r="AP139" s="124"/>
      <c r="AQ139" s="124"/>
      <c r="AR139" s="124"/>
      <c r="AS139" s="113"/>
      <c r="AT139" s="113"/>
      <c r="AU139" s="113"/>
      <c r="AV139" s="113"/>
      <c r="AW139" s="113"/>
      <c r="AX139" s="113"/>
      <c r="AY139" s="113"/>
      <c r="AZ139" s="113"/>
      <c r="BA139" s="113"/>
    </row>
    <row r="140" spans="1:53" ht="14.85" customHeight="1" thickTop="1" thickBot="1">
      <c r="A140" s="109"/>
      <c r="B140" s="139"/>
      <c r="C140" s="139"/>
      <c r="D140" s="139"/>
      <c r="E140" s="139"/>
      <c r="F140" s="139"/>
      <c r="G140" s="121"/>
      <c r="H140" s="121"/>
      <c r="I140" s="121"/>
      <c r="J140" s="121"/>
      <c r="K140" s="121"/>
      <c r="L140" s="121"/>
      <c r="M140" s="121"/>
      <c r="N140" s="121"/>
      <c r="O140" s="121"/>
      <c r="P140" s="121"/>
      <c r="Q140" s="121"/>
      <c r="R140" s="121"/>
      <c r="S140" s="121"/>
      <c r="T140" s="121"/>
      <c r="U140" s="121"/>
      <c r="V140" s="113"/>
      <c r="W140" s="113"/>
      <c r="X140" s="113"/>
      <c r="Y140" s="113"/>
      <c r="Z140" s="123"/>
      <c r="AA140" s="124"/>
      <c r="AB140" s="124"/>
      <c r="AC140" s="124"/>
      <c r="AD140" s="124"/>
      <c r="AE140" s="124"/>
      <c r="AF140" s="125"/>
      <c r="AG140" s="125"/>
      <c r="AH140" s="125"/>
      <c r="AI140" s="125"/>
      <c r="AJ140" s="125"/>
      <c r="AK140" s="113"/>
      <c r="AL140" s="113"/>
      <c r="AM140" s="113"/>
      <c r="AN140" s="113"/>
      <c r="AO140" s="113"/>
      <c r="AP140" s="124"/>
      <c r="AQ140" s="124"/>
      <c r="AR140" s="124"/>
      <c r="AS140" s="113"/>
      <c r="AT140" s="113"/>
      <c r="AU140" s="113"/>
      <c r="AV140" s="113"/>
      <c r="AW140" s="113"/>
      <c r="AX140" s="113"/>
      <c r="AY140" s="113"/>
      <c r="AZ140" s="113"/>
      <c r="BA140" s="113"/>
    </row>
    <row r="141" spans="1:53" ht="14.85" customHeight="1" thickTop="1" thickBot="1">
      <c r="B141" s="355" t="s">
        <v>347</v>
      </c>
      <c r="C141" s="356"/>
      <c r="D141" s="356"/>
      <c r="E141" s="356"/>
      <c r="F141" s="356"/>
      <c r="G141" s="312" t="s">
        <v>348</v>
      </c>
      <c r="H141" s="312"/>
      <c r="I141" s="312"/>
      <c r="J141" s="312"/>
      <c r="K141" s="312"/>
      <c r="L141" s="312"/>
      <c r="M141" s="312"/>
      <c r="N141" s="312"/>
      <c r="O141" s="312"/>
      <c r="P141" s="312"/>
      <c r="Q141" s="312"/>
      <c r="R141" s="312"/>
      <c r="S141" s="312"/>
      <c r="T141" s="312"/>
      <c r="U141" s="312"/>
      <c r="V141" s="187" t="s">
        <v>417</v>
      </c>
      <c r="W141" s="187"/>
      <c r="X141" s="187"/>
      <c r="Y141" s="187"/>
      <c r="Z141" s="187"/>
      <c r="AA141" s="186" t="s">
        <v>418</v>
      </c>
      <c r="AB141" s="187"/>
      <c r="AC141" s="187"/>
      <c r="AD141" s="187"/>
      <c r="AE141" s="187"/>
      <c r="AF141" s="187" t="s">
        <v>349</v>
      </c>
      <c r="AG141" s="187"/>
      <c r="AH141" s="187"/>
      <c r="AI141" s="187" t="s">
        <v>350</v>
      </c>
      <c r="AJ141" s="187"/>
      <c r="AK141" s="186" t="s">
        <v>419</v>
      </c>
      <c r="AL141" s="187"/>
      <c r="AM141" s="187"/>
      <c r="AN141" s="187"/>
      <c r="AO141" s="187"/>
      <c r="AP141" s="361" t="s">
        <v>420</v>
      </c>
      <c r="AQ141" s="362"/>
      <c r="AR141" s="362"/>
      <c r="AS141" s="362"/>
      <c r="AT141" s="326" t="str">
        <f>IF(AC10="","","6")</f>
        <v/>
      </c>
      <c r="AU141" s="327"/>
      <c r="AV141" s="328"/>
      <c r="AW141" s="113"/>
      <c r="AX141" s="113"/>
      <c r="AY141" s="113"/>
      <c r="AZ141" s="113"/>
      <c r="BA141" s="113"/>
    </row>
    <row r="142" spans="1:53" ht="14.85" customHeight="1" thickTop="1" thickBot="1">
      <c r="A142" s="122"/>
      <c r="B142" s="355"/>
      <c r="C142" s="356"/>
      <c r="D142" s="356"/>
      <c r="E142" s="356"/>
      <c r="F142" s="356"/>
      <c r="G142" s="312"/>
      <c r="H142" s="312"/>
      <c r="I142" s="312"/>
      <c r="J142" s="312"/>
      <c r="K142" s="312"/>
      <c r="L142" s="312"/>
      <c r="M142" s="312"/>
      <c r="N142" s="312"/>
      <c r="O142" s="312"/>
      <c r="P142" s="312"/>
      <c r="Q142" s="312"/>
      <c r="R142" s="312"/>
      <c r="S142" s="312"/>
      <c r="T142" s="312"/>
      <c r="U142" s="312"/>
      <c r="V142" s="187"/>
      <c r="W142" s="187"/>
      <c r="X142" s="187"/>
      <c r="Y142" s="187"/>
      <c r="Z142" s="187"/>
      <c r="AA142" s="187"/>
      <c r="AB142" s="187"/>
      <c r="AC142" s="187"/>
      <c r="AD142" s="187"/>
      <c r="AE142" s="187"/>
      <c r="AF142" s="187"/>
      <c r="AG142" s="187"/>
      <c r="AH142" s="187"/>
      <c r="AI142" s="187"/>
      <c r="AJ142" s="187"/>
      <c r="AK142" s="187"/>
      <c r="AL142" s="187"/>
      <c r="AM142" s="187"/>
      <c r="AN142" s="187"/>
      <c r="AO142" s="187"/>
      <c r="AP142" s="363"/>
      <c r="AQ142" s="364"/>
      <c r="AR142" s="364"/>
      <c r="AS142" s="364"/>
      <c r="AT142" s="329"/>
      <c r="AU142" s="330"/>
      <c r="AV142" s="331"/>
      <c r="AW142" s="113"/>
      <c r="AX142" s="113"/>
      <c r="AY142" s="113"/>
      <c r="AZ142" s="113"/>
      <c r="BA142" s="113"/>
    </row>
    <row r="143" spans="1:53" ht="14.85" customHeight="1" thickTop="1">
      <c r="A143" s="109"/>
      <c r="B143" s="188" t="s">
        <v>421</v>
      </c>
      <c r="C143" s="189"/>
      <c r="D143" s="189"/>
      <c r="E143" s="189"/>
      <c r="F143" s="189"/>
      <c r="G143" s="321" t="s">
        <v>351</v>
      </c>
      <c r="H143" s="321"/>
      <c r="I143" s="321"/>
      <c r="J143" s="321"/>
      <c r="K143" s="321"/>
      <c r="L143" s="321"/>
      <c r="M143" s="321"/>
      <c r="N143" s="321"/>
      <c r="O143" s="321"/>
      <c r="P143" s="321"/>
      <c r="Q143" s="321"/>
      <c r="R143" s="321"/>
      <c r="S143" s="321"/>
      <c r="T143" s="321"/>
      <c r="U143" s="321"/>
      <c r="V143" s="367">
        <f>$V$47</f>
        <v>3.0000000000000001E-3</v>
      </c>
      <c r="W143" s="368"/>
      <c r="X143" s="368"/>
      <c r="Y143" s="368"/>
      <c r="Z143" s="127" t="s">
        <v>434</v>
      </c>
      <c r="AA143" s="192" t="s">
        <v>37</v>
      </c>
      <c r="AB143" s="192"/>
      <c r="AC143" s="192"/>
      <c r="AD143" s="192"/>
      <c r="AE143" s="192"/>
      <c r="AF143" s="289">
        <v>2</v>
      </c>
      <c r="AG143" s="289"/>
      <c r="AH143" s="289"/>
      <c r="AI143" s="289">
        <v>1</v>
      </c>
      <c r="AJ143" s="289"/>
      <c r="AK143" s="290">
        <f>(V143/AF143)*AI143</f>
        <v>1.5E-3</v>
      </c>
      <c r="AL143" s="290"/>
      <c r="AM143" s="290"/>
      <c r="AN143" s="290"/>
      <c r="AO143" s="291"/>
      <c r="AP143" s="365" t="str">
        <f t="shared" ref="AP143:AP152" si="84">IF($B$8="","","∞")</f>
        <v>∞</v>
      </c>
      <c r="AQ143" s="366"/>
      <c r="AR143" s="366"/>
      <c r="AS143" s="366"/>
      <c r="AT143" s="329"/>
      <c r="AU143" s="330"/>
      <c r="AV143" s="331"/>
      <c r="AW143" s="113"/>
      <c r="AX143" s="113"/>
      <c r="AY143" s="113"/>
      <c r="AZ143" s="113"/>
      <c r="BA143" s="113"/>
    </row>
    <row r="144" spans="1:53" ht="14.85" customHeight="1">
      <c r="A144" s="109"/>
      <c r="B144" s="190" t="s">
        <v>422</v>
      </c>
      <c r="C144" s="191"/>
      <c r="D144" s="191"/>
      <c r="E144" s="191"/>
      <c r="F144" s="191"/>
      <c r="G144" s="194" t="s">
        <v>352</v>
      </c>
      <c r="H144" s="194"/>
      <c r="I144" s="194"/>
      <c r="J144" s="194"/>
      <c r="K144" s="194"/>
      <c r="L144" s="194"/>
      <c r="M144" s="194"/>
      <c r="N144" s="194"/>
      <c r="O144" s="194"/>
      <c r="P144" s="194"/>
      <c r="Q144" s="194"/>
      <c r="R144" s="194"/>
      <c r="S144" s="194"/>
      <c r="T144" s="194"/>
      <c r="U144" s="194"/>
      <c r="V144" s="317">
        <f>$V$48</f>
        <v>1.6000000000000001E-3</v>
      </c>
      <c r="W144" s="318"/>
      <c r="X144" s="318"/>
      <c r="Y144" s="318"/>
      <c r="Z144" s="128" t="s">
        <v>353</v>
      </c>
      <c r="AA144" s="193" t="s">
        <v>354</v>
      </c>
      <c r="AB144" s="193"/>
      <c r="AC144" s="193"/>
      <c r="AD144" s="193"/>
      <c r="AE144" s="193"/>
      <c r="AF144" s="195" t="s">
        <v>355</v>
      </c>
      <c r="AG144" s="195"/>
      <c r="AH144" s="195"/>
      <c r="AI144" s="195">
        <v>10</v>
      </c>
      <c r="AJ144" s="195"/>
      <c r="AK144" s="196">
        <f>(V144/SQRT(3))*AI144</f>
        <v>9.2376043070340128E-3</v>
      </c>
      <c r="AL144" s="196"/>
      <c r="AM144" s="196"/>
      <c r="AN144" s="196"/>
      <c r="AO144" s="197"/>
      <c r="AP144" s="304" t="str">
        <f t="shared" si="84"/>
        <v>∞</v>
      </c>
      <c r="AQ144" s="305"/>
      <c r="AR144" s="305"/>
      <c r="AS144" s="305"/>
      <c r="AT144" s="329"/>
      <c r="AU144" s="330"/>
      <c r="AV144" s="331"/>
      <c r="AW144" s="113"/>
      <c r="AX144" s="113"/>
      <c r="AY144" s="113"/>
      <c r="AZ144" s="113"/>
      <c r="BA144" s="113"/>
    </row>
    <row r="145" spans="1:74" ht="14.85" customHeight="1">
      <c r="A145" s="109"/>
      <c r="B145" s="190" t="s">
        <v>423</v>
      </c>
      <c r="C145" s="191"/>
      <c r="D145" s="191"/>
      <c r="E145" s="191"/>
      <c r="F145" s="191"/>
      <c r="G145" s="194" t="s">
        <v>356</v>
      </c>
      <c r="H145" s="194"/>
      <c r="I145" s="194"/>
      <c r="J145" s="194"/>
      <c r="K145" s="194"/>
      <c r="L145" s="194"/>
      <c r="M145" s="194"/>
      <c r="N145" s="194"/>
      <c r="O145" s="194"/>
      <c r="P145" s="194"/>
      <c r="Q145" s="194"/>
      <c r="R145" s="194"/>
      <c r="S145" s="194"/>
      <c r="T145" s="194"/>
      <c r="U145" s="194"/>
      <c r="V145" s="317">
        <f>$V$49</f>
        <v>1E-3</v>
      </c>
      <c r="W145" s="318"/>
      <c r="X145" s="318"/>
      <c r="Y145" s="318"/>
      <c r="Z145" s="128" t="s">
        <v>353</v>
      </c>
      <c r="AA145" s="193" t="s">
        <v>354</v>
      </c>
      <c r="AB145" s="193"/>
      <c r="AC145" s="193"/>
      <c r="AD145" s="193"/>
      <c r="AE145" s="193"/>
      <c r="AF145" s="195">
        <v>2</v>
      </c>
      <c r="AG145" s="195"/>
      <c r="AH145" s="195"/>
      <c r="AI145" s="195">
        <v>10</v>
      </c>
      <c r="AJ145" s="195"/>
      <c r="AK145" s="196">
        <f>(V145/AF145)*AI145</f>
        <v>5.0000000000000001E-3</v>
      </c>
      <c r="AL145" s="196"/>
      <c r="AM145" s="196"/>
      <c r="AN145" s="196"/>
      <c r="AO145" s="197"/>
      <c r="AP145" s="304" t="str">
        <f t="shared" si="84"/>
        <v>∞</v>
      </c>
      <c r="AQ145" s="305"/>
      <c r="AR145" s="305"/>
      <c r="AS145" s="305"/>
      <c r="AT145" s="329"/>
      <c r="AU145" s="330"/>
      <c r="AV145" s="331"/>
      <c r="AW145" s="113"/>
      <c r="AX145" s="113"/>
      <c r="AY145" s="113"/>
      <c r="AZ145" s="113"/>
      <c r="BA145" s="113"/>
    </row>
    <row r="146" spans="1:74" ht="14.85" customHeight="1">
      <c r="A146" s="109"/>
      <c r="B146" s="190" t="s">
        <v>424</v>
      </c>
      <c r="C146" s="191"/>
      <c r="D146" s="191"/>
      <c r="E146" s="191"/>
      <c r="F146" s="191"/>
      <c r="G146" s="194" t="s">
        <v>357</v>
      </c>
      <c r="H146" s="194"/>
      <c r="I146" s="194"/>
      <c r="J146" s="194"/>
      <c r="K146" s="194"/>
      <c r="L146" s="194"/>
      <c r="M146" s="194"/>
      <c r="N146" s="194"/>
      <c r="O146" s="194"/>
      <c r="P146" s="194"/>
      <c r="Q146" s="194"/>
      <c r="R146" s="194"/>
      <c r="S146" s="194"/>
      <c r="T146" s="194"/>
      <c r="U146" s="194"/>
      <c r="V146" s="317">
        <f>$V$50</f>
        <v>1E-3</v>
      </c>
      <c r="W146" s="318"/>
      <c r="X146" s="318"/>
      <c r="Y146" s="318"/>
      <c r="Z146" s="128" t="s">
        <v>353</v>
      </c>
      <c r="AA146" s="193" t="s">
        <v>354</v>
      </c>
      <c r="AB146" s="193"/>
      <c r="AC146" s="193"/>
      <c r="AD146" s="193"/>
      <c r="AE146" s="193"/>
      <c r="AF146" s="195" t="s">
        <v>355</v>
      </c>
      <c r="AG146" s="195"/>
      <c r="AH146" s="195"/>
      <c r="AI146" s="195">
        <v>10</v>
      </c>
      <c r="AJ146" s="195"/>
      <c r="AK146" s="196">
        <f>(V146/SQRT(3))*AI146</f>
        <v>5.773502691896258E-3</v>
      </c>
      <c r="AL146" s="196"/>
      <c r="AM146" s="196"/>
      <c r="AN146" s="196"/>
      <c r="AO146" s="197"/>
      <c r="AP146" s="304" t="str">
        <f t="shared" si="84"/>
        <v>∞</v>
      </c>
      <c r="AQ146" s="305"/>
      <c r="AR146" s="305"/>
      <c r="AS146" s="305"/>
      <c r="AT146" s="329"/>
      <c r="AU146" s="330"/>
      <c r="AV146" s="331"/>
      <c r="AW146" s="113"/>
      <c r="AX146" s="113"/>
      <c r="AY146" s="113"/>
      <c r="AZ146" s="113"/>
      <c r="BA146" s="113"/>
    </row>
    <row r="147" spans="1:74" ht="14.85" customHeight="1">
      <c r="A147" s="109"/>
      <c r="B147" s="190" t="s">
        <v>425</v>
      </c>
      <c r="C147" s="191"/>
      <c r="D147" s="191"/>
      <c r="E147" s="191"/>
      <c r="F147" s="191"/>
      <c r="G147" s="194" t="s">
        <v>358</v>
      </c>
      <c r="H147" s="194"/>
      <c r="I147" s="194"/>
      <c r="J147" s="194"/>
      <c r="K147" s="194"/>
      <c r="L147" s="194"/>
      <c r="M147" s="194"/>
      <c r="N147" s="194"/>
      <c r="O147" s="194"/>
      <c r="P147" s="194"/>
      <c r="Q147" s="194"/>
      <c r="R147" s="194"/>
      <c r="S147" s="194"/>
      <c r="T147" s="194"/>
      <c r="U147" s="194"/>
      <c r="V147" s="317">
        <f>$V$51</f>
        <v>5.0000000000000002E-5</v>
      </c>
      <c r="W147" s="318"/>
      <c r="X147" s="318"/>
      <c r="Y147" s="318"/>
      <c r="Z147" s="128" t="s">
        <v>434</v>
      </c>
      <c r="AA147" s="193" t="s">
        <v>354</v>
      </c>
      <c r="AB147" s="193"/>
      <c r="AC147" s="193"/>
      <c r="AD147" s="193"/>
      <c r="AE147" s="193"/>
      <c r="AF147" s="195" t="s">
        <v>355</v>
      </c>
      <c r="AG147" s="195"/>
      <c r="AH147" s="195"/>
      <c r="AI147" s="195">
        <v>1</v>
      </c>
      <c r="AJ147" s="195"/>
      <c r="AK147" s="196">
        <f>(V147/SQRT(3))*AI147</f>
        <v>2.8867513459481293E-5</v>
      </c>
      <c r="AL147" s="196"/>
      <c r="AM147" s="196"/>
      <c r="AN147" s="196"/>
      <c r="AO147" s="197"/>
      <c r="AP147" s="304" t="str">
        <f t="shared" si="84"/>
        <v>∞</v>
      </c>
      <c r="AQ147" s="305"/>
      <c r="AR147" s="305"/>
      <c r="AS147" s="305"/>
      <c r="AT147" s="329"/>
      <c r="AU147" s="330"/>
      <c r="AV147" s="331"/>
      <c r="AW147" s="113"/>
      <c r="AX147" s="113"/>
      <c r="AY147" s="113"/>
      <c r="AZ147" s="113"/>
      <c r="BA147" s="113"/>
    </row>
    <row r="148" spans="1:74" ht="14.85" customHeight="1">
      <c r="A148" s="109"/>
      <c r="B148" s="190" t="s">
        <v>426</v>
      </c>
      <c r="C148" s="191"/>
      <c r="D148" s="191"/>
      <c r="E148" s="191"/>
      <c r="F148" s="191"/>
      <c r="G148" s="194" t="s">
        <v>359</v>
      </c>
      <c r="H148" s="194"/>
      <c r="I148" s="194"/>
      <c r="J148" s="194"/>
      <c r="K148" s="194"/>
      <c r="L148" s="194"/>
      <c r="M148" s="194"/>
      <c r="N148" s="194"/>
      <c r="O148" s="194"/>
      <c r="P148" s="194"/>
      <c r="Q148" s="194"/>
      <c r="R148" s="194"/>
      <c r="S148" s="194"/>
      <c r="T148" s="194"/>
      <c r="U148" s="194"/>
      <c r="V148" s="317">
        <f>$V$52</f>
        <v>0.01</v>
      </c>
      <c r="W148" s="318"/>
      <c r="X148" s="318"/>
      <c r="Y148" s="318"/>
      <c r="Z148" s="128" t="s">
        <v>434</v>
      </c>
      <c r="AA148" s="193" t="s">
        <v>354</v>
      </c>
      <c r="AB148" s="193"/>
      <c r="AC148" s="193"/>
      <c r="AD148" s="193"/>
      <c r="AE148" s="193"/>
      <c r="AF148" s="195" t="s">
        <v>355</v>
      </c>
      <c r="AG148" s="195"/>
      <c r="AH148" s="195"/>
      <c r="AI148" s="195">
        <v>1</v>
      </c>
      <c r="AJ148" s="195"/>
      <c r="AK148" s="196">
        <f>(V148/SQRT(3))*AI148</f>
        <v>5.773502691896258E-3</v>
      </c>
      <c r="AL148" s="196"/>
      <c r="AM148" s="196"/>
      <c r="AN148" s="196"/>
      <c r="AO148" s="197"/>
      <c r="AP148" s="304" t="str">
        <f t="shared" si="84"/>
        <v>∞</v>
      </c>
      <c r="AQ148" s="305"/>
      <c r="AR148" s="305"/>
      <c r="AS148" s="305"/>
      <c r="AT148" s="329"/>
      <c r="AU148" s="330"/>
      <c r="AV148" s="331"/>
      <c r="AW148" s="113"/>
      <c r="AX148" s="113"/>
      <c r="AY148" s="113"/>
      <c r="AZ148" s="113"/>
      <c r="BA148" s="113"/>
    </row>
    <row r="149" spans="1:74" ht="14.85" customHeight="1">
      <c r="A149" s="109"/>
      <c r="B149" s="190" t="s">
        <v>427</v>
      </c>
      <c r="C149" s="191"/>
      <c r="D149" s="191"/>
      <c r="E149" s="191"/>
      <c r="F149" s="191"/>
      <c r="G149" s="194" t="s">
        <v>360</v>
      </c>
      <c r="H149" s="194"/>
      <c r="I149" s="194"/>
      <c r="J149" s="194"/>
      <c r="K149" s="194"/>
      <c r="L149" s="194"/>
      <c r="M149" s="194"/>
      <c r="N149" s="194"/>
      <c r="O149" s="194"/>
      <c r="P149" s="194"/>
      <c r="Q149" s="194"/>
      <c r="R149" s="194"/>
      <c r="S149" s="194"/>
      <c r="T149" s="194"/>
      <c r="U149" s="194"/>
      <c r="V149" s="317">
        <f>$V$53</f>
        <v>0.01</v>
      </c>
      <c r="W149" s="318"/>
      <c r="X149" s="318"/>
      <c r="Y149" s="318"/>
      <c r="Z149" s="128" t="s">
        <v>434</v>
      </c>
      <c r="AA149" s="193" t="s">
        <v>354</v>
      </c>
      <c r="AB149" s="193"/>
      <c r="AC149" s="193"/>
      <c r="AD149" s="193"/>
      <c r="AE149" s="193"/>
      <c r="AF149" s="195" t="s">
        <v>355</v>
      </c>
      <c r="AG149" s="195"/>
      <c r="AH149" s="195"/>
      <c r="AI149" s="195">
        <v>1</v>
      </c>
      <c r="AJ149" s="195"/>
      <c r="AK149" s="196">
        <f t="shared" ref="AK149:AK151" si="85">(V149/SQRT(3))*AI149</f>
        <v>5.773502691896258E-3</v>
      </c>
      <c r="AL149" s="196"/>
      <c r="AM149" s="196"/>
      <c r="AN149" s="196"/>
      <c r="AO149" s="197"/>
      <c r="AP149" s="304" t="str">
        <f t="shared" si="84"/>
        <v>∞</v>
      </c>
      <c r="AQ149" s="305"/>
      <c r="AR149" s="305"/>
      <c r="AS149" s="305"/>
      <c r="AT149" s="329"/>
      <c r="AU149" s="330"/>
      <c r="AV149" s="331"/>
      <c r="AW149" s="113"/>
      <c r="AX149" s="113"/>
      <c r="AY149" s="113"/>
      <c r="AZ149" s="113"/>
      <c r="BA149" s="113"/>
    </row>
    <row r="150" spans="1:74" ht="14.85" customHeight="1">
      <c r="A150" s="109"/>
      <c r="B150" s="190" t="s">
        <v>428</v>
      </c>
      <c r="C150" s="191"/>
      <c r="D150" s="191"/>
      <c r="E150" s="191"/>
      <c r="F150" s="191"/>
      <c r="G150" s="194" t="s">
        <v>361</v>
      </c>
      <c r="H150" s="194"/>
      <c r="I150" s="194"/>
      <c r="J150" s="194"/>
      <c r="K150" s="194"/>
      <c r="L150" s="194"/>
      <c r="M150" s="194"/>
      <c r="N150" s="194"/>
      <c r="O150" s="194"/>
      <c r="P150" s="194"/>
      <c r="Q150" s="194"/>
      <c r="R150" s="194"/>
      <c r="S150" s="194"/>
      <c r="T150" s="194"/>
      <c r="U150" s="194"/>
      <c r="V150" s="317">
        <f>$AB$3/2</f>
        <v>0</v>
      </c>
      <c r="W150" s="318"/>
      <c r="X150" s="318"/>
      <c r="Y150" s="318"/>
      <c r="Z150" s="128" t="s">
        <v>434</v>
      </c>
      <c r="AA150" s="193" t="s">
        <v>354</v>
      </c>
      <c r="AB150" s="193"/>
      <c r="AC150" s="193"/>
      <c r="AD150" s="193"/>
      <c r="AE150" s="193"/>
      <c r="AF150" s="195" t="s">
        <v>355</v>
      </c>
      <c r="AG150" s="195"/>
      <c r="AH150" s="195"/>
      <c r="AI150" s="195">
        <v>1</v>
      </c>
      <c r="AJ150" s="195"/>
      <c r="AK150" s="196">
        <f t="shared" si="85"/>
        <v>0</v>
      </c>
      <c r="AL150" s="196"/>
      <c r="AM150" s="196"/>
      <c r="AN150" s="196"/>
      <c r="AO150" s="197"/>
      <c r="AP150" s="304" t="str">
        <f t="shared" si="84"/>
        <v>∞</v>
      </c>
      <c r="AQ150" s="305"/>
      <c r="AR150" s="305"/>
      <c r="AS150" s="305"/>
      <c r="AT150" s="329"/>
      <c r="AU150" s="330"/>
      <c r="AV150" s="331"/>
      <c r="AW150" s="113"/>
      <c r="AX150" s="113"/>
      <c r="AY150" s="113"/>
      <c r="AZ150" s="113"/>
      <c r="BA150" s="113"/>
    </row>
    <row r="151" spans="1:74" ht="14.85" customHeight="1">
      <c r="A151" s="109"/>
      <c r="B151" s="190" t="s">
        <v>429</v>
      </c>
      <c r="C151" s="191"/>
      <c r="D151" s="191"/>
      <c r="E151" s="191"/>
      <c r="F151" s="191"/>
      <c r="G151" s="194" t="s">
        <v>362</v>
      </c>
      <c r="H151" s="194"/>
      <c r="I151" s="194"/>
      <c r="J151" s="194"/>
      <c r="K151" s="194"/>
      <c r="L151" s="194"/>
      <c r="M151" s="194"/>
      <c r="N151" s="194"/>
      <c r="O151" s="194"/>
      <c r="P151" s="194"/>
      <c r="Q151" s="194"/>
      <c r="R151" s="194"/>
      <c r="S151" s="194"/>
      <c r="T151" s="194"/>
      <c r="U151" s="194"/>
      <c r="V151" s="317" t="str">
        <f>$AC$31</f>
        <v/>
      </c>
      <c r="W151" s="318"/>
      <c r="X151" s="318"/>
      <c r="Y151" s="318"/>
      <c r="Z151" s="128" t="s">
        <v>434</v>
      </c>
      <c r="AA151" s="193" t="s">
        <v>354</v>
      </c>
      <c r="AB151" s="193"/>
      <c r="AC151" s="193"/>
      <c r="AD151" s="193"/>
      <c r="AE151" s="193"/>
      <c r="AF151" s="195" t="s">
        <v>355</v>
      </c>
      <c r="AG151" s="195"/>
      <c r="AH151" s="195"/>
      <c r="AI151" s="195">
        <v>1</v>
      </c>
      <c r="AJ151" s="195"/>
      <c r="AK151" s="196" t="e">
        <f t="shared" si="85"/>
        <v>#VALUE!</v>
      </c>
      <c r="AL151" s="196"/>
      <c r="AM151" s="196"/>
      <c r="AN151" s="196"/>
      <c r="AO151" s="197"/>
      <c r="AP151" s="304" t="str">
        <f t="shared" si="84"/>
        <v>∞</v>
      </c>
      <c r="AQ151" s="305"/>
      <c r="AR151" s="305"/>
      <c r="AS151" s="305"/>
      <c r="AT151" s="329"/>
      <c r="AU151" s="330"/>
      <c r="AV151" s="331"/>
      <c r="AW151" s="113"/>
      <c r="AX151" s="113"/>
      <c r="AY151" s="113"/>
      <c r="AZ151" s="113"/>
      <c r="BA151" s="113"/>
    </row>
    <row r="152" spans="1:74" ht="14.85" customHeight="1">
      <c r="A152" s="109"/>
      <c r="B152" s="190" t="s">
        <v>430</v>
      </c>
      <c r="C152" s="191"/>
      <c r="D152" s="191"/>
      <c r="E152" s="191"/>
      <c r="F152" s="191"/>
      <c r="G152" s="194" t="s">
        <v>363</v>
      </c>
      <c r="H152" s="194"/>
      <c r="I152" s="194"/>
      <c r="J152" s="194"/>
      <c r="K152" s="194"/>
      <c r="L152" s="194"/>
      <c r="M152" s="194"/>
      <c r="N152" s="194"/>
      <c r="O152" s="194"/>
      <c r="P152" s="194"/>
      <c r="Q152" s="194"/>
      <c r="R152" s="194"/>
      <c r="S152" s="194"/>
      <c r="T152" s="194"/>
      <c r="U152" s="194"/>
      <c r="V152" s="317">
        <v>0</v>
      </c>
      <c r="W152" s="318"/>
      <c r="X152" s="318"/>
      <c r="Y152" s="318"/>
      <c r="Z152" s="128" t="s">
        <v>434</v>
      </c>
      <c r="AA152" s="193" t="s">
        <v>354</v>
      </c>
      <c r="AB152" s="193"/>
      <c r="AC152" s="193"/>
      <c r="AD152" s="193"/>
      <c r="AE152" s="193"/>
      <c r="AF152" s="195" t="s">
        <v>355</v>
      </c>
      <c r="AG152" s="195"/>
      <c r="AH152" s="195"/>
      <c r="AI152" s="195">
        <v>1</v>
      </c>
      <c r="AJ152" s="195"/>
      <c r="AK152" s="196">
        <f>(V152/SQRT(3))*AI152</f>
        <v>0</v>
      </c>
      <c r="AL152" s="196"/>
      <c r="AM152" s="196"/>
      <c r="AN152" s="196"/>
      <c r="AO152" s="197"/>
      <c r="AP152" s="304" t="str">
        <f t="shared" si="84"/>
        <v>∞</v>
      </c>
      <c r="AQ152" s="305"/>
      <c r="AR152" s="305"/>
      <c r="AS152" s="305"/>
      <c r="AT152" s="329"/>
      <c r="AU152" s="330"/>
      <c r="AV152" s="331"/>
      <c r="AW152" s="113"/>
      <c r="AX152" s="113"/>
      <c r="AY152" s="113"/>
      <c r="AZ152" s="113"/>
      <c r="BA152" s="113"/>
    </row>
    <row r="153" spans="1:74" ht="14.85" customHeight="1">
      <c r="A153" s="109"/>
      <c r="B153" s="190" t="s">
        <v>431</v>
      </c>
      <c r="C153" s="191"/>
      <c r="D153" s="191"/>
      <c r="E153" s="191"/>
      <c r="F153" s="191"/>
      <c r="G153" s="194" t="s">
        <v>364</v>
      </c>
      <c r="H153" s="194"/>
      <c r="I153" s="194"/>
      <c r="J153" s="194"/>
      <c r="K153" s="194"/>
      <c r="L153" s="194"/>
      <c r="M153" s="194"/>
      <c r="N153" s="194"/>
      <c r="O153" s="194"/>
      <c r="P153" s="194"/>
      <c r="Q153" s="194"/>
      <c r="R153" s="194"/>
      <c r="S153" s="194"/>
      <c r="T153" s="194"/>
      <c r="U153" s="194"/>
      <c r="V153" s="317" t="str">
        <f>$E$16</f>
        <v/>
      </c>
      <c r="W153" s="318"/>
      <c r="X153" s="318"/>
      <c r="Y153" s="318"/>
      <c r="Z153" s="128" t="s">
        <v>434</v>
      </c>
      <c r="AA153" s="193" t="s">
        <v>37</v>
      </c>
      <c r="AB153" s="193"/>
      <c r="AC153" s="193"/>
      <c r="AD153" s="193"/>
      <c r="AE153" s="193"/>
      <c r="AF153" s="195">
        <v>1</v>
      </c>
      <c r="AG153" s="195"/>
      <c r="AH153" s="195"/>
      <c r="AI153" s="195">
        <f>IF($B$8="","",1)</f>
        <v>1</v>
      </c>
      <c r="AJ153" s="195"/>
      <c r="AK153" s="196" t="e">
        <f t="shared" ref="AK153" si="86">(V153/AF153)*AI153</f>
        <v>#VALUE!</v>
      </c>
      <c r="AL153" s="196"/>
      <c r="AM153" s="196"/>
      <c r="AN153" s="196"/>
      <c r="AO153" s="197"/>
      <c r="AP153" s="304">
        <v>9</v>
      </c>
      <c r="AQ153" s="305"/>
      <c r="AR153" s="305"/>
      <c r="AS153" s="305"/>
      <c r="AT153" s="329"/>
      <c r="AU153" s="330"/>
      <c r="AV153" s="331"/>
      <c r="AW153" s="113"/>
      <c r="AX153" s="113"/>
      <c r="AY153" s="113"/>
      <c r="AZ153" s="113"/>
      <c r="BA153" s="113"/>
    </row>
    <row r="154" spans="1:74" ht="14.85" customHeight="1" thickBot="1">
      <c r="A154" s="109"/>
      <c r="B154" s="306" t="s">
        <v>432</v>
      </c>
      <c r="C154" s="307"/>
      <c r="D154" s="307"/>
      <c r="E154" s="307"/>
      <c r="F154" s="307"/>
      <c r="G154" s="340" t="s">
        <v>365</v>
      </c>
      <c r="H154" s="340"/>
      <c r="I154" s="340"/>
      <c r="J154" s="340"/>
      <c r="K154" s="340"/>
      <c r="L154" s="340"/>
      <c r="M154" s="340"/>
      <c r="N154" s="340"/>
      <c r="O154" s="340"/>
      <c r="P154" s="340"/>
      <c r="Q154" s="340"/>
      <c r="R154" s="340"/>
      <c r="S154" s="340"/>
      <c r="T154" s="340"/>
      <c r="U154" s="340"/>
      <c r="V154" s="319" t="str">
        <f>$AC$16</f>
        <v/>
      </c>
      <c r="W154" s="320"/>
      <c r="X154" s="320"/>
      <c r="Y154" s="320"/>
      <c r="Z154" s="129" t="s">
        <v>434</v>
      </c>
      <c r="AA154" s="308" t="s">
        <v>37</v>
      </c>
      <c r="AB154" s="308"/>
      <c r="AC154" s="308"/>
      <c r="AD154" s="308"/>
      <c r="AE154" s="308"/>
      <c r="AF154" s="309">
        <v>1</v>
      </c>
      <c r="AG154" s="309"/>
      <c r="AH154" s="309"/>
      <c r="AI154" s="309">
        <f>IF($B$8="","",1)</f>
        <v>1</v>
      </c>
      <c r="AJ154" s="309"/>
      <c r="AK154" s="310" t="e">
        <f>(V154/AF154)*AI154</f>
        <v>#VALUE!</v>
      </c>
      <c r="AL154" s="310"/>
      <c r="AM154" s="310"/>
      <c r="AN154" s="310"/>
      <c r="AO154" s="311"/>
      <c r="AP154" s="304">
        <v>9</v>
      </c>
      <c r="AQ154" s="305"/>
      <c r="AR154" s="305"/>
      <c r="AS154" s="305"/>
      <c r="AT154" s="329"/>
      <c r="AU154" s="330"/>
      <c r="AV154" s="331"/>
      <c r="AW154" s="113"/>
      <c r="AX154" s="113"/>
      <c r="AY154" s="113"/>
      <c r="AZ154" s="113"/>
      <c r="BA154" s="113"/>
    </row>
    <row r="155" spans="1:74" ht="14.85" customHeight="1" thickTop="1" thickBot="1">
      <c r="A155" s="109"/>
      <c r="B155" s="338" t="s">
        <v>433</v>
      </c>
      <c r="C155" s="339"/>
      <c r="D155" s="339"/>
      <c r="E155" s="339"/>
      <c r="F155" s="339"/>
      <c r="G155" s="340" t="s">
        <v>366</v>
      </c>
      <c r="H155" s="340" t="s">
        <v>366</v>
      </c>
      <c r="I155" s="340" t="s">
        <v>366</v>
      </c>
      <c r="J155" s="340" t="s">
        <v>366</v>
      </c>
      <c r="K155" s="340" t="s">
        <v>366</v>
      </c>
      <c r="L155" s="340" t="s">
        <v>366</v>
      </c>
      <c r="M155" s="340" t="s">
        <v>366</v>
      </c>
      <c r="N155" s="340" t="s">
        <v>366</v>
      </c>
      <c r="O155" s="340" t="s">
        <v>366</v>
      </c>
      <c r="P155" s="340" t="s">
        <v>366</v>
      </c>
      <c r="Q155" s="340" t="s">
        <v>366</v>
      </c>
      <c r="R155" s="340" t="s">
        <v>366</v>
      </c>
      <c r="S155" s="340" t="s">
        <v>366</v>
      </c>
      <c r="T155" s="340" t="s">
        <v>366</v>
      </c>
      <c r="U155" s="340" t="s">
        <v>366</v>
      </c>
      <c r="V155" s="357"/>
      <c r="W155" s="358"/>
      <c r="X155" s="358"/>
      <c r="Y155" s="358"/>
      <c r="Z155" s="130"/>
      <c r="AA155" s="359" t="s">
        <v>37</v>
      </c>
      <c r="AB155" s="359"/>
      <c r="AC155" s="359"/>
      <c r="AD155" s="359"/>
      <c r="AE155" s="360"/>
      <c r="AF155" s="349"/>
      <c r="AG155" s="350"/>
      <c r="AH155" s="350"/>
      <c r="AI155" s="350"/>
      <c r="AJ155" s="351"/>
      <c r="AK155" s="343" t="e">
        <f>SQRT(SUMSQ(AK143:AO154))</f>
        <v>#VALUE!</v>
      </c>
      <c r="AL155" s="344"/>
      <c r="AM155" s="344"/>
      <c r="AN155" s="344"/>
      <c r="AO155" s="344"/>
      <c r="AP155" s="322" t="e">
        <f>IF(V154&lt;0.000000001,"∞",(AK155^4/((AK154^4/AP154)+(AK153^4/AP153))))</f>
        <v>#VALUE!</v>
      </c>
      <c r="AQ155" s="323"/>
      <c r="AR155" s="323"/>
      <c r="AS155" s="323"/>
      <c r="AT155" s="329"/>
      <c r="AU155" s="330"/>
      <c r="AV155" s="331"/>
      <c r="AW155" s="113"/>
      <c r="AX155" s="113"/>
      <c r="AY155" s="113"/>
      <c r="AZ155" s="113"/>
      <c r="BA155" s="113"/>
    </row>
    <row r="156" spans="1:74" ht="14.85" customHeight="1" thickTop="1" thickBot="1">
      <c r="A156" s="109"/>
      <c r="B156" s="338" t="s">
        <v>368</v>
      </c>
      <c r="C156" s="339"/>
      <c r="D156" s="339"/>
      <c r="E156" s="339"/>
      <c r="F156" s="339"/>
      <c r="G156" s="340" t="s">
        <v>369</v>
      </c>
      <c r="H156" s="340" t="s">
        <v>369</v>
      </c>
      <c r="I156" s="340" t="s">
        <v>369</v>
      </c>
      <c r="J156" s="340" t="s">
        <v>369</v>
      </c>
      <c r="K156" s="340" t="s">
        <v>369</v>
      </c>
      <c r="L156" s="340" t="s">
        <v>369</v>
      </c>
      <c r="M156" s="340" t="s">
        <v>369</v>
      </c>
      <c r="N156" s="340" t="s">
        <v>369</v>
      </c>
      <c r="O156" s="340" t="s">
        <v>369</v>
      </c>
      <c r="P156" s="340" t="s">
        <v>369</v>
      </c>
      <c r="Q156" s="340" t="s">
        <v>369</v>
      </c>
      <c r="R156" s="340" t="s">
        <v>369</v>
      </c>
      <c r="S156" s="340" t="s">
        <v>369</v>
      </c>
      <c r="T156" s="340" t="s">
        <v>369</v>
      </c>
      <c r="U156" s="340" t="s">
        <v>369</v>
      </c>
      <c r="V156" s="341"/>
      <c r="W156" s="342"/>
      <c r="X156" s="342"/>
      <c r="Y156" s="342"/>
      <c r="Z156" s="131"/>
      <c r="AA156" s="345" t="s">
        <v>370</v>
      </c>
      <c r="AB156" s="346"/>
      <c r="AC156" s="347" t="e">
        <f>IF(AP155="∞",2,TINV(0.0455,AP155))</f>
        <v>#VALUE!</v>
      </c>
      <c r="AD156" s="348"/>
      <c r="AE156" s="348"/>
      <c r="AF156" s="352"/>
      <c r="AG156" s="353"/>
      <c r="AH156" s="353"/>
      <c r="AI156" s="353"/>
      <c r="AJ156" s="354"/>
      <c r="AK156" s="343" t="e">
        <f>AK155*AC156</f>
        <v>#VALUE!</v>
      </c>
      <c r="AL156" s="344"/>
      <c r="AM156" s="344"/>
      <c r="AN156" s="344"/>
      <c r="AO156" s="344"/>
      <c r="AP156" s="324" t="s">
        <v>367</v>
      </c>
      <c r="AQ156" s="325" t="s">
        <v>367</v>
      </c>
      <c r="AR156" s="325" t="s">
        <v>367</v>
      </c>
      <c r="AS156" s="325"/>
      <c r="AT156" s="332"/>
      <c r="AU156" s="333"/>
      <c r="AV156" s="334"/>
      <c r="AW156" s="113"/>
      <c r="AX156" s="113"/>
      <c r="AY156" s="113"/>
      <c r="AZ156" s="113"/>
      <c r="BA156" s="113"/>
    </row>
    <row r="157" spans="1:74" ht="14.85" customHeight="1" thickTop="1" thickBot="1">
      <c r="A157" s="109"/>
      <c r="B157" s="139"/>
      <c r="C157" s="139"/>
      <c r="D157" s="139"/>
      <c r="E157" s="139"/>
      <c r="F157" s="139"/>
      <c r="G157" s="121"/>
      <c r="H157" s="121"/>
      <c r="I157" s="121"/>
      <c r="J157" s="121"/>
      <c r="K157" s="121"/>
      <c r="L157" s="121"/>
      <c r="M157" s="121"/>
      <c r="N157" s="121"/>
      <c r="O157" s="121"/>
      <c r="P157" s="121"/>
      <c r="Q157" s="121"/>
      <c r="R157" s="121"/>
      <c r="S157" s="121"/>
      <c r="T157" s="121"/>
      <c r="U157" s="121"/>
      <c r="V157" s="113"/>
      <c r="W157" s="113"/>
      <c r="X157" s="113"/>
      <c r="Y157" s="113"/>
      <c r="Z157" s="123"/>
      <c r="AA157" s="124"/>
      <c r="AB157" s="124"/>
      <c r="AC157" s="374" t="s">
        <v>371</v>
      </c>
      <c r="AD157" s="375"/>
      <c r="AE157" s="369">
        <f>IF($J$5&lt;0,0.04,0.03)</f>
        <v>0.03</v>
      </c>
      <c r="AF157" s="369"/>
      <c r="AG157" s="370"/>
      <c r="AH157" s="371" t="s">
        <v>372</v>
      </c>
      <c r="AI157" s="369"/>
      <c r="AJ157" s="369"/>
      <c r="AK157" s="376" t="e">
        <f>IF(AK156&lt;AE157,AE157,ROUNDUP(AK156,3))</f>
        <v>#VALUE!</v>
      </c>
      <c r="AL157" s="376"/>
      <c r="AM157" s="376"/>
      <c r="AN157" s="376"/>
      <c r="AO157" s="377"/>
      <c r="AP157" s="124"/>
      <c r="AQ157" s="124"/>
      <c r="AR157" s="124"/>
      <c r="AS157" s="113"/>
      <c r="AT157" s="113"/>
      <c r="AU157" s="113"/>
      <c r="AV157" s="113"/>
      <c r="AW157" s="113"/>
      <c r="AX157" s="113"/>
      <c r="AY157" s="113"/>
      <c r="AZ157" s="113"/>
      <c r="BA157" s="113"/>
    </row>
    <row r="158" spans="1:74" ht="14.85" customHeight="1" thickTop="1">
      <c r="A158" s="109"/>
      <c r="B158" s="139"/>
      <c r="C158" s="139"/>
      <c r="D158" s="139"/>
      <c r="E158" s="139"/>
      <c r="F158" s="139"/>
      <c r="G158" s="121"/>
      <c r="H158" s="121"/>
      <c r="I158" s="121"/>
      <c r="J158" s="121"/>
      <c r="K158" s="121"/>
      <c r="L158" s="121"/>
      <c r="M158" s="121"/>
      <c r="N158" s="121"/>
      <c r="O158" s="121"/>
      <c r="P158" s="121"/>
      <c r="Q158" s="121"/>
      <c r="R158" s="121"/>
      <c r="S158" s="121"/>
      <c r="T158" s="121"/>
      <c r="U158" s="121"/>
      <c r="V158" s="113"/>
      <c r="W158" s="113"/>
      <c r="X158" s="113"/>
      <c r="Y158" s="113"/>
      <c r="Z158" s="123"/>
      <c r="AA158" s="124"/>
      <c r="AB158" s="124"/>
      <c r="AC158" s="124"/>
      <c r="AD158" s="124"/>
      <c r="AE158" s="124"/>
      <c r="AF158" s="125"/>
      <c r="AG158" s="125"/>
      <c r="AH158" s="125"/>
      <c r="AI158" s="125"/>
      <c r="AJ158" s="125"/>
      <c r="AK158" s="113"/>
      <c r="AL158" s="113"/>
      <c r="AM158" s="113"/>
      <c r="AN158" s="113"/>
      <c r="AO158" s="113"/>
      <c r="AP158" s="124"/>
      <c r="AQ158" s="124"/>
      <c r="AR158" s="124"/>
      <c r="AS158" s="113"/>
      <c r="AT158" s="113"/>
      <c r="AU158" s="113"/>
      <c r="AV158" s="113"/>
      <c r="AW158" s="113"/>
      <c r="AX158" s="113"/>
      <c r="AY158" s="113"/>
      <c r="AZ158" s="113"/>
      <c r="BA158" s="113"/>
    </row>
    <row r="159" spans="1:74" ht="14.85" customHeight="1">
      <c r="A159" s="101"/>
      <c r="B159" s="135"/>
      <c r="C159" s="135"/>
      <c r="D159" s="135"/>
      <c r="E159" s="135"/>
      <c r="F159" s="135"/>
      <c r="G159" s="135"/>
      <c r="H159" s="135"/>
      <c r="I159" s="136"/>
      <c r="J159" s="136"/>
      <c r="K159" s="136"/>
      <c r="L159" s="136"/>
      <c r="M159" s="136"/>
      <c r="N159" s="136"/>
      <c r="O159" s="136"/>
      <c r="P159" s="136"/>
      <c r="Q159" s="136"/>
      <c r="R159" s="136"/>
      <c r="S159" s="136"/>
      <c r="T159" s="136"/>
      <c r="U159" s="136"/>
      <c r="V159" s="136"/>
      <c r="W159" s="136"/>
      <c r="X159" s="136"/>
      <c r="Y159" s="136"/>
      <c r="Z159" s="136"/>
      <c r="AA159" s="136"/>
      <c r="AB159" s="136"/>
      <c r="AC159" s="136"/>
      <c r="AD159" s="136"/>
      <c r="AE159" s="136"/>
      <c r="AF159" s="136"/>
      <c r="AG159" s="136"/>
      <c r="AH159" s="136"/>
      <c r="AI159" s="136"/>
      <c r="AJ159" s="136"/>
      <c r="AK159" s="136"/>
      <c r="AL159" s="136"/>
      <c r="AM159" s="136"/>
      <c r="AS159" s="265" t="s">
        <v>5</v>
      </c>
      <c r="AT159" s="265"/>
      <c r="AU159" s="265"/>
      <c r="AV159" s="275">
        <f>AV120+1</f>
        <v>6</v>
      </c>
      <c r="AW159" s="275"/>
      <c r="AX159" s="94" t="s">
        <v>6</v>
      </c>
      <c r="AY159" s="275">
        <f>$AY$1</f>
        <v>1</v>
      </c>
      <c r="AZ159" s="275"/>
      <c r="BA159" s="101"/>
      <c r="BU159" s="112"/>
      <c r="BV159" s="112"/>
    </row>
    <row r="160" spans="1:74" ht="14.85" customHeight="1">
      <c r="A160" s="101"/>
      <c r="B160" s="135"/>
      <c r="C160" s="135"/>
      <c r="D160" s="135"/>
      <c r="E160" s="135"/>
      <c r="F160" s="135"/>
      <c r="G160" s="135"/>
      <c r="H160" s="135"/>
      <c r="I160" s="136"/>
      <c r="J160" s="136"/>
      <c r="K160" s="136"/>
      <c r="L160" s="136"/>
      <c r="M160" s="136"/>
      <c r="N160" s="136"/>
      <c r="O160" s="136"/>
      <c r="P160" s="136"/>
      <c r="Q160" s="136"/>
      <c r="R160" s="136"/>
      <c r="S160" s="136"/>
      <c r="T160" s="136"/>
      <c r="U160" s="136"/>
      <c r="V160" s="136"/>
      <c r="W160" s="136"/>
      <c r="X160" s="136"/>
      <c r="Y160" s="136"/>
      <c r="Z160" s="136"/>
      <c r="AA160" s="136"/>
      <c r="AB160" s="136"/>
      <c r="AC160" s="136"/>
      <c r="AD160" s="136"/>
      <c r="AE160" s="136"/>
      <c r="AF160" s="136"/>
      <c r="AG160" s="136"/>
      <c r="AH160" s="136"/>
      <c r="AI160" s="136"/>
      <c r="AJ160" s="136"/>
      <c r="AK160" s="136"/>
      <c r="AL160" s="136"/>
      <c r="AM160" s="136"/>
      <c r="AQ160" s="98"/>
      <c r="BA160" s="101"/>
      <c r="BU160" s="112"/>
      <c r="BV160" s="112"/>
    </row>
    <row r="161" spans="1:74" ht="14.25" customHeight="1" thickBot="1">
      <c r="A161" s="101"/>
      <c r="B161" s="91" t="s">
        <v>346</v>
      </c>
      <c r="C161" s="101"/>
      <c r="E161" s="101"/>
      <c r="H161" s="103"/>
      <c r="I161" s="137"/>
      <c r="J161" s="138"/>
      <c r="K161" s="138"/>
      <c r="L161" s="138"/>
      <c r="M161" s="137"/>
      <c r="N161" s="138"/>
      <c r="O161" s="138"/>
      <c r="P161" s="138"/>
      <c r="Q161" s="137"/>
      <c r="R161" s="138"/>
      <c r="S161" s="138"/>
      <c r="T161" s="138"/>
      <c r="U161" s="137"/>
      <c r="V161" s="138"/>
      <c r="W161" s="138"/>
      <c r="X161" s="138"/>
      <c r="Y161" s="137"/>
      <c r="Z161" s="138"/>
      <c r="AA161" s="138"/>
      <c r="AB161" s="138"/>
      <c r="AC161" s="137"/>
      <c r="AD161" s="138"/>
      <c r="AE161" s="138"/>
      <c r="AF161" s="138"/>
      <c r="AG161" s="137"/>
      <c r="AH161" s="138"/>
      <c r="AI161" s="138"/>
      <c r="AJ161" s="138"/>
      <c r="AK161" s="137"/>
      <c r="AL161" s="138"/>
      <c r="AM161" s="138"/>
      <c r="AN161" s="138"/>
      <c r="AO161" s="272" t="s">
        <v>7</v>
      </c>
      <c r="AP161" s="272"/>
      <c r="AQ161" s="272"/>
      <c r="AR161" s="272"/>
      <c r="AS161" s="272"/>
      <c r="AT161" s="272"/>
      <c r="AU161" s="272"/>
      <c r="AV161" s="179" t="str">
        <f>$AV$122</f>
        <v xml:space="preserve"> /69 </v>
      </c>
      <c r="AW161" s="179"/>
      <c r="AX161" s="179"/>
      <c r="AY161" s="179"/>
      <c r="AZ161" s="179"/>
      <c r="BA161" s="101"/>
      <c r="BU161" s="112"/>
      <c r="BV161" s="112"/>
    </row>
    <row r="162" spans="1:74" ht="14.85" customHeight="1" thickTop="1" thickBot="1">
      <c r="B162" s="355" t="s">
        <v>347</v>
      </c>
      <c r="C162" s="356"/>
      <c r="D162" s="356"/>
      <c r="E162" s="356"/>
      <c r="F162" s="356"/>
      <c r="G162" s="312" t="s">
        <v>348</v>
      </c>
      <c r="H162" s="312"/>
      <c r="I162" s="312"/>
      <c r="J162" s="312"/>
      <c r="K162" s="312"/>
      <c r="L162" s="312"/>
      <c r="M162" s="312"/>
      <c r="N162" s="312"/>
      <c r="O162" s="312"/>
      <c r="P162" s="312"/>
      <c r="Q162" s="312"/>
      <c r="R162" s="312"/>
      <c r="S162" s="312"/>
      <c r="T162" s="312"/>
      <c r="U162" s="312"/>
      <c r="V162" s="187" t="s">
        <v>417</v>
      </c>
      <c r="W162" s="187"/>
      <c r="X162" s="187"/>
      <c r="Y162" s="187"/>
      <c r="Z162" s="187"/>
      <c r="AA162" s="186" t="s">
        <v>418</v>
      </c>
      <c r="AB162" s="187"/>
      <c r="AC162" s="187"/>
      <c r="AD162" s="187"/>
      <c r="AE162" s="187"/>
      <c r="AF162" s="187" t="s">
        <v>349</v>
      </c>
      <c r="AG162" s="187"/>
      <c r="AH162" s="187"/>
      <c r="AI162" s="187" t="s">
        <v>350</v>
      </c>
      <c r="AJ162" s="187"/>
      <c r="AK162" s="186" t="s">
        <v>419</v>
      </c>
      <c r="AL162" s="187"/>
      <c r="AM162" s="187"/>
      <c r="AN162" s="187"/>
      <c r="AO162" s="187"/>
      <c r="AP162" s="361" t="s">
        <v>420</v>
      </c>
      <c r="AQ162" s="362"/>
      <c r="AR162" s="362"/>
      <c r="AS162" s="362"/>
      <c r="AT162" s="326" t="str">
        <f>IF(AG10="","","7")</f>
        <v/>
      </c>
      <c r="AU162" s="327"/>
      <c r="AV162" s="328"/>
      <c r="AW162" s="113"/>
      <c r="AX162" s="113"/>
      <c r="AY162" s="113"/>
      <c r="AZ162" s="113"/>
      <c r="BA162" s="113"/>
    </row>
    <row r="163" spans="1:74" ht="14.85" customHeight="1" thickTop="1" thickBot="1">
      <c r="A163" s="122"/>
      <c r="B163" s="355"/>
      <c r="C163" s="356"/>
      <c r="D163" s="356"/>
      <c r="E163" s="356"/>
      <c r="F163" s="356"/>
      <c r="G163" s="312"/>
      <c r="H163" s="312"/>
      <c r="I163" s="312"/>
      <c r="J163" s="312"/>
      <c r="K163" s="312"/>
      <c r="L163" s="312"/>
      <c r="M163" s="312"/>
      <c r="N163" s="312"/>
      <c r="O163" s="312"/>
      <c r="P163" s="312"/>
      <c r="Q163" s="312"/>
      <c r="R163" s="312"/>
      <c r="S163" s="312"/>
      <c r="T163" s="312"/>
      <c r="U163" s="312"/>
      <c r="V163" s="187"/>
      <c r="W163" s="187"/>
      <c r="X163" s="187"/>
      <c r="Y163" s="187"/>
      <c r="Z163" s="187"/>
      <c r="AA163" s="187"/>
      <c r="AB163" s="187"/>
      <c r="AC163" s="187"/>
      <c r="AD163" s="187"/>
      <c r="AE163" s="187"/>
      <c r="AF163" s="187"/>
      <c r="AG163" s="187"/>
      <c r="AH163" s="187"/>
      <c r="AI163" s="187"/>
      <c r="AJ163" s="187"/>
      <c r="AK163" s="187"/>
      <c r="AL163" s="187"/>
      <c r="AM163" s="187"/>
      <c r="AN163" s="187"/>
      <c r="AO163" s="187"/>
      <c r="AP163" s="363"/>
      <c r="AQ163" s="364"/>
      <c r="AR163" s="364"/>
      <c r="AS163" s="364"/>
      <c r="AT163" s="329"/>
      <c r="AU163" s="330"/>
      <c r="AV163" s="331"/>
      <c r="AW163" s="113"/>
      <c r="AX163" s="113"/>
      <c r="AY163" s="113"/>
      <c r="AZ163" s="113"/>
      <c r="BA163" s="113"/>
    </row>
    <row r="164" spans="1:74" ht="14.85" customHeight="1" thickTop="1">
      <c r="A164" s="109"/>
      <c r="B164" s="188" t="s">
        <v>421</v>
      </c>
      <c r="C164" s="189"/>
      <c r="D164" s="189"/>
      <c r="E164" s="189"/>
      <c r="F164" s="189"/>
      <c r="G164" s="321" t="s">
        <v>351</v>
      </c>
      <c r="H164" s="321"/>
      <c r="I164" s="321"/>
      <c r="J164" s="321"/>
      <c r="K164" s="321"/>
      <c r="L164" s="321"/>
      <c r="M164" s="321"/>
      <c r="N164" s="321"/>
      <c r="O164" s="321"/>
      <c r="P164" s="321"/>
      <c r="Q164" s="321"/>
      <c r="R164" s="321"/>
      <c r="S164" s="321"/>
      <c r="T164" s="321"/>
      <c r="U164" s="321"/>
      <c r="V164" s="367">
        <f>$V$47</f>
        <v>3.0000000000000001E-3</v>
      </c>
      <c r="W164" s="368"/>
      <c r="X164" s="368"/>
      <c r="Y164" s="368"/>
      <c r="Z164" s="127" t="s">
        <v>434</v>
      </c>
      <c r="AA164" s="192" t="s">
        <v>37</v>
      </c>
      <c r="AB164" s="192"/>
      <c r="AC164" s="192"/>
      <c r="AD164" s="192"/>
      <c r="AE164" s="192"/>
      <c r="AF164" s="289">
        <v>2</v>
      </c>
      <c r="AG164" s="289"/>
      <c r="AH164" s="289"/>
      <c r="AI164" s="289">
        <v>1</v>
      </c>
      <c r="AJ164" s="289"/>
      <c r="AK164" s="290">
        <f>(V164/AF164)*AI164</f>
        <v>1.5E-3</v>
      </c>
      <c r="AL164" s="290"/>
      <c r="AM164" s="290"/>
      <c r="AN164" s="290"/>
      <c r="AO164" s="291"/>
      <c r="AP164" s="365" t="str">
        <f t="shared" ref="AP164:AP173" si="87">IF($B$8="","","∞")</f>
        <v>∞</v>
      </c>
      <c r="AQ164" s="366"/>
      <c r="AR164" s="366"/>
      <c r="AS164" s="366"/>
      <c r="AT164" s="329"/>
      <c r="AU164" s="330"/>
      <c r="AV164" s="331"/>
      <c r="AW164" s="113"/>
      <c r="AX164" s="113"/>
      <c r="AY164" s="113"/>
      <c r="AZ164" s="113"/>
      <c r="BA164" s="113"/>
    </row>
    <row r="165" spans="1:74" ht="14.85" customHeight="1">
      <c r="A165" s="109"/>
      <c r="B165" s="190" t="s">
        <v>422</v>
      </c>
      <c r="C165" s="191"/>
      <c r="D165" s="191"/>
      <c r="E165" s="191"/>
      <c r="F165" s="191"/>
      <c r="G165" s="194" t="s">
        <v>352</v>
      </c>
      <c r="H165" s="194"/>
      <c r="I165" s="194"/>
      <c r="J165" s="194"/>
      <c r="K165" s="194"/>
      <c r="L165" s="194"/>
      <c r="M165" s="194"/>
      <c r="N165" s="194"/>
      <c r="O165" s="194"/>
      <c r="P165" s="194"/>
      <c r="Q165" s="194"/>
      <c r="R165" s="194"/>
      <c r="S165" s="194"/>
      <c r="T165" s="194"/>
      <c r="U165" s="194"/>
      <c r="V165" s="317">
        <f>$V$48</f>
        <v>1.6000000000000001E-3</v>
      </c>
      <c r="W165" s="318"/>
      <c r="X165" s="318"/>
      <c r="Y165" s="318"/>
      <c r="Z165" s="128" t="s">
        <v>353</v>
      </c>
      <c r="AA165" s="193" t="s">
        <v>354</v>
      </c>
      <c r="AB165" s="193"/>
      <c r="AC165" s="193"/>
      <c r="AD165" s="193"/>
      <c r="AE165" s="193"/>
      <c r="AF165" s="195" t="s">
        <v>355</v>
      </c>
      <c r="AG165" s="195"/>
      <c r="AH165" s="195"/>
      <c r="AI165" s="195">
        <v>10</v>
      </c>
      <c r="AJ165" s="195"/>
      <c r="AK165" s="196">
        <f>(V165/SQRT(3))*AI165</f>
        <v>9.2376043070340128E-3</v>
      </c>
      <c r="AL165" s="196"/>
      <c r="AM165" s="196"/>
      <c r="AN165" s="196"/>
      <c r="AO165" s="197"/>
      <c r="AP165" s="304" t="str">
        <f t="shared" si="87"/>
        <v>∞</v>
      </c>
      <c r="AQ165" s="305"/>
      <c r="AR165" s="305"/>
      <c r="AS165" s="305"/>
      <c r="AT165" s="329"/>
      <c r="AU165" s="330"/>
      <c r="AV165" s="331"/>
      <c r="AW165" s="113"/>
      <c r="AX165" s="113"/>
      <c r="AY165" s="113"/>
      <c r="AZ165" s="113"/>
      <c r="BA165" s="113"/>
    </row>
    <row r="166" spans="1:74" ht="14.85" customHeight="1">
      <c r="A166" s="109"/>
      <c r="B166" s="190" t="s">
        <v>423</v>
      </c>
      <c r="C166" s="191"/>
      <c r="D166" s="191"/>
      <c r="E166" s="191"/>
      <c r="F166" s="191"/>
      <c r="G166" s="194" t="s">
        <v>356</v>
      </c>
      <c r="H166" s="194"/>
      <c r="I166" s="194"/>
      <c r="J166" s="194"/>
      <c r="K166" s="194"/>
      <c r="L166" s="194"/>
      <c r="M166" s="194"/>
      <c r="N166" s="194"/>
      <c r="O166" s="194"/>
      <c r="P166" s="194"/>
      <c r="Q166" s="194"/>
      <c r="R166" s="194"/>
      <c r="S166" s="194"/>
      <c r="T166" s="194"/>
      <c r="U166" s="194"/>
      <c r="V166" s="317">
        <f>$V$49</f>
        <v>1E-3</v>
      </c>
      <c r="W166" s="318"/>
      <c r="X166" s="318"/>
      <c r="Y166" s="318"/>
      <c r="Z166" s="128" t="s">
        <v>353</v>
      </c>
      <c r="AA166" s="193" t="s">
        <v>354</v>
      </c>
      <c r="AB166" s="193"/>
      <c r="AC166" s="193"/>
      <c r="AD166" s="193"/>
      <c r="AE166" s="193"/>
      <c r="AF166" s="195">
        <v>2</v>
      </c>
      <c r="AG166" s="195"/>
      <c r="AH166" s="195"/>
      <c r="AI166" s="195">
        <v>10</v>
      </c>
      <c r="AJ166" s="195"/>
      <c r="AK166" s="196">
        <f>(V166/AF166)*AI166</f>
        <v>5.0000000000000001E-3</v>
      </c>
      <c r="AL166" s="196"/>
      <c r="AM166" s="196"/>
      <c r="AN166" s="196"/>
      <c r="AO166" s="197"/>
      <c r="AP166" s="304" t="str">
        <f t="shared" si="87"/>
        <v>∞</v>
      </c>
      <c r="AQ166" s="305"/>
      <c r="AR166" s="305"/>
      <c r="AS166" s="305"/>
      <c r="AT166" s="329"/>
      <c r="AU166" s="330"/>
      <c r="AV166" s="331"/>
      <c r="AW166" s="113"/>
      <c r="AX166" s="113"/>
      <c r="AY166" s="113"/>
      <c r="AZ166" s="113"/>
      <c r="BA166" s="113"/>
    </row>
    <row r="167" spans="1:74" ht="14.85" customHeight="1">
      <c r="A167" s="109"/>
      <c r="B167" s="190" t="s">
        <v>424</v>
      </c>
      <c r="C167" s="191"/>
      <c r="D167" s="191"/>
      <c r="E167" s="191"/>
      <c r="F167" s="191"/>
      <c r="G167" s="194" t="s">
        <v>357</v>
      </c>
      <c r="H167" s="194"/>
      <c r="I167" s="194"/>
      <c r="J167" s="194"/>
      <c r="K167" s="194"/>
      <c r="L167" s="194"/>
      <c r="M167" s="194"/>
      <c r="N167" s="194"/>
      <c r="O167" s="194"/>
      <c r="P167" s="194"/>
      <c r="Q167" s="194"/>
      <c r="R167" s="194"/>
      <c r="S167" s="194"/>
      <c r="T167" s="194"/>
      <c r="U167" s="194"/>
      <c r="V167" s="317">
        <f>$V$50</f>
        <v>1E-3</v>
      </c>
      <c r="W167" s="318"/>
      <c r="X167" s="318"/>
      <c r="Y167" s="318"/>
      <c r="Z167" s="128" t="s">
        <v>353</v>
      </c>
      <c r="AA167" s="193" t="s">
        <v>354</v>
      </c>
      <c r="AB167" s="193"/>
      <c r="AC167" s="193"/>
      <c r="AD167" s="193"/>
      <c r="AE167" s="193"/>
      <c r="AF167" s="195" t="s">
        <v>355</v>
      </c>
      <c r="AG167" s="195"/>
      <c r="AH167" s="195"/>
      <c r="AI167" s="195">
        <v>10</v>
      </c>
      <c r="AJ167" s="195"/>
      <c r="AK167" s="196">
        <f>(V167/SQRT(3))*AI167</f>
        <v>5.773502691896258E-3</v>
      </c>
      <c r="AL167" s="196"/>
      <c r="AM167" s="196"/>
      <c r="AN167" s="196"/>
      <c r="AO167" s="197"/>
      <c r="AP167" s="304" t="str">
        <f t="shared" si="87"/>
        <v>∞</v>
      </c>
      <c r="AQ167" s="305"/>
      <c r="AR167" s="305"/>
      <c r="AS167" s="305"/>
      <c r="AT167" s="329"/>
      <c r="AU167" s="330"/>
      <c r="AV167" s="331"/>
      <c r="AW167" s="113"/>
      <c r="AX167" s="113"/>
      <c r="AY167" s="113"/>
      <c r="AZ167" s="113"/>
      <c r="BA167" s="113"/>
    </row>
    <row r="168" spans="1:74" ht="14.85" customHeight="1">
      <c r="A168" s="109"/>
      <c r="B168" s="190" t="s">
        <v>425</v>
      </c>
      <c r="C168" s="191"/>
      <c r="D168" s="191"/>
      <c r="E168" s="191"/>
      <c r="F168" s="191"/>
      <c r="G168" s="194" t="s">
        <v>358</v>
      </c>
      <c r="H168" s="194"/>
      <c r="I168" s="194"/>
      <c r="J168" s="194"/>
      <c r="K168" s="194"/>
      <c r="L168" s="194"/>
      <c r="M168" s="194"/>
      <c r="N168" s="194"/>
      <c r="O168" s="194"/>
      <c r="P168" s="194"/>
      <c r="Q168" s="194"/>
      <c r="R168" s="194"/>
      <c r="S168" s="194"/>
      <c r="T168" s="194"/>
      <c r="U168" s="194"/>
      <c r="V168" s="317">
        <f>$V$51</f>
        <v>5.0000000000000002E-5</v>
      </c>
      <c r="W168" s="318"/>
      <c r="X168" s="318"/>
      <c r="Y168" s="318"/>
      <c r="Z168" s="128" t="s">
        <v>434</v>
      </c>
      <c r="AA168" s="193" t="s">
        <v>354</v>
      </c>
      <c r="AB168" s="193"/>
      <c r="AC168" s="193"/>
      <c r="AD168" s="193"/>
      <c r="AE168" s="193"/>
      <c r="AF168" s="195" t="s">
        <v>355</v>
      </c>
      <c r="AG168" s="195"/>
      <c r="AH168" s="195"/>
      <c r="AI168" s="195">
        <v>1</v>
      </c>
      <c r="AJ168" s="195"/>
      <c r="AK168" s="196">
        <f>(V168/SQRT(3))*AI168</f>
        <v>2.8867513459481293E-5</v>
      </c>
      <c r="AL168" s="196"/>
      <c r="AM168" s="196"/>
      <c r="AN168" s="196"/>
      <c r="AO168" s="197"/>
      <c r="AP168" s="304" t="str">
        <f t="shared" si="87"/>
        <v>∞</v>
      </c>
      <c r="AQ168" s="305"/>
      <c r="AR168" s="305"/>
      <c r="AS168" s="305"/>
      <c r="AT168" s="329"/>
      <c r="AU168" s="330"/>
      <c r="AV168" s="331"/>
      <c r="AW168" s="113"/>
      <c r="AX168" s="113"/>
      <c r="AY168" s="113"/>
      <c r="AZ168" s="113"/>
      <c r="BA168" s="113"/>
    </row>
    <row r="169" spans="1:74" ht="14.85" customHeight="1">
      <c r="A169" s="109"/>
      <c r="B169" s="190" t="s">
        <v>426</v>
      </c>
      <c r="C169" s="191"/>
      <c r="D169" s="191"/>
      <c r="E169" s="191"/>
      <c r="F169" s="191"/>
      <c r="G169" s="194" t="s">
        <v>359</v>
      </c>
      <c r="H169" s="194"/>
      <c r="I169" s="194"/>
      <c r="J169" s="194"/>
      <c r="K169" s="194"/>
      <c r="L169" s="194"/>
      <c r="M169" s="194"/>
      <c r="N169" s="194"/>
      <c r="O169" s="194"/>
      <c r="P169" s="194"/>
      <c r="Q169" s="194"/>
      <c r="R169" s="194"/>
      <c r="S169" s="194"/>
      <c r="T169" s="194"/>
      <c r="U169" s="194"/>
      <c r="V169" s="317">
        <f>$V$52</f>
        <v>0.01</v>
      </c>
      <c r="W169" s="318"/>
      <c r="X169" s="318"/>
      <c r="Y169" s="318"/>
      <c r="Z169" s="128" t="s">
        <v>434</v>
      </c>
      <c r="AA169" s="193" t="s">
        <v>354</v>
      </c>
      <c r="AB169" s="193"/>
      <c r="AC169" s="193"/>
      <c r="AD169" s="193"/>
      <c r="AE169" s="193"/>
      <c r="AF169" s="195" t="s">
        <v>355</v>
      </c>
      <c r="AG169" s="195"/>
      <c r="AH169" s="195"/>
      <c r="AI169" s="195">
        <v>1</v>
      </c>
      <c r="AJ169" s="195"/>
      <c r="AK169" s="196">
        <f>(V169/SQRT(3))*AI169</f>
        <v>5.773502691896258E-3</v>
      </c>
      <c r="AL169" s="196"/>
      <c r="AM169" s="196"/>
      <c r="AN169" s="196"/>
      <c r="AO169" s="197"/>
      <c r="AP169" s="304" t="str">
        <f t="shared" si="87"/>
        <v>∞</v>
      </c>
      <c r="AQ169" s="305"/>
      <c r="AR169" s="305"/>
      <c r="AS169" s="305"/>
      <c r="AT169" s="329"/>
      <c r="AU169" s="330"/>
      <c r="AV169" s="331"/>
      <c r="AW169" s="113"/>
      <c r="AX169" s="113"/>
      <c r="AY169" s="113"/>
      <c r="AZ169" s="113"/>
      <c r="BA169" s="113"/>
    </row>
    <row r="170" spans="1:74" ht="14.85" customHeight="1">
      <c r="A170" s="109"/>
      <c r="B170" s="190" t="s">
        <v>427</v>
      </c>
      <c r="C170" s="191"/>
      <c r="D170" s="191"/>
      <c r="E170" s="191"/>
      <c r="F170" s="191"/>
      <c r="G170" s="194" t="s">
        <v>360</v>
      </c>
      <c r="H170" s="194"/>
      <c r="I170" s="194"/>
      <c r="J170" s="194"/>
      <c r="K170" s="194"/>
      <c r="L170" s="194"/>
      <c r="M170" s="194"/>
      <c r="N170" s="194"/>
      <c r="O170" s="194"/>
      <c r="P170" s="194"/>
      <c r="Q170" s="194"/>
      <c r="R170" s="194"/>
      <c r="S170" s="194"/>
      <c r="T170" s="194"/>
      <c r="U170" s="194"/>
      <c r="V170" s="317">
        <f>$V$53</f>
        <v>0.01</v>
      </c>
      <c r="W170" s="318"/>
      <c r="X170" s="318"/>
      <c r="Y170" s="318"/>
      <c r="Z170" s="128" t="s">
        <v>434</v>
      </c>
      <c r="AA170" s="193" t="s">
        <v>354</v>
      </c>
      <c r="AB170" s="193"/>
      <c r="AC170" s="193"/>
      <c r="AD170" s="193"/>
      <c r="AE170" s="193"/>
      <c r="AF170" s="195" t="s">
        <v>355</v>
      </c>
      <c r="AG170" s="195"/>
      <c r="AH170" s="195"/>
      <c r="AI170" s="195">
        <v>1</v>
      </c>
      <c r="AJ170" s="195"/>
      <c r="AK170" s="196">
        <f t="shared" ref="AK170:AK172" si="88">(V170/SQRT(3))*AI170</f>
        <v>5.773502691896258E-3</v>
      </c>
      <c r="AL170" s="196"/>
      <c r="AM170" s="196"/>
      <c r="AN170" s="196"/>
      <c r="AO170" s="197"/>
      <c r="AP170" s="304" t="str">
        <f t="shared" si="87"/>
        <v>∞</v>
      </c>
      <c r="AQ170" s="305"/>
      <c r="AR170" s="305"/>
      <c r="AS170" s="305"/>
      <c r="AT170" s="329"/>
      <c r="AU170" s="330"/>
      <c r="AV170" s="331"/>
      <c r="AW170" s="113"/>
      <c r="AX170" s="113"/>
      <c r="AY170" s="113"/>
      <c r="AZ170" s="113"/>
      <c r="BA170" s="113"/>
    </row>
    <row r="171" spans="1:74" ht="14.85" customHeight="1">
      <c r="A171" s="109"/>
      <c r="B171" s="190" t="s">
        <v>428</v>
      </c>
      <c r="C171" s="191"/>
      <c r="D171" s="191"/>
      <c r="E171" s="191"/>
      <c r="F171" s="191"/>
      <c r="G171" s="194" t="s">
        <v>361</v>
      </c>
      <c r="H171" s="194"/>
      <c r="I171" s="194"/>
      <c r="J171" s="194"/>
      <c r="K171" s="194"/>
      <c r="L171" s="194"/>
      <c r="M171" s="194"/>
      <c r="N171" s="194"/>
      <c r="O171" s="194"/>
      <c r="P171" s="194"/>
      <c r="Q171" s="194"/>
      <c r="R171" s="194"/>
      <c r="S171" s="194"/>
      <c r="T171" s="194"/>
      <c r="U171" s="194"/>
      <c r="V171" s="317">
        <f>$AB$3/2</f>
        <v>0</v>
      </c>
      <c r="W171" s="318"/>
      <c r="X171" s="318"/>
      <c r="Y171" s="318"/>
      <c r="Z171" s="128" t="s">
        <v>434</v>
      </c>
      <c r="AA171" s="193" t="s">
        <v>354</v>
      </c>
      <c r="AB171" s="193"/>
      <c r="AC171" s="193"/>
      <c r="AD171" s="193"/>
      <c r="AE171" s="193"/>
      <c r="AF171" s="195" t="s">
        <v>355</v>
      </c>
      <c r="AG171" s="195"/>
      <c r="AH171" s="195"/>
      <c r="AI171" s="195">
        <v>1</v>
      </c>
      <c r="AJ171" s="195"/>
      <c r="AK171" s="196">
        <f t="shared" si="88"/>
        <v>0</v>
      </c>
      <c r="AL171" s="196"/>
      <c r="AM171" s="196"/>
      <c r="AN171" s="196"/>
      <c r="AO171" s="197"/>
      <c r="AP171" s="304" t="str">
        <f t="shared" si="87"/>
        <v>∞</v>
      </c>
      <c r="AQ171" s="305"/>
      <c r="AR171" s="305"/>
      <c r="AS171" s="305"/>
      <c r="AT171" s="329"/>
      <c r="AU171" s="330"/>
      <c r="AV171" s="331"/>
      <c r="AW171" s="113"/>
      <c r="AX171" s="113"/>
      <c r="AY171" s="113"/>
      <c r="AZ171" s="113"/>
      <c r="BA171" s="113"/>
    </row>
    <row r="172" spans="1:74" ht="14.85" customHeight="1">
      <c r="A172" s="109"/>
      <c r="B172" s="190" t="s">
        <v>429</v>
      </c>
      <c r="C172" s="191"/>
      <c r="D172" s="191"/>
      <c r="E172" s="191"/>
      <c r="F172" s="191"/>
      <c r="G172" s="194" t="s">
        <v>362</v>
      </c>
      <c r="H172" s="194"/>
      <c r="I172" s="194"/>
      <c r="J172" s="194"/>
      <c r="K172" s="194"/>
      <c r="L172" s="194"/>
      <c r="M172" s="194"/>
      <c r="N172" s="194"/>
      <c r="O172" s="194"/>
      <c r="P172" s="194"/>
      <c r="Q172" s="194"/>
      <c r="R172" s="194"/>
      <c r="S172" s="194"/>
      <c r="T172" s="194"/>
      <c r="U172" s="194"/>
      <c r="V172" s="317" t="str">
        <f>$AG$31</f>
        <v/>
      </c>
      <c r="W172" s="318"/>
      <c r="X172" s="318"/>
      <c r="Y172" s="318"/>
      <c r="Z172" s="128" t="s">
        <v>434</v>
      </c>
      <c r="AA172" s="193" t="s">
        <v>354</v>
      </c>
      <c r="AB172" s="193"/>
      <c r="AC172" s="193"/>
      <c r="AD172" s="193"/>
      <c r="AE172" s="193"/>
      <c r="AF172" s="195" t="s">
        <v>355</v>
      </c>
      <c r="AG172" s="195"/>
      <c r="AH172" s="195"/>
      <c r="AI172" s="195">
        <v>1</v>
      </c>
      <c r="AJ172" s="195"/>
      <c r="AK172" s="196" t="e">
        <f t="shared" si="88"/>
        <v>#VALUE!</v>
      </c>
      <c r="AL172" s="196"/>
      <c r="AM172" s="196"/>
      <c r="AN172" s="196"/>
      <c r="AO172" s="197"/>
      <c r="AP172" s="304" t="str">
        <f t="shared" si="87"/>
        <v>∞</v>
      </c>
      <c r="AQ172" s="305"/>
      <c r="AR172" s="305"/>
      <c r="AS172" s="305"/>
      <c r="AT172" s="329"/>
      <c r="AU172" s="330"/>
      <c r="AV172" s="331"/>
      <c r="AW172" s="113"/>
      <c r="AX172" s="113"/>
      <c r="AY172" s="113"/>
      <c r="AZ172" s="113"/>
      <c r="BA172" s="113"/>
    </row>
    <row r="173" spans="1:74" ht="14.85" customHeight="1">
      <c r="A173" s="109"/>
      <c r="B173" s="190" t="s">
        <v>430</v>
      </c>
      <c r="C173" s="191"/>
      <c r="D173" s="191"/>
      <c r="E173" s="191"/>
      <c r="F173" s="191"/>
      <c r="G173" s="194" t="s">
        <v>363</v>
      </c>
      <c r="H173" s="194"/>
      <c r="I173" s="194"/>
      <c r="J173" s="194"/>
      <c r="K173" s="194"/>
      <c r="L173" s="194"/>
      <c r="M173" s="194"/>
      <c r="N173" s="194"/>
      <c r="O173" s="194"/>
      <c r="P173" s="194"/>
      <c r="Q173" s="194"/>
      <c r="R173" s="194"/>
      <c r="S173" s="194"/>
      <c r="T173" s="194"/>
      <c r="U173" s="194"/>
      <c r="V173" s="317">
        <v>0</v>
      </c>
      <c r="W173" s="318"/>
      <c r="X173" s="318"/>
      <c r="Y173" s="318"/>
      <c r="Z173" s="128" t="s">
        <v>434</v>
      </c>
      <c r="AA173" s="193" t="s">
        <v>354</v>
      </c>
      <c r="AB173" s="193"/>
      <c r="AC173" s="193"/>
      <c r="AD173" s="193"/>
      <c r="AE173" s="193"/>
      <c r="AF173" s="195" t="s">
        <v>355</v>
      </c>
      <c r="AG173" s="195"/>
      <c r="AH173" s="195"/>
      <c r="AI173" s="195">
        <v>1</v>
      </c>
      <c r="AJ173" s="195"/>
      <c r="AK173" s="196">
        <f>(V173/SQRT(3))*AI173</f>
        <v>0</v>
      </c>
      <c r="AL173" s="196"/>
      <c r="AM173" s="196"/>
      <c r="AN173" s="196"/>
      <c r="AO173" s="197"/>
      <c r="AP173" s="304" t="str">
        <f t="shared" si="87"/>
        <v>∞</v>
      </c>
      <c r="AQ173" s="305"/>
      <c r="AR173" s="305"/>
      <c r="AS173" s="305"/>
      <c r="AT173" s="329"/>
      <c r="AU173" s="330"/>
      <c r="AV173" s="331"/>
      <c r="AW173" s="113"/>
      <c r="AX173" s="113"/>
      <c r="AY173" s="113"/>
      <c r="AZ173" s="113"/>
      <c r="BA173" s="113"/>
    </row>
    <row r="174" spans="1:74" ht="14.85" customHeight="1">
      <c r="A174" s="109"/>
      <c r="B174" s="190" t="s">
        <v>431</v>
      </c>
      <c r="C174" s="191"/>
      <c r="D174" s="191"/>
      <c r="E174" s="191"/>
      <c r="F174" s="191"/>
      <c r="G174" s="194" t="s">
        <v>364</v>
      </c>
      <c r="H174" s="194"/>
      <c r="I174" s="194"/>
      <c r="J174" s="194"/>
      <c r="K174" s="194"/>
      <c r="L174" s="194"/>
      <c r="M174" s="194"/>
      <c r="N174" s="194"/>
      <c r="O174" s="194"/>
      <c r="P174" s="194"/>
      <c r="Q174" s="194"/>
      <c r="R174" s="194"/>
      <c r="S174" s="194"/>
      <c r="T174" s="194"/>
      <c r="U174" s="194"/>
      <c r="V174" s="317" t="str">
        <f>$E$16</f>
        <v/>
      </c>
      <c r="W174" s="318"/>
      <c r="X174" s="318"/>
      <c r="Y174" s="318"/>
      <c r="Z174" s="128" t="s">
        <v>434</v>
      </c>
      <c r="AA174" s="193" t="s">
        <v>37</v>
      </c>
      <c r="AB174" s="193"/>
      <c r="AC174" s="193"/>
      <c r="AD174" s="193"/>
      <c r="AE174" s="193"/>
      <c r="AF174" s="195">
        <v>1</v>
      </c>
      <c r="AG174" s="195"/>
      <c r="AH174" s="195"/>
      <c r="AI174" s="195">
        <f>IF($B$8="","",1)</f>
        <v>1</v>
      </c>
      <c r="AJ174" s="195"/>
      <c r="AK174" s="196" t="e">
        <f t="shared" ref="AK174" si="89">(V174/AF174)*AI174</f>
        <v>#VALUE!</v>
      </c>
      <c r="AL174" s="196"/>
      <c r="AM174" s="196"/>
      <c r="AN174" s="196"/>
      <c r="AO174" s="197"/>
      <c r="AP174" s="304">
        <v>9</v>
      </c>
      <c r="AQ174" s="305"/>
      <c r="AR174" s="305"/>
      <c r="AS174" s="305"/>
      <c r="AT174" s="329"/>
      <c r="AU174" s="330"/>
      <c r="AV174" s="331"/>
      <c r="AW174" s="113"/>
      <c r="AX174" s="113"/>
      <c r="AY174" s="113"/>
      <c r="AZ174" s="113"/>
      <c r="BA174" s="113"/>
    </row>
    <row r="175" spans="1:74" ht="14.85" customHeight="1" thickBot="1">
      <c r="A175" s="109"/>
      <c r="B175" s="306" t="s">
        <v>432</v>
      </c>
      <c r="C175" s="307"/>
      <c r="D175" s="307"/>
      <c r="E175" s="307"/>
      <c r="F175" s="307"/>
      <c r="G175" s="340" t="s">
        <v>365</v>
      </c>
      <c r="H175" s="340"/>
      <c r="I175" s="340"/>
      <c r="J175" s="340"/>
      <c r="K175" s="340"/>
      <c r="L175" s="340"/>
      <c r="M175" s="340"/>
      <c r="N175" s="340"/>
      <c r="O175" s="340"/>
      <c r="P175" s="340"/>
      <c r="Q175" s="340"/>
      <c r="R175" s="340"/>
      <c r="S175" s="340"/>
      <c r="T175" s="340"/>
      <c r="U175" s="340"/>
      <c r="V175" s="319" t="str">
        <f>$AG$16</f>
        <v/>
      </c>
      <c r="W175" s="320"/>
      <c r="X175" s="320"/>
      <c r="Y175" s="320"/>
      <c r="Z175" s="129" t="s">
        <v>434</v>
      </c>
      <c r="AA175" s="308" t="s">
        <v>37</v>
      </c>
      <c r="AB175" s="308"/>
      <c r="AC175" s="308"/>
      <c r="AD175" s="308"/>
      <c r="AE175" s="308"/>
      <c r="AF175" s="309">
        <v>1</v>
      </c>
      <c r="AG175" s="309"/>
      <c r="AH175" s="309"/>
      <c r="AI175" s="309">
        <f>IF($B$8="","",1)</f>
        <v>1</v>
      </c>
      <c r="AJ175" s="309"/>
      <c r="AK175" s="310" t="e">
        <f>(V175/AF175)*AI175</f>
        <v>#VALUE!</v>
      </c>
      <c r="AL175" s="310"/>
      <c r="AM175" s="310"/>
      <c r="AN175" s="310"/>
      <c r="AO175" s="311"/>
      <c r="AP175" s="304">
        <v>9</v>
      </c>
      <c r="AQ175" s="305"/>
      <c r="AR175" s="305"/>
      <c r="AS175" s="305"/>
      <c r="AT175" s="329"/>
      <c r="AU175" s="330"/>
      <c r="AV175" s="331"/>
      <c r="AW175" s="113"/>
      <c r="AX175" s="113"/>
      <c r="AY175" s="113"/>
      <c r="AZ175" s="113"/>
      <c r="BA175" s="113"/>
    </row>
    <row r="176" spans="1:74" ht="14.85" customHeight="1" thickTop="1" thickBot="1">
      <c r="A176" s="109"/>
      <c r="B176" s="338" t="s">
        <v>433</v>
      </c>
      <c r="C176" s="339"/>
      <c r="D176" s="339"/>
      <c r="E176" s="339"/>
      <c r="F176" s="339"/>
      <c r="G176" s="340" t="s">
        <v>366</v>
      </c>
      <c r="H176" s="340" t="s">
        <v>366</v>
      </c>
      <c r="I176" s="340" t="s">
        <v>366</v>
      </c>
      <c r="J176" s="340" t="s">
        <v>366</v>
      </c>
      <c r="K176" s="340" t="s">
        <v>366</v>
      </c>
      <c r="L176" s="340" t="s">
        <v>366</v>
      </c>
      <c r="M176" s="340" t="s">
        <v>366</v>
      </c>
      <c r="N176" s="340" t="s">
        <v>366</v>
      </c>
      <c r="O176" s="340" t="s">
        <v>366</v>
      </c>
      <c r="P176" s="340" t="s">
        <v>366</v>
      </c>
      <c r="Q176" s="340" t="s">
        <v>366</v>
      </c>
      <c r="R176" s="340" t="s">
        <v>366</v>
      </c>
      <c r="S176" s="340" t="s">
        <v>366</v>
      </c>
      <c r="T176" s="340" t="s">
        <v>366</v>
      </c>
      <c r="U176" s="340" t="s">
        <v>366</v>
      </c>
      <c r="V176" s="357"/>
      <c r="W176" s="358"/>
      <c r="X176" s="358"/>
      <c r="Y176" s="358"/>
      <c r="Z176" s="130"/>
      <c r="AA176" s="359" t="s">
        <v>37</v>
      </c>
      <c r="AB176" s="359"/>
      <c r="AC176" s="359"/>
      <c r="AD176" s="359"/>
      <c r="AE176" s="360"/>
      <c r="AF176" s="349"/>
      <c r="AG176" s="350"/>
      <c r="AH176" s="350"/>
      <c r="AI176" s="350"/>
      <c r="AJ176" s="351"/>
      <c r="AK176" s="343" t="e">
        <f>SQRT(SUMSQ(AK164:AO175))</f>
        <v>#VALUE!</v>
      </c>
      <c r="AL176" s="344"/>
      <c r="AM176" s="344"/>
      <c r="AN176" s="344"/>
      <c r="AO176" s="344"/>
      <c r="AP176" s="322" t="e">
        <f>IF(V175&lt;0.000000001,"∞",(AK176^4/((AK175^4/AP175)+(AK174^4/AP174))))</f>
        <v>#VALUE!</v>
      </c>
      <c r="AQ176" s="323"/>
      <c r="AR176" s="323"/>
      <c r="AS176" s="323"/>
      <c r="AT176" s="329"/>
      <c r="AU176" s="330"/>
      <c r="AV176" s="331"/>
      <c r="AW176" s="113"/>
      <c r="AX176" s="113"/>
      <c r="AY176" s="113"/>
      <c r="AZ176" s="113"/>
      <c r="BA176" s="113"/>
    </row>
    <row r="177" spans="1:53" ht="14.85" customHeight="1" thickTop="1" thickBot="1">
      <c r="A177" s="109"/>
      <c r="B177" s="338" t="s">
        <v>368</v>
      </c>
      <c r="C177" s="339"/>
      <c r="D177" s="339"/>
      <c r="E177" s="339"/>
      <c r="F177" s="339"/>
      <c r="G177" s="340" t="s">
        <v>369</v>
      </c>
      <c r="H177" s="340" t="s">
        <v>369</v>
      </c>
      <c r="I177" s="340" t="s">
        <v>369</v>
      </c>
      <c r="J177" s="340" t="s">
        <v>369</v>
      </c>
      <c r="K177" s="340" t="s">
        <v>369</v>
      </c>
      <c r="L177" s="340" t="s">
        <v>369</v>
      </c>
      <c r="M177" s="340" t="s">
        <v>369</v>
      </c>
      <c r="N177" s="340" t="s">
        <v>369</v>
      </c>
      <c r="O177" s="340" t="s">
        <v>369</v>
      </c>
      <c r="P177" s="340" t="s">
        <v>369</v>
      </c>
      <c r="Q177" s="340" t="s">
        <v>369</v>
      </c>
      <c r="R177" s="340" t="s">
        <v>369</v>
      </c>
      <c r="S177" s="340" t="s">
        <v>369</v>
      </c>
      <c r="T177" s="340" t="s">
        <v>369</v>
      </c>
      <c r="U177" s="340" t="s">
        <v>369</v>
      </c>
      <c r="V177" s="341"/>
      <c r="W177" s="342"/>
      <c r="X177" s="342"/>
      <c r="Y177" s="342"/>
      <c r="Z177" s="131"/>
      <c r="AA177" s="345" t="s">
        <v>370</v>
      </c>
      <c r="AB177" s="346"/>
      <c r="AC177" s="347" t="e">
        <f>IF(AP176="∞",2,TINV(0.0455,AP176))</f>
        <v>#VALUE!</v>
      </c>
      <c r="AD177" s="348"/>
      <c r="AE177" s="348"/>
      <c r="AF177" s="352"/>
      <c r="AG177" s="353"/>
      <c r="AH177" s="353"/>
      <c r="AI177" s="353"/>
      <c r="AJ177" s="354"/>
      <c r="AK177" s="343" t="e">
        <f>AK176*AC177</f>
        <v>#VALUE!</v>
      </c>
      <c r="AL177" s="344"/>
      <c r="AM177" s="344"/>
      <c r="AN177" s="344"/>
      <c r="AO177" s="344"/>
      <c r="AP177" s="324" t="s">
        <v>367</v>
      </c>
      <c r="AQ177" s="325" t="s">
        <v>367</v>
      </c>
      <c r="AR177" s="325" t="s">
        <v>367</v>
      </c>
      <c r="AS177" s="325"/>
      <c r="AT177" s="332"/>
      <c r="AU177" s="333"/>
      <c r="AV177" s="334"/>
      <c r="AW177" s="113"/>
      <c r="AX177" s="113"/>
      <c r="AY177" s="113"/>
      <c r="AZ177" s="113"/>
      <c r="BA177" s="113"/>
    </row>
    <row r="178" spans="1:53" ht="14.85" customHeight="1" thickTop="1" thickBot="1">
      <c r="A178" s="109"/>
      <c r="B178" s="139"/>
      <c r="C178" s="139"/>
      <c r="D178" s="139"/>
      <c r="E178" s="139"/>
      <c r="F178" s="139"/>
      <c r="G178" s="121"/>
      <c r="H178" s="121"/>
      <c r="I178" s="121"/>
      <c r="J178" s="121"/>
      <c r="K178" s="121"/>
      <c r="L178" s="121"/>
      <c r="M178" s="121"/>
      <c r="N178" s="121"/>
      <c r="O178" s="121"/>
      <c r="P178" s="121"/>
      <c r="Q178" s="121"/>
      <c r="R178" s="121"/>
      <c r="S178" s="121"/>
      <c r="T178" s="121"/>
      <c r="U178" s="121"/>
      <c r="V178" s="113"/>
      <c r="W178" s="113"/>
      <c r="X178" s="113"/>
      <c r="Y178" s="113"/>
      <c r="Z178" s="123"/>
      <c r="AA178" s="124"/>
      <c r="AB178" s="124"/>
      <c r="AC178" s="374" t="s">
        <v>371</v>
      </c>
      <c r="AD178" s="375"/>
      <c r="AE178" s="369">
        <f>IF($J$5&lt;0,0.04,0.03)</f>
        <v>0.03</v>
      </c>
      <c r="AF178" s="369"/>
      <c r="AG178" s="370"/>
      <c r="AH178" s="371" t="s">
        <v>372</v>
      </c>
      <c r="AI178" s="369"/>
      <c r="AJ178" s="369"/>
      <c r="AK178" s="376" t="e">
        <f>IF(AK177&lt;AE178,AE178,ROUNDUP(AK177,3))</f>
        <v>#VALUE!</v>
      </c>
      <c r="AL178" s="376"/>
      <c r="AM178" s="376"/>
      <c r="AN178" s="376"/>
      <c r="AO178" s="377"/>
      <c r="AP178" s="124"/>
      <c r="AQ178" s="124"/>
      <c r="AR178" s="124"/>
      <c r="AS178" s="113"/>
      <c r="AT178" s="113"/>
      <c r="AU178" s="113"/>
      <c r="AV178" s="113"/>
      <c r="AW178" s="113"/>
      <c r="AX178" s="113"/>
      <c r="AY178" s="113"/>
      <c r="AZ178" s="113"/>
      <c r="BA178" s="113"/>
    </row>
    <row r="179" spans="1:53" ht="14.85" customHeight="1" thickTop="1" thickBot="1">
      <c r="A179" s="109"/>
      <c r="B179" s="139"/>
      <c r="C179" s="139"/>
      <c r="D179" s="139"/>
      <c r="E179" s="139"/>
      <c r="F179" s="139"/>
      <c r="G179" s="121"/>
      <c r="H179" s="121"/>
      <c r="I179" s="121"/>
      <c r="J179" s="121"/>
      <c r="K179" s="121"/>
      <c r="L179" s="121"/>
      <c r="M179" s="121"/>
      <c r="N179" s="121"/>
      <c r="O179" s="121"/>
      <c r="P179" s="121"/>
      <c r="Q179" s="121"/>
      <c r="R179" s="121"/>
      <c r="S179" s="121"/>
      <c r="T179" s="121"/>
      <c r="U179" s="121"/>
      <c r="V179" s="113"/>
      <c r="W179" s="113"/>
      <c r="X179" s="113"/>
      <c r="Y179" s="113"/>
      <c r="Z179" s="123"/>
      <c r="AA179" s="124"/>
      <c r="AB179" s="124"/>
      <c r="AC179" s="124"/>
      <c r="AD179" s="124"/>
      <c r="AE179" s="124"/>
      <c r="AF179" s="125"/>
      <c r="AG179" s="125"/>
      <c r="AH179" s="125"/>
      <c r="AI179" s="125"/>
      <c r="AJ179" s="125"/>
      <c r="AK179" s="113"/>
      <c r="AL179" s="113"/>
      <c r="AM179" s="113"/>
      <c r="AN179" s="113"/>
      <c r="AO179" s="113"/>
      <c r="AP179" s="124"/>
      <c r="AQ179" s="124"/>
      <c r="AR179" s="124"/>
      <c r="AS179" s="113"/>
      <c r="AT179" s="113"/>
      <c r="AU179" s="113"/>
      <c r="AV179" s="113"/>
      <c r="AW179" s="113"/>
      <c r="AX179" s="113"/>
      <c r="AY179" s="113"/>
      <c r="AZ179" s="113"/>
      <c r="BA179" s="113"/>
    </row>
    <row r="180" spans="1:53" ht="14.85" customHeight="1" thickTop="1" thickBot="1">
      <c r="B180" s="355" t="s">
        <v>347</v>
      </c>
      <c r="C180" s="356"/>
      <c r="D180" s="356"/>
      <c r="E180" s="356"/>
      <c r="F180" s="356"/>
      <c r="G180" s="312" t="s">
        <v>348</v>
      </c>
      <c r="H180" s="312"/>
      <c r="I180" s="312"/>
      <c r="J180" s="312"/>
      <c r="K180" s="312"/>
      <c r="L180" s="312"/>
      <c r="M180" s="312"/>
      <c r="N180" s="312"/>
      <c r="O180" s="312"/>
      <c r="P180" s="312"/>
      <c r="Q180" s="312"/>
      <c r="R180" s="312"/>
      <c r="S180" s="312"/>
      <c r="T180" s="312"/>
      <c r="U180" s="312"/>
      <c r="V180" s="187" t="s">
        <v>417</v>
      </c>
      <c r="W180" s="187"/>
      <c r="X180" s="187"/>
      <c r="Y180" s="187"/>
      <c r="Z180" s="187"/>
      <c r="AA180" s="186" t="s">
        <v>418</v>
      </c>
      <c r="AB180" s="187"/>
      <c r="AC180" s="187"/>
      <c r="AD180" s="187"/>
      <c r="AE180" s="187"/>
      <c r="AF180" s="187" t="s">
        <v>349</v>
      </c>
      <c r="AG180" s="187"/>
      <c r="AH180" s="187"/>
      <c r="AI180" s="187" t="s">
        <v>350</v>
      </c>
      <c r="AJ180" s="187"/>
      <c r="AK180" s="186" t="s">
        <v>419</v>
      </c>
      <c r="AL180" s="187"/>
      <c r="AM180" s="187"/>
      <c r="AN180" s="187"/>
      <c r="AO180" s="187"/>
      <c r="AP180" s="361" t="s">
        <v>420</v>
      </c>
      <c r="AQ180" s="362"/>
      <c r="AR180" s="362"/>
      <c r="AS180" s="362"/>
      <c r="AT180" s="326" t="str">
        <f>IF(AK10="","","8")</f>
        <v/>
      </c>
      <c r="AU180" s="327"/>
      <c r="AV180" s="328"/>
      <c r="AW180" s="113"/>
      <c r="AX180" s="113"/>
      <c r="AY180" s="113"/>
      <c r="AZ180" s="113"/>
      <c r="BA180" s="113"/>
    </row>
    <row r="181" spans="1:53" ht="14.85" customHeight="1" thickTop="1" thickBot="1">
      <c r="A181" s="122"/>
      <c r="B181" s="355"/>
      <c r="C181" s="356"/>
      <c r="D181" s="356"/>
      <c r="E181" s="356"/>
      <c r="F181" s="356"/>
      <c r="G181" s="312"/>
      <c r="H181" s="312"/>
      <c r="I181" s="312"/>
      <c r="J181" s="312"/>
      <c r="K181" s="312"/>
      <c r="L181" s="312"/>
      <c r="M181" s="312"/>
      <c r="N181" s="312"/>
      <c r="O181" s="312"/>
      <c r="P181" s="312"/>
      <c r="Q181" s="312"/>
      <c r="R181" s="312"/>
      <c r="S181" s="312"/>
      <c r="T181" s="312"/>
      <c r="U181" s="312"/>
      <c r="V181" s="187"/>
      <c r="W181" s="187"/>
      <c r="X181" s="187"/>
      <c r="Y181" s="187"/>
      <c r="Z181" s="187"/>
      <c r="AA181" s="187"/>
      <c r="AB181" s="187"/>
      <c r="AC181" s="187"/>
      <c r="AD181" s="187"/>
      <c r="AE181" s="187"/>
      <c r="AF181" s="187"/>
      <c r="AG181" s="187"/>
      <c r="AH181" s="187"/>
      <c r="AI181" s="187"/>
      <c r="AJ181" s="187"/>
      <c r="AK181" s="187"/>
      <c r="AL181" s="187"/>
      <c r="AM181" s="187"/>
      <c r="AN181" s="187"/>
      <c r="AO181" s="187"/>
      <c r="AP181" s="363"/>
      <c r="AQ181" s="364"/>
      <c r="AR181" s="364"/>
      <c r="AS181" s="364"/>
      <c r="AT181" s="329"/>
      <c r="AU181" s="330"/>
      <c r="AV181" s="331"/>
      <c r="AW181" s="113"/>
      <c r="AX181" s="113"/>
      <c r="AY181" s="113"/>
      <c r="AZ181" s="113"/>
      <c r="BA181" s="113"/>
    </row>
    <row r="182" spans="1:53" ht="14.85" customHeight="1" thickTop="1">
      <c r="A182" s="109"/>
      <c r="B182" s="188" t="s">
        <v>421</v>
      </c>
      <c r="C182" s="189"/>
      <c r="D182" s="189"/>
      <c r="E182" s="189"/>
      <c r="F182" s="189"/>
      <c r="G182" s="321" t="s">
        <v>351</v>
      </c>
      <c r="H182" s="321"/>
      <c r="I182" s="321"/>
      <c r="J182" s="321"/>
      <c r="K182" s="321"/>
      <c r="L182" s="321"/>
      <c r="M182" s="321"/>
      <c r="N182" s="321"/>
      <c r="O182" s="321"/>
      <c r="P182" s="321"/>
      <c r="Q182" s="321"/>
      <c r="R182" s="321"/>
      <c r="S182" s="321"/>
      <c r="T182" s="321"/>
      <c r="U182" s="321"/>
      <c r="V182" s="367">
        <f>$V$47</f>
        <v>3.0000000000000001E-3</v>
      </c>
      <c r="W182" s="368"/>
      <c r="X182" s="368"/>
      <c r="Y182" s="368"/>
      <c r="Z182" s="127" t="s">
        <v>434</v>
      </c>
      <c r="AA182" s="192" t="s">
        <v>37</v>
      </c>
      <c r="AB182" s="192"/>
      <c r="AC182" s="192"/>
      <c r="AD182" s="192"/>
      <c r="AE182" s="192"/>
      <c r="AF182" s="289">
        <v>2</v>
      </c>
      <c r="AG182" s="289"/>
      <c r="AH182" s="289"/>
      <c r="AI182" s="289">
        <v>1</v>
      </c>
      <c r="AJ182" s="289"/>
      <c r="AK182" s="290">
        <f>(V182/AF182)*AI182</f>
        <v>1.5E-3</v>
      </c>
      <c r="AL182" s="290"/>
      <c r="AM182" s="290"/>
      <c r="AN182" s="290"/>
      <c r="AO182" s="291"/>
      <c r="AP182" s="365" t="str">
        <f t="shared" ref="AP182:AP191" si="90">IF($B$8="","","∞")</f>
        <v>∞</v>
      </c>
      <c r="AQ182" s="366"/>
      <c r="AR182" s="366"/>
      <c r="AS182" s="366"/>
      <c r="AT182" s="329"/>
      <c r="AU182" s="330"/>
      <c r="AV182" s="331"/>
      <c r="AW182" s="113"/>
      <c r="AX182" s="113"/>
      <c r="AY182" s="113"/>
      <c r="AZ182" s="113"/>
      <c r="BA182" s="113"/>
    </row>
    <row r="183" spans="1:53" ht="14.85" customHeight="1">
      <c r="A183" s="109"/>
      <c r="B183" s="190" t="s">
        <v>422</v>
      </c>
      <c r="C183" s="191"/>
      <c r="D183" s="191"/>
      <c r="E183" s="191"/>
      <c r="F183" s="191"/>
      <c r="G183" s="194" t="s">
        <v>352</v>
      </c>
      <c r="H183" s="194"/>
      <c r="I183" s="194"/>
      <c r="J183" s="194"/>
      <c r="K183" s="194"/>
      <c r="L183" s="194"/>
      <c r="M183" s="194"/>
      <c r="N183" s="194"/>
      <c r="O183" s="194"/>
      <c r="P183" s="194"/>
      <c r="Q183" s="194"/>
      <c r="R183" s="194"/>
      <c r="S183" s="194"/>
      <c r="T183" s="194"/>
      <c r="U183" s="194"/>
      <c r="V183" s="317">
        <f>$V$48</f>
        <v>1.6000000000000001E-3</v>
      </c>
      <c r="W183" s="318"/>
      <c r="X183" s="318"/>
      <c r="Y183" s="318"/>
      <c r="Z183" s="128" t="s">
        <v>353</v>
      </c>
      <c r="AA183" s="193" t="s">
        <v>354</v>
      </c>
      <c r="AB183" s="193"/>
      <c r="AC183" s="193"/>
      <c r="AD183" s="193"/>
      <c r="AE183" s="193"/>
      <c r="AF183" s="195" t="s">
        <v>355</v>
      </c>
      <c r="AG183" s="195"/>
      <c r="AH183" s="195"/>
      <c r="AI183" s="195">
        <v>10</v>
      </c>
      <c r="AJ183" s="195"/>
      <c r="AK183" s="196">
        <f>(V183/SQRT(3))*AI183</f>
        <v>9.2376043070340128E-3</v>
      </c>
      <c r="AL183" s="196"/>
      <c r="AM183" s="196"/>
      <c r="AN183" s="196"/>
      <c r="AO183" s="197"/>
      <c r="AP183" s="304" t="str">
        <f t="shared" si="90"/>
        <v>∞</v>
      </c>
      <c r="AQ183" s="305"/>
      <c r="AR183" s="305"/>
      <c r="AS183" s="305"/>
      <c r="AT183" s="329"/>
      <c r="AU183" s="330"/>
      <c r="AV183" s="331"/>
      <c r="AW183" s="113"/>
      <c r="AX183" s="113"/>
      <c r="AY183" s="113"/>
      <c r="AZ183" s="113"/>
      <c r="BA183" s="113"/>
    </row>
    <row r="184" spans="1:53" ht="14.85" customHeight="1">
      <c r="A184" s="109"/>
      <c r="B184" s="190" t="s">
        <v>423</v>
      </c>
      <c r="C184" s="191"/>
      <c r="D184" s="191"/>
      <c r="E184" s="191"/>
      <c r="F184" s="191"/>
      <c r="G184" s="194" t="s">
        <v>356</v>
      </c>
      <c r="H184" s="194"/>
      <c r="I184" s="194"/>
      <c r="J184" s="194"/>
      <c r="K184" s="194"/>
      <c r="L184" s="194"/>
      <c r="M184" s="194"/>
      <c r="N184" s="194"/>
      <c r="O184" s="194"/>
      <c r="P184" s="194"/>
      <c r="Q184" s="194"/>
      <c r="R184" s="194"/>
      <c r="S184" s="194"/>
      <c r="T184" s="194"/>
      <c r="U184" s="194"/>
      <c r="V184" s="317">
        <f>$V$49</f>
        <v>1E-3</v>
      </c>
      <c r="W184" s="318"/>
      <c r="X184" s="318"/>
      <c r="Y184" s="318"/>
      <c r="Z184" s="128" t="s">
        <v>353</v>
      </c>
      <c r="AA184" s="193" t="s">
        <v>354</v>
      </c>
      <c r="AB184" s="193"/>
      <c r="AC184" s="193"/>
      <c r="AD184" s="193"/>
      <c r="AE184" s="193"/>
      <c r="AF184" s="195">
        <v>2</v>
      </c>
      <c r="AG184" s="195"/>
      <c r="AH184" s="195"/>
      <c r="AI184" s="195">
        <v>10</v>
      </c>
      <c r="AJ184" s="195"/>
      <c r="AK184" s="196">
        <f>(V184/AF184)*AI184</f>
        <v>5.0000000000000001E-3</v>
      </c>
      <c r="AL184" s="196"/>
      <c r="AM184" s="196"/>
      <c r="AN184" s="196"/>
      <c r="AO184" s="197"/>
      <c r="AP184" s="304" t="str">
        <f t="shared" si="90"/>
        <v>∞</v>
      </c>
      <c r="AQ184" s="305"/>
      <c r="AR184" s="305"/>
      <c r="AS184" s="305"/>
      <c r="AT184" s="329"/>
      <c r="AU184" s="330"/>
      <c r="AV184" s="331"/>
      <c r="AW184" s="113"/>
      <c r="AX184" s="113"/>
      <c r="AY184" s="113"/>
      <c r="AZ184" s="113"/>
      <c r="BA184" s="113"/>
    </row>
    <row r="185" spans="1:53" ht="14.85" customHeight="1">
      <c r="A185" s="109"/>
      <c r="B185" s="190" t="s">
        <v>424</v>
      </c>
      <c r="C185" s="191"/>
      <c r="D185" s="191"/>
      <c r="E185" s="191"/>
      <c r="F185" s="191"/>
      <c r="G185" s="194" t="s">
        <v>357</v>
      </c>
      <c r="H185" s="194"/>
      <c r="I185" s="194"/>
      <c r="J185" s="194"/>
      <c r="K185" s="194"/>
      <c r="L185" s="194"/>
      <c r="M185" s="194"/>
      <c r="N185" s="194"/>
      <c r="O185" s="194"/>
      <c r="P185" s="194"/>
      <c r="Q185" s="194"/>
      <c r="R185" s="194"/>
      <c r="S185" s="194"/>
      <c r="T185" s="194"/>
      <c r="U185" s="194"/>
      <c r="V185" s="317">
        <f>$V$50</f>
        <v>1E-3</v>
      </c>
      <c r="W185" s="318"/>
      <c r="X185" s="318"/>
      <c r="Y185" s="318"/>
      <c r="Z185" s="128" t="s">
        <v>353</v>
      </c>
      <c r="AA185" s="193" t="s">
        <v>354</v>
      </c>
      <c r="AB185" s="193"/>
      <c r="AC185" s="193"/>
      <c r="AD185" s="193"/>
      <c r="AE185" s="193"/>
      <c r="AF185" s="195" t="s">
        <v>355</v>
      </c>
      <c r="AG185" s="195"/>
      <c r="AH185" s="195"/>
      <c r="AI185" s="195">
        <v>10</v>
      </c>
      <c r="AJ185" s="195"/>
      <c r="AK185" s="196">
        <f>(V185/SQRT(3))*AI185</f>
        <v>5.773502691896258E-3</v>
      </c>
      <c r="AL185" s="196"/>
      <c r="AM185" s="196"/>
      <c r="AN185" s="196"/>
      <c r="AO185" s="197"/>
      <c r="AP185" s="304" t="str">
        <f t="shared" si="90"/>
        <v>∞</v>
      </c>
      <c r="AQ185" s="305"/>
      <c r="AR185" s="305"/>
      <c r="AS185" s="305"/>
      <c r="AT185" s="329"/>
      <c r="AU185" s="330"/>
      <c r="AV185" s="331"/>
      <c r="AW185" s="113"/>
      <c r="AX185" s="113"/>
      <c r="AY185" s="113"/>
      <c r="AZ185" s="113"/>
      <c r="BA185" s="113"/>
    </row>
    <row r="186" spans="1:53" ht="14.85" customHeight="1">
      <c r="A186" s="109"/>
      <c r="B186" s="190" t="s">
        <v>425</v>
      </c>
      <c r="C186" s="191"/>
      <c r="D186" s="191"/>
      <c r="E186" s="191"/>
      <c r="F186" s="191"/>
      <c r="G186" s="194" t="s">
        <v>358</v>
      </c>
      <c r="H186" s="194"/>
      <c r="I186" s="194"/>
      <c r="J186" s="194"/>
      <c r="K186" s="194"/>
      <c r="L186" s="194"/>
      <c r="M186" s="194"/>
      <c r="N186" s="194"/>
      <c r="O186" s="194"/>
      <c r="P186" s="194"/>
      <c r="Q186" s="194"/>
      <c r="R186" s="194"/>
      <c r="S186" s="194"/>
      <c r="T186" s="194"/>
      <c r="U186" s="194"/>
      <c r="V186" s="317">
        <f>$V$51</f>
        <v>5.0000000000000002E-5</v>
      </c>
      <c r="W186" s="318"/>
      <c r="X186" s="318"/>
      <c r="Y186" s="318"/>
      <c r="Z186" s="128" t="s">
        <v>434</v>
      </c>
      <c r="AA186" s="193" t="s">
        <v>354</v>
      </c>
      <c r="AB186" s="193"/>
      <c r="AC186" s="193"/>
      <c r="AD186" s="193"/>
      <c r="AE186" s="193"/>
      <c r="AF186" s="195" t="s">
        <v>355</v>
      </c>
      <c r="AG186" s="195"/>
      <c r="AH186" s="195"/>
      <c r="AI186" s="195">
        <v>1</v>
      </c>
      <c r="AJ186" s="195"/>
      <c r="AK186" s="196">
        <f>(V186/SQRT(3))*AI186</f>
        <v>2.8867513459481293E-5</v>
      </c>
      <c r="AL186" s="196"/>
      <c r="AM186" s="196"/>
      <c r="AN186" s="196"/>
      <c r="AO186" s="197"/>
      <c r="AP186" s="304" t="str">
        <f t="shared" si="90"/>
        <v>∞</v>
      </c>
      <c r="AQ186" s="305"/>
      <c r="AR186" s="305"/>
      <c r="AS186" s="305"/>
      <c r="AT186" s="329"/>
      <c r="AU186" s="330"/>
      <c r="AV186" s="331"/>
      <c r="AW186" s="113"/>
      <c r="AX186" s="113"/>
      <c r="AY186" s="113"/>
      <c r="AZ186" s="113"/>
      <c r="BA186" s="113"/>
    </row>
    <row r="187" spans="1:53" ht="14.85" customHeight="1">
      <c r="A187" s="109"/>
      <c r="B187" s="190" t="s">
        <v>426</v>
      </c>
      <c r="C187" s="191"/>
      <c r="D187" s="191"/>
      <c r="E187" s="191"/>
      <c r="F187" s="191"/>
      <c r="G187" s="194" t="s">
        <v>359</v>
      </c>
      <c r="H187" s="194"/>
      <c r="I187" s="194"/>
      <c r="J187" s="194"/>
      <c r="K187" s="194"/>
      <c r="L187" s="194"/>
      <c r="M187" s="194"/>
      <c r="N187" s="194"/>
      <c r="O187" s="194"/>
      <c r="P187" s="194"/>
      <c r="Q187" s="194"/>
      <c r="R187" s="194"/>
      <c r="S187" s="194"/>
      <c r="T187" s="194"/>
      <c r="U187" s="194"/>
      <c r="V187" s="317">
        <f>$V$52</f>
        <v>0.01</v>
      </c>
      <c r="W187" s="318"/>
      <c r="X187" s="318"/>
      <c r="Y187" s="318"/>
      <c r="Z187" s="128" t="s">
        <v>434</v>
      </c>
      <c r="AA187" s="193" t="s">
        <v>354</v>
      </c>
      <c r="AB187" s="193"/>
      <c r="AC187" s="193"/>
      <c r="AD187" s="193"/>
      <c r="AE187" s="193"/>
      <c r="AF187" s="195" t="s">
        <v>355</v>
      </c>
      <c r="AG187" s="195"/>
      <c r="AH187" s="195"/>
      <c r="AI187" s="195">
        <v>1</v>
      </c>
      <c r="AJ187" s="195"/>
      <c r="AK187" s="196">
        <f>(V187/SQRT(3))*AI187</f>
        <v>5.773502691896258E-3</v>
      </c>
      <c r="AL187" s="196"/>
      <c r="AM187" s="196"/>
      <c r="AN187" s="196"/>
      <c r="AO187" s="197"/>
      <c r="AP187" s="304" t="str">
        <f t="shared" si="90"/>
        <v>∞</v>
      </c>
      <c r="AQ187" s="305"/>
      <c r="AR187" s="305"/>
      <c r="AS187" s="305"/>
      <c r="AT187" s="329"/>
      <c r="AU187" s="330"/>
      <c r="AV187" s="331"/>
      <c r="AW187" s="113"/>
      <c r="AX187" s="113"/>
      <c r="AY187" s="113"/>
      <c r="AZ187" s="113"/>
      <c r="BA187" s="113"/>
    </row>
    <row r="188" spans="1:53" ht="14.85" customHeight="1">
      <c r="A188" s="109"/>
      <c r="B188" s="190" t="s">
        <v>427</v>
      </c>
      <c r="C188" s="191"/>
      <c r="D188" s="191"/>
      <c r="E188" s="191"/>
      <c r="F188" s="191"/>
      <c r="G188" s="194" t="s">
        <v>360</v>
      </c>
      <c r="H188" s="194"/>
      <c r="I188" s="194"/>
      <c r="J188" s="194"/>
      <c r="K188" s="194"/>
      <c r="L188" s="194"/>
      <c r="M188" s="194"/>
      <c r="N188" s="194"/>
      <c r="O188" s="194"/>
      <c r="P188" s="194"/>
      <c r="Q188" s="194"/>
      <c r="R188" s="194"/>
      <c r="S188" s="194"/>
      <c r="T188" s="194"/>
      <c r="U188" s="194"/>
      <c r="V188" s="317">
        <f>$V$53</f>
        <v>0.01</v>
      </c>
      <c r="W188" s="318"/>
      <c r="X188" s="318"/>
      <c r="Y188" s="318"/>
      <c r="Z188" s="128" t="s">
        <v>434</v>
      </c>
      <c r="AA188" s="193" t="s">
        <v>354</v>
      </c>
      <c r="AB188" s="193"/>
      <c r="AC188" s="193"/>
      <c r="AD188" s="193"/>
      <c r="AE188" s="193"/>
      <c r="AF188" s="195" t="s">
        <v>355</v>
      </c>
      <c r="AG188" s="195"/>
      <c r="AH188" s="195"/>
      <c r="AI188" s="195">
        <v>1</v>
      </c>
      <c r="AJ188" s="195"/>
      <c r="AK188" s="196">
        <f t="shared" ref="AK188:AK190" si="91">(V188/SQRT(3))*AI188</f>
        <v>5.773502691896258E-3</v>
      </c>
      <c r="AL188" s="196"/>
      <c r="AM188" s="196"/>
      <c r="AN188" s="196"/>
      <c r="AO188" s="197"/>
      <c r="AP188" s="304" t="str">
        <f t="shared" si="90"/>
        <v>∞</v>
      </c>
      <c r="AQ188" s="305"/>
      <c r="AR188" s="305"/>
      <c r="AS188" s="305"/>
      <c r="AT188" s="329"/>
      <c r="AU188" s="330"/>
      <c r="AV188" s="331"/>
      <c r="AW188" s="113"/>
      <c r="AX188" s="113"/>
      <c r="AY188" s="113"/>
      <c r="AZ188" s="113"/>
      <c r="BA188" s="113"/>
    </row>
    <row r="189" spans="1:53" ht="14.85" customHeight="1">
      <c r="A189" s="109"/>
      <c r="B189" s="190" t="s">
        <v>428</v>
      </c>
      <c r="C189" s="191"/>
      <c r="D189" s="191"/>
      <c r="E189" s="191"/>
      <c r="F189" s="191"/>
      <c r="G189" s="194" t="s">
        <v>361</v>
      </c>
      <c r="H189" s="194"/>
      <c r="I189" s="194"/>
      <c r="J189" s="194"/>
      <c r="K189" s="194"/>
      <c r="L189" s="194"/>
      <c r="M189" s="194"/>
      <c r="N189" s="194"/>
      <c r="O189" s="194"/>
      <c r="P189" s="194"/>
      <c r="Q189" s="194"/>
      <c r="R189" s="194"/>
      <c r="S189" s="194"/>
      <c r="T189" s="194"/>
      <c r="U189" s="194"/>
      <c r="V189" s="317">
        <f>$AB$3/2</f>
        <v>0</v>
      </c>
      <c r="W189" s="318"/>
      <c r="X189" s="318"/>
      <c r="Y189" s="318"/>
      <c r="Z189" s="128" t="s">
        <v>434</v>
      </c>
      <c r="AA189" s="193" t="s">
        <v>354</v>
      </c>
      <c r="AB189" s="193"/>
      <c r="AC189" s="193"/>
      <c r="AD189" s="193"/>
      <c r="AE189" s="193"/>
      <c r="AF189" s="195" t="s">
        <v>355</v>
      </c>
      <c r="AG189" s="195"/>
      <c r="AH189" s="195"/>
      <c r="AI189" s="195">
        <v>1</v>
      </c>
      <c r="AJ189" s="195"/>
      <c r="AK189" s="196">
        <f t="shared" si="91"/>
        <v>0</v>
      </c>
      <c r="AL189" s="196"/>
      <c r="AM189" s="196"/>
      <c r="AN189" s="196"/>
      <c r="AO189" s="197"/>
      <c r="AP189" s="304" t="str">
        <f t="shared" si="90"/>
        <v>∞</v>
      </c>
      <c r="AQ189" s="305"/>
      <c r="AR189" s="305"/>
      <c r="AS189" s="305"/>
      <c r="AT189" s="329"/>
      <c r="AU189" s="330"/>
      <c r="AV189" s="331"/>
      <c r="AW189" s="113"/>
      <c r="AX189" s="113"/>
      <c r="AY189" s="113"/>
      <c r="AZ189" s="113"/>
      <c r="BA189" s="113"/>
    </row>
    <row r="190" spans="1:53" ht="14.85" customHeight="1">
      <c r="A190" s="109"/>
      <c r="B190" s="190" t="s">
        <v>429</v>
      </c>
      <c r="C190" s="191"/>
      <c r="D190" s="191"/>
      <c r="E190" s="191"/>
      <c r="F190" s="191"/>
      <c r="G190" s="194" t="s">
        <v>362</v>
      </c>
      <c r="H190" s="194"/>
      <c r="I190" s="194"/>
      <c r="J190" s="194"/>
      <c r="K190" s="194"/>
      <c r="L190" s="194"/>
      <c r="M190" s="194"/>
      <c r="N190" s="194"/>
      <c r="O190" s="194"/>
      <c r="P190" s="194"/>
      <c r="Q190" s="194"/>
      <c r="R190" s="194"/>
      <c r="S190" s="194"/>
      <c r="T190" s="194"/>
      <c r="U190" s="194"/>
      <c r="V190" s="317" t="str">
        <f>$AK$31</f>
        <v/>
      </c>
      <c r="W190" s="318"/>
      <c r="X190" s="318"/>
      <c r="Y190" s="318"/>
      <c r="Z190" s="128" t="s">
        <v>434</v>
      </c>
      <c r="AA190" s="193" t="s">
        <v>354</v>
      </c>
      <c r="AB190" s="193"/>
      <c r="AC190" s="193"/>
      <c r="AD190" s="193"/>
      <c r="AE190" s="193"/>
      <c r="AF190" s="195" t="s">
        <v>355</v>
      </c>
      <c r="AG190" s="195"/>
      <c r="AH190" s="195"/>
      <c r="AI190" s="195">
        <v>1</v>
      </c>
      <c r="AJ190" s="195"/>
      <c r="AK190" s="196" t="e">
        <f t="shared" si="91"/>
        <v>#VALUE!</v>
      </c>
      <c r="AL190" s="196"/>
      <c r="AM190" s="196"/>
      <c r="AN190" s="196"/>
      <c r="AO190" s="197"/>
      <c r="AP190" s="304" t="str">
        <f t="shared" si="90"/>
        <v>∞</v>
      </c>
      <c r="AQ190" s="305"/>
      <c r="AR190" s="305"/>
      <c r="AS190" s="305"/>
      <c r="AT190" s="329"/>
      <c r="AU190" s="330"/>
      <c r="AV190" s="331"/>
      <c r="AW190" s="113"/>
      <c r="AX190" s="113"/>
      <c r="AY190" s="113"/>
      <c r="AZ190" s="113"/>
      <c r="BA190" s="113"/>
    </row>
    <row r="191" spans="1:53" ht="14.85" customHeight="1">
      <c r="A191" s="109"/>
      <c r="B191" s="190" t="s">
        <v>430</v>
      </c>
      <c r="C191" s="191"/>
      <c r="D191" s="191"/>
      <c r="E191" s="191"/>
      <c r="F191" s="191"/>
      <c r="G191" s="194" t="s">
        <v>363</v>
      </c>
      <c r="H191" s="194"/>
      <c r="I191" s="194"/>
      <c r="J191" s="194"/>
      <c r="K191" s="194"/>
      <c r="L191" s="194"/>
      <c r="M191" s="194"/>
      <c r="N191" s="194"/>
      <c r="O191" s="194"/>
      <c r="P191" s="194"/>
      <c r="Q191" s="194"/>
      <c r="R191" s="194"/>
      <c r="S191" s="194"/>
      <c r="T191" s="194"/>
      <c r="U191" s="194"/>
      <c r="V191" s="317">
        <v>0</v>
      </c>
      <c r="W191" s="318"/>
      <c r="X191" s="318"/>
      <c r="Y191" s="318"/>
      <c r="Z191" s="128" t="s">
        <v>434</v>
      </c>
      <c r="AA191" s="193" t="s">
        <v>354</v>
      </c>
      <c r="AB191" s="193"/>
      <c r="AC191" s="193"/>
      <c r="AD191" s="193"/>
      <c r="AE191" s="193"/>
      <c r="AF191" s="195" t="s">
        <v>355</v>
      </c>
      <c r="AG191" s="195"/>
      <c r="AH191" s="195"/>
      <c r="AI191" s="195">
        <v>1</v>
      </c>
      <c r="AJ191" s="195"/>
      <c r="AK191" s="196">
        <f>(V191/SQRT(3))*AI191</f>
        <v>0</v>
      </c>
      <c r="AL191" s="196"/>
      <c r="AM191" s="196"/>
      <c r="AN191" s="196"/>
      <c r="AO191" s="197"/>
      <c r="AP191" s="304" t="str">
        <f t="shared" si="90"/>
        <v>∞</v>
      </c>
      <c r="AQ191" s="305"/>
      <c r="AR191" s="305"/>
      <c r="AS191" s="305"/>
      <c r="AT191" s="329"/>
      <c r="AU191" s="330"/>
      <c r="AV191" s="331"/>
      <c r="AW191" s="113"/>
      <c r="AX191" s="113"/>
      <c r="AY191" s="113"/>
      <c r="AZ191" s="113"/>
      <c r="BA191" s="113"/>
    </row>
    <row r="192" spans="1:53" ht="14.85" customHeight="1">
      <c r="A192" s="109"/>
      <c r="B192" s="190" t="s">
        <v>431</v>
      </c>
      <c r="C192" s="191"/>
      <c r="D192" s="191"/>
      <c r="E192" s="191"/>
      <c r="F192" s="191"/>
      <c r="G192" s="194" t="s">
        <v>364</v>
      </c>
      <c r="H192" s="194"/>
      <c r="I192" s="194"/>
      <c r="J192" s="194"/>
      <c r="K192" s="194"/>
      <c r="L192" s="194"/>
      <c r="M192" s="194"/>
      <c r="N192" s="194"/>
      <c r="O192" s="194"/>
      <c r="P192" s="194"/>
      <c r="Q192" s="194"/>
      <c r="R192" s="194"/>
      <c r="S192" s="194"/>
      <c r="T192" s="194"/>
      <c r="U192" s="194"/>
      <c r="V192" s="317" t="str">
        <f>$E$16</f>
        <v/>
      </c>
      <c r="W192" s="318"/>
      <c r="X192" s="318"/>
      <c r="Y192" s="318"/>
      <c r="Z192" s="128" t="s">
        <v>434</v>
      </c>
      <c r="AA192" s="193" t="s">
        <v>37</v>
      </c>
      <c r="AB192" s="193"/>
      <c r="AC192" s="193"/>
      <c r="AD192" s="193"/>
      <c r="AE192" s="193"/>
      <c r="AF192" s="195">
        <v>1</v>
      </c>
      <c r="AG192" s="195"/>
      <c r="AH192" s="195"/>
      <c r="AI192" s="195">
        <f>IF($B$8="","",1)</f>
        <v>1</v>
      </c>
      <c r="AJ192" s="195"/>
      <c r="AK192" s="196" t="e">
        <f t="shared" ref="AK192" si="92">(V192/AF192)*AI192</f>
        <v>#VALUE!</v>
      </c>
      <c r="AL192" s="196"/>
      <c r="AM192" s="196"/>
      <c r="AN192" s="196"/>
      <c r="AO192" s="197"/>
      <c r="AP192" s="304">
        <v>9</v>
      </c>
      <c r="AQ192" s="305"/>
      <c r="AR192" s="305"/>
      <c r="AS192" s="305"/>
      <c r="AT192" s="329"/>
      <c r="AU192" s="330"/>
      <c r="AV192" s="331"/>
      <c r="AW192" s="113"/>
      <c r="AX192" s="113"/>
      <c r="AY192" s="113"/>
      <c r="AZ192" s="113"/>
      <c r="BA192" s="113"/>
    </row>
    <row r="193" spans="1:74" ht="14.85" customHeight="1" thickBot="1">
      <c r="A193" s="109"/>
      <c r="B193" s="306" t="s">
        <v>432</v>
      </c>
      <c r="C193" s="307"/>
      <c r="D193" s="307"/>
      <c r="E193" s="307"/>
      <c r="F193" s="307"/>
      <c r="G193" s="340" t="s">
        <v>365</v>
      </c>
      <c r="H193" s="340"/>
      <c r="I193" s="340"/>
      <c r="J193" s="340"/>
      <c r="K193" s="340"/>
      <c r="L193" s="340"/>
      <c r="M193" s="340"/>
      <c r="N193" s="340"/>
      <c r="O193" s="340"/>
      <c r="P193" s="340"/>
      <c r="Q193" s="340"/>
      <c r="R193" s="340"/>
      <c r="S193" s="340"/>
      <c r="T193" s="340"/>
      <c r="U193" s="340"/>
      <c r="V193" s="319" t="str">
        <f>$AK$16</f>
        <v/>
      </c>
      <c r="W193" s="320"/>
      <c r="X193" s="320"/>
      <c r="Y193" s="320"/>
      <c r="Z193" s="129" t="s">
        <v>434</v>
      </c>
      <c r="AA193" s="308" t="s">
        <v>37</v>
      </c>
      <c r="AB193" s="308"/>
      <c r="AC193" s="308"/>
      <c r="AD193" s="308"/>
      <c r="AE193" s="308"/>
      <c r="AF193" s="309">
        <v>1</v>
      </c>
      <c r="AG193" s="309"/>
      <c r="AH193" s="309"/>
      <c r="AI193" s="309">
        <f>IF($B$8="","",1)</f>
        <v>1</v>
      </c>
      <c r="AJ193" s="309"/>
      <c r="AK193" s="310" t="e">
        <f>(V193/AF193)*AI193</f>
        <v>#VALUE!</v>
      </c>
      <c r="AL193" s="310"/>
      <c r="AM193" s="310"/>
      <c r="AN193" s="310"/>
      <c r="AO193" s="311"/>
      <c r="AP193" s="304">
        <v>9</v>
      </c>
      <c r="AQ193" s="305"/>
      <c r="AR193" s="305"/>
      <c r="AS193" s="305"/>
      <c r="AT193" s="329"/>
      <c r="AU193" s="330"/>
      <c r="AV193" s="331"/>
      <c r="AW193" s="113"/>
      <c r="AX193" s="113"/>
      <c r="AY193" s="113"/>
      <c r="AZ193" s="113"/>
      <c r="BA193" s="113"/>
    </row>
    <row r="194" spans="1:74" ht="14.85" customHeight="1" thickTop="1" thickBot="1">
      <c r="A194" s="109"/>
      <c r="B194" s="338" t="s">
        <v>433</v>
      </c>
      <c r="C194" s="339"/>
      <c r="D194" s="339"/>
      <c r="E194" s="339"/>
      <c r="F194" s="339"/>
      <c r="G194" s="340" t="s">
        <v>366</v>
      </c>
      <c r="H194" s="340" t="s">
        <v>366</v>
      </c>
      <c r="I194" s="340" t="s">
        <v>366</v>
      </c>
      <c r="J194" s="340" t="s">
        <v>366</v>
      </c>
      <c r="K194" s="340" t="s">
        <v>366</v>
      </c>
      <c r="L194" s="340" t="s">
        <v>366</v>
      </c>
      <c r="M194" s="340" t="s">
        <v>366</v>
      </c>
      <c r="N194" s="340" t="s">
        <v>366</v>
      </c>
      <c r="O194" s="340" t="s">
        <v>366</v>
      </c>
      <c r="P194" s="340" t="s">
        <v>366</v>
      </c>
      <c r="Q194" s="340" t="s">
        <v>366</v>
      </c>
      <c r="R194" s="340" t="s">
        <v>366</v>
      </c>
      <c r="S194" s="340" t="s">
        <v>366</v>
      </c>
      <c r="T194" s="340" t="s">
        <v>366</v>
      </c>
      <c r="U194" s="340" t="s">
        <v>366</v>
      </c>
      <c r="V194" s="357"/>
      <c r="W194" s="358"/>
      <c r="X194" s="358"/>
      <c r="Y194" s="358"/>
      <c r="Z194" s="130"/>
      <c r="AA194" s="359" t="s">
        <v>37</v>
      </c>
      <c r="AB194" s="359"/>
      <c r="AC194" s="359"/>
      <c r="AD194" s="359"/>
      <c r="AE194" s="360"/>
      <c r="AF194" s="349"/>
      <c r="AG194" s="350"/>
      <c r="AH194" s="350"/>
      <c r="AI194" s="350"/>
      <c r="AJ194" s="351"/>
      <c r="AK194" s="343" t="e">
        <f>SQRT(SUMSQ(AK182:AO193))</f>
        <v>#VALUE!</v>
      </c>
      <c r="AL194" s="344"/>
      <c r="AM194" s="344"/>
      <c r="AN194" s="344"/>
      <c r="AO194" s="344"/>
      <c r="AP194" s="322" t="e">
        <f>IF(V193&lt;0.000000001,"∞",(AK194^4/((AK193^4/AP193)+(AK192^4/AP192))))</f>
        <v>#VALUE!</v>
      </c>
      <c r="AQ194" s="323"/>
      <c r="AR194" s="323"/>
      <c r="AS194" s="323"/>
      <c r="AT194" s="329"/>
      <c r="AU194" s="330"/>
      <c r="AV194" s="331"/>
      <c r="AW194" s="113"/>
      <c r="AX194" s="113"/>
      <c r="AY194" s="113"/>
      <c r="AZ194" s="113"/>
      <c r="BA194" s="113"/>
    </row>
    <row r="195" spans="1:74" ht="14.85" customHeight="1" thickTop="1" thickBot="1">
      <c r="A195" s="109"/>
      <c r="B195" s="338" t="s">
        <v>368</v>
      </c>
      <c r="C195" s="339"/>
      <c r="D195" s="339"/>
      <c r="E195" s="339"/>
      <c r="F195" s="339"/>
      <c r="G195" s="340" t="s">
        <v>369</v>
      </c>
      <c r="H195" s="340" t="s">
        <v>369</v>
      </c>
      <c r="I195" s="340" t="s">
        <v>369</v>
      </c>
      <c r="J195" s="340" t="s">
        <v>369</v>
      </c>
      <c r="K195" s="340" t="s">
        <v>369</v>
      </c>
      <c r="L195" s="340" t="s">
        <v>369</v>
      </c>
      <c r="M195" s="340" t="s">
        <v>369</v>
      </c>
      <c r="N195" s="340" t="s">
        <v>369</v>
      </c>
      <c r="O195" s="340" t="s">
        <v>369</v>
      </c>
      <c r="P195" s="340" t="s">
        <v>369</v>
      </c>
      <c r="Q195" s="340" t="s">
        <v>369</v>
      </c>
      <c r="R195" s="340" t="s">
        <v>369</v>
      </c>
      <c r="S195" s="340" t="s">
        <v>369</v>
      </c>
      <c r="T195" s="340" t="s">
        <v>369</v>
      </c>
      <c r="U195" s="340" t="s">
        <v>369</v>
      </c>
      <c r="V195" s="341"/>
      <c r="W195" s="342"/>
      <c r="X195" s="342"/>
      <c r="Y195" s="342"/>
      <c r="Z195" s="131"/>
      <c r="AA195" s="345" t="s">
        <v>370</v>
      </c>
      <c r="AB195" s="346"/>
      <c r="AC195" s="347" t="e">
        <f>IF(AP194="∞",2,TINV(0.0455,AP194))</f>
        <v>#VALUE!</v>
      </c>
      <c r="AD195" s="348"/>
      <c r="AE195" s="348"/>
      <c r="AF195" s="352"/>
      <c r="AG195" s="353"/>
      <c r="AH195" s="353"/>
      <c r="AI195" s="353"/>
      <c r="AJ195" s="354"/>
      <c r="AK195" s="343" t="e">
        <f>AK194*AC195</f>
        <v>#VALUE!</v>
      </c>
      <c r="AL195" s="344"/>
      <c r="AM195" s="344"/>
      <c r="AN195" s="344"/>
      <c r="AO195" s="344"/>
      <c r="AP195" s="324" t="s">
        <v>367</v>
      </c>
      <c r="AQ195" s="325" t="s">
        <v>367</v>
      </c>
      <c r="AR195" s="325" t="s">
        <v>367</v>
      </c>
      <c r="AS195" s="325"/>
      <c r="AT195" s="332"/>
      <c r="AU195" s="333"/>
      <c r="AV195" s="334"/>
      <c r="AW195" s="113"/>
      <c r="AX195" s="113"/>
      <c r="AY195" s="113"/>
      <c r="AZ195" s="113"/>
      <c r="BA195" s="113"/>
    </row>
    <row r="196" spans="1:74" ht="14.85" customHeight="1" thickTop="1" thickBot="1">
      <c r="A196" s="109"/>
      <c r="B196" s="139"/>
      <c r="C196" s="139"/>
      <c r="D196" s="139"/>
      <c r="E196" s="139"/>
      <c r="F196" s="139"/>
      <c r="G196" s="121"/>
      <c r="H196" s="121"/>
      <c r="I196" s="121"/>
      <c r="J196" s="121"/>
      <c r="K196" s="121"/>
      <c r="L196" s="121"/>
      <c r="M196" s="121"/>
      <c r="N196" s="121"/>
      <c r="O196" s="121"/>
      <c r="P196" s="121"/>
      <c r="Q196" s="121"/>
      <c r="R196" s="121"/>
      <c r="S196" s="121"/>
      <c r="T196" s="121"/>
      <c r="U196" s="121"/>
      <c r="V196" s="113"/>
      <c r="W196" s="113"/>
      <c r="X196" s="113"/>
      <c r="Y196" s="113"/>
      <c r="Z196" s="123"/>
      <c r="AA196" s="124"/>
      <c r="AB196" s="124"/>
      <c r="AC196" s="374" t="s">
        <v>371</v>
      </c>
      <c r="AD196" s="375"/>
      <c r="AE196" s="369">
        <f>IF($J$5&lt;0,0.04,0.03)</f>
        <v>0.03</v>
      </c>
      <c r="AF196" s="369"/>
      <c r="AG196" s="370"/>
      <c r="AH196" s="371" t="s">
        <v>372</v>
      </c>
      <c r="AI196" s="369"/>
      <c r="AJ196" s="369"/>
      <c r="AK196" s="376" t="e">
        <f>IF(AK195&lt;AE196,AE196,ROUNDUP(AK195,3))</f>
        <v>#VALUE!</v>
      </c>
      <c r="AL196" s="376"/>
      <c r="AM196" s="376"/>
      <c r="AN196" s="376"/>
      <c r="AO196" s="377"/>
      <c r="AP196" s="124"/>
      <c r="AQ196" s="124"/>
      <c r="AR196" s="124"/>
      <c r="AS196" s="113"/>
      <c r="AT196" s="113"/>
      <c r="AU196" s="113"/>
      <c r="AV196" s="113"/>
      <c r="AW196" s="113"/>
      <c r="AX196" s="113"/>
      <c r="AY196" s="113"/>
      <c r="AZ196" s="113"/>
      <c r="BA196" s="113"/>
    </row>
    <row r="197" spans="1:74" ht="14.85" customHeight="1" thickTop="1">
      <c r="A197" s="109"/>
      <c r="B197" s="139"/>
      <c r="C197" s="139"/>
      <c r="D197" s="139"/>
      <c r="E197" s="139"/>
      <c r="F197" s="139"/>
      <c r="G197" s="121"/>
      <c r="H197" s="121"/>
      <c r="I197" s="121"/>
      <c r="J197" s="121"/>
      <c r="K197" s="121"/>
      <c r="L197" s="121"/>
      <c r="M197" s="121"/>
      <c r="N197" s="121"/>
      <c r="O197" s="121"/>
      <c r="P197" s="121"/>
      <c r="Q197" s="121"/>
      <c r="R197" s="121"/>
      <c r="S197" s="121"/>
      <c r="T197" s="121"/>
      <c r="U197" s="121"/>
      <c r="V197" s="113"/>
      <c r="W197" s="113"/>
      <c r="X197" s="113"/>
      <c r="Y197" s="113"/>
      <c r="Z197" s="123"/>
      <c r="AA197" s="124"/>
      <c r="AB197" s="124"/>
      <c r="AC197" s="124"/>
      <c r="AD197" s="124"/>
      <c r="AE197" s="124"/>
      <c r="AF197" s="125"/>
      <c r="AG197" s="125"/>
      <c r="AH197" s="125"/>
      <c r="AI197" s="125"/>
      <c r="AJ197" s="125"/>
      <c r="AK197" s="113"/>
      <c r="AL197" s="113"/>
      <c r="AM197" s="113"/>
      <c r="AN197" s="113"/>
      <c r="AO197" s="113"/>
      <c r="AP197" s="124"/>
      <c r="AQ197" s="124"/>
      <c r="AR197" s="124"/>
      <c r="AS197" s="113"/>
      <c r="AT197" s="113"/>
      <c r="AU197" s="113"/>
      <c r="AV197" s="113"/>
      <c r="AW197" s="113"/>
      <c r="AX197" s="113"/>
      <c r="AY197" s="113"/>
      <c r="AZ197" s="113"/>
      <c r="BA197" s="113"/>
    </row>
    <row r="198" spans="1:74" ht="14.85" customHeight="1">
      <c r="A198" s="101"/>
      <c r="B198" s="135"/>
      <c r="C198" s="135"/>
      <c r="D198" s="135"/>
      <c r="E198" s="135"/>
      <c r="F198" s="135"/>
      <c r="G198" s="135"/>
      <c r="H198" s="135"/>
      <c r="I198" s="136"/>
      <c r="J198" s="136"/>
      <c r="K198" s="136"/>
      <c r="L198" s="136"/>
      <c r="M198" s="136"/>
      <c r="N198" s="136"/>
      <c r="O198" s="136"/>
      <c r="P198" s="136"/>
      <c r="Q198" s="136"/>
      <c r="R198" s="136"/>
      <c r="S198" s="136"/>
      <c r="T198" s="136"/>
      <c r="U198" s="136"/>
      <c r="V198" s="136"/>
      <c r="W198" s="136"/>
      <c r="X198" s="136"/>
      <c r="Y198" s="136"/>
      <c r="Z198" s="136"/>
      <c r="AA198" s="136"/>
      <c r="AB198" s="136"/>
      <c r="AC198" s="136"/>
      <c r="AD198" s="136"/>
      <c r="AE198" s="136"/>
      <c r="AF198" s="136"/>
      <c r="AG198" s="136"/>
      <c r="AH198" s="136"/>
      <c r="AI198" s="136"/>
      <c r="AJ198" s="136"/>
      <c r="AK198" s="136"/>
      <c r="AL198" s="136"/>
      <c r="AM198" s="136"/>
      <c r="AS198" s="265" t="s">
        <v>5</v>
      </c>
      <c r="AT198" s="265"/>
      <c r="AU198" s="265"/>
      <c r="AV198" s="275">
        <f>AV159+1</f>
        <v>7</v>
      </c>
      <c r="AW198" s="275"/>
      <c r="AX198" s="94" t="s">
        <v>6</v>
      </c>
      <c r="AY198" s="275">
        <f>$AY$1</f>
        <v>1</v>
      </c>
      <c r="AZ198" s="275"/>
      <c r="BA198" s="101"/>
      <c r="BU198" s="112"/>
      <c r="BV198" s="112"/>
    </row>
    <row r="199" spans="1:74" ht="14.85" customHeight="1">
      <c r="A199" s="101"/>
      <c r="B199" s="135"/>
      <c r="C199" s="135"/>
      <c r="D199" s="135"/>
      <c r="E199" s="135"/>
      <c r="F199" s="135"/>
      <c r="G199" s="135"/>
      <c r="H199" s="135"/>
      <c r="I199" s="136"/>
      <c r="J199" s="136"/>
      <c r="K199" s="136"/>
      <c r="L199" s="136"/>
      <c r="M199" s="136"/>
      <c r="N199" s="136"/>
      <c r="O199" s="136"/>
      <c r="P199" s="136"/>
      <c r="Q199" s="136"/>
      <c r="R199" s="136"/>
      <c r="S199" s="136"/>
      <c r="T199" s="136"/>
      <c r="U199" s="136"/>
      <c r="V199" s="136"/>
      <c r="W199" s="136"/>
      <c r="X199" s="136"/>
      <c r="Y199" s="136"/>
      <c r="Z199" s="136"/>
      <c r="AA199" s="136"/>
      <c r="AB199" s="136"/>
      <c r="AC199" s="136"/>
      <c r="AD199" s="136"/>
      <c r="AE199" s="136"/>
      <c r="AF199" s="136"/>
      <c r="AG199" s="136"/>
      <c r="AH199" s="136"/>
      <c r="AI199" s="136"/>
      <c r="AJ199" s="136"/>
      <c r="AK199" s="136"/>
      <c r="AL199" s="136"/>
      <c r="AM199" s="136"/>
      <c r="AQ199" s="98"/>
      <c r="BA199" s="101"/>
      <c r="BU199" s="112"/>
      <c r="BV199" s="112"/>
    </row>
    <row r="200" spans="1:74" ht="14.25" customHeight="1" thickBot="1">
      <c r="A200" s="101"/>
      <c r="B200" s="91" t="s">
        <v>346</v>
      </c>
      <c r="C200" s="101"/>
      <c r="E200" s="101"/>
      <c r="H200" s="103"/>
      <c r="I200" s="137"/>
      <c r="J200" s="138"/>
      <c r="K200" s="138"/>
      <c r="L200" s="138"/>
      <c r="M200" s="137"/>
      <c r="N200" s="138"/>
      <c r="O200" s="138"/>
      <c r="P200" s="138"/>
      <c r="Q200" s="137"/>
      <c r="R200" s="138"/>
      <c r="S200" s="138"/>
      <c r="T200" s="138"/>
      <c r="U200" s="137"/>
      <c r="V200" s="138"/>
      <c r="W200" s="138"/>
      <c r="X200" s="138"/>
      <c r="Y200" s="137"/>
      <c r="Z200" s="138"/>
      <c r="AA200" s="138"/>
      <c r="AB200" s="138"/>
      <c r="AC200" s="137"/>
      <c r="AD200" s="138"/>
      <c r="AE200" s="138"/>
      <c r="AF200" s="138"/>
      <c r="AG200" s="137"/>
      <c r="AH200" s="138"/>
      <c r="AI200" s="138"/>
      <c r="AJ200" s="138"/>
      <c r="AK200" s="137"/>
      <c r="AL200" s="138"/>
      <c r="AM200" s="138"/>
      <c r="AN200" s="138"/>
      <c r="AO200" s="272" t="s">
        <v>7</v>
      </c>
      <c r="AP200" s="272"/>
      <c r="AQ200" s="272"/>
      <c r="AR200" s="272"/>
      <c r="AS200" s="272"/>
      <c r="AT200" s="272"/>
      <c r="AU200" s="272"/>
      <c r="AV200" s="179" t="str">
        <f>$AV$161</f>
        <v xml:space="preserve"> /69 </v>
      </c>
      <c r="AW200" s="179"/>
      <c r="AX200" s="179"/>
      <c r="AY200" s="179"/>
      <c r="AZ200" s="179"/>
      <c r="BA200" s="101"/>
      <c r="BU200" s="112"/>
      <c r="BV200" s="112"/>
    </row>
    <row r="201" spans="1:74" ht="14.85" customHeight="1" thickTop="1" thickBot="1">
      <c r="B201" s="355" t="s">
        <v>347</v>
      </c>
      <c r="C201" s="356"/>
      <c r="D201" s="356"/>
      <c r="E201" s="356"/>
      <c r="F201" s="356"/>
      <c r="G201" s="312" t="s">
        <v>348</v>
      </c>
      <c r="H201" s="312"/>
      <c r="I201" s="312"/>
      <c r="J201" s="312"/>
      <c r="K201" s="312"/>
      <c r="L201" s="312"/>
      <c r="M201" s="312"/>
      <c r="N201" s="312"/>
      <c r="O201" s="312"/>
      <c r="P201" s="312"/>
      <c r="Q201" s="312"/>
      <c r="R201" s="312"/>
      <c r="S201" s="312"/>
      <c r="T201" s="312"/>
      <c r="U201" s="312"/>
      <c r="V201" s="187" t="s">
        <v>417</v>
      </c>
      <c r="W201" s="187"/>
      <c r="X201" s="187"/>
      <c r="Y201" s="187"/>
      <c r="Z201" s="187"/>
      <c r="AA201" s="186" t="s">
        <v>418</v>
      </c>
      <c r="AB201" s="187"/>
      <c r="AC201" s="187"/>
      <c r="AD201" s="187"/>
      <c r="AE201" s="187"/>
      <c r="AF201" s="187" t="s">
        <v>349</v>
      </c>
      <c r="AG201" s="187"/>
      <c r="AH201" s="187"/>
      <c r="AI201" s="187" t="s">
        <v>350</v>
      </c>
      <c r="AJ201" s="187"/>
      <c r="AK201" s="186" t="s">
        <v>419</v>
      </c>
      <c r="AL201" s="187"/>
      <c r="AM201" s="187"/>
      <c r="AN201" s="187"/>
      <c r="AO201" s="187"/>
      <c r="AP201" s="361" t="s">
        <v>420</v>
      </c>
      <c r="AQ201" s="362"/>
      <c r="AR201" s="362"/>
      <c r="AS201" s="362"/>
      <c r="AT201" s="326" t="str">
        <f>IF(AO10="","","9")</f>
        <v/>
      </c>
      <c r="AU201" s="327"/>
      <c r="AV201" s="328"/>
      <c r="AW201" s="113"/>
      <c r="AX201" s="113"/>
      <c r="AY201" s="113"/>
      <c r="AZ201" s="113"/>
      <c r="BA201" s="113"/>
    </row>
    <row r="202" spans="1:74" ht="14.85" customHeight="1" thickTop="1" thickBot="1">
      <c r="A202" s="122"/>
      <c r="B202" s="355"/>
      <c r="C202" s="356"/>
      <c r="D202" s="356"/>
      <c r="E202" s="356"/>
      <c r="F202" s="356"/>
      <c r="G202" s="312"/>
      <c r="H202" s="312"/>
      <c r="I202" s="312"/>
      <c r="J202" s="312"/>
      <c r="K202" s="312"/>
      <c r="L202" s="312"/>
      <c r="M202" s="312"/>
      <c r="N202" s="312"/>
      <c r="O202" s="312"/>
      <c r="P202" s="312"/>
      <c r="Q202" s="312"/>
      <c r="R202" s="312"/>
      <c r="S202" s="312"/>
      <c r="T202" s="312"/>
      <c r="U202" s="312"/>
      <c r="V202" s="187"/>
      <c r="W202" s="187"/>
      <c r="X202" s="187"/>
      <c r="Y202" s="187"/>
      <c r="Z202" s="187"/>
      <c r="AA202" s="187"/>
      <c r="AB202" s="187"/>
      <c r="AC202" s="187"/>
      <c r="AD202" s="187"/>
      <c r="AE202" s="187"/>
      <c r="AF202" s="187"/>
      <c r="AG202" s="187"/>
      <c r="AH202" s="187"/>
      <c r="AI202" s="187"/>
      <c r="AJ202" s="187"/>
      <c r="AK202" s="187"/>
      <c r="AL202" s="187"/>
      <c r="AM202" s="187"/>
      <c r="AN202" s="187"/>
      <c r="AO202" s="187"/>
      <c r="AP202" s="363"/>
      <c r="AQ202" s="364"/>
      <c r="AR202" s="364"/>
      <c r="AS202" s="364"/>
      <c r="AT202" s="329"/>
      <c r="AU202" s="330"/>
      <c r="AV202" s="331"/>
      <c r="AW202" s="113"/>
      <c r="AX202" s="113"/>
      <c r="AY202" s="113"/>
      <c r="AZ202" s="113"/>
      <c r="BA202" s="113"/>
    </row>
    <row r="203" spans="1:74" ht="14.85" customHeight="1" thickTop="1">
      <c r="A203" s="109"/>
      <c r="B203" s="188" t="s">
        <v>421</v>
      </c>
      <c r="C203" s="189"/>
      <c r="D203" s="189"/>
      <c r="E203" s="189"/>
      <c r="F203" s="189"/>
      <c r="G203" s="321" t="s">
        <v>351</v>
      </c>
      <c r="H203" s="321"/>
      <c r="I203" s="321"/>
      <c r="J203" s="321"/>
      <c r="K203" s="321"/>
      <c r="L203" s="321"/>
      <c r="M203" s="321"/>
      <c r="N203" s="321"/>
      <c r="O203" s="321"/>
      <c r="P203" s="321"/>
      <c r="Q203" s="321"/>
      <c r="R203" s="321"/>
      <c r="S203" s="321"/>
      <c r="T203" s="321"/>
      <c r="U203" s="321"/>
      <c r="V203" s="367">
        <f>$V$47</f>
        <v>3.0000000000000001E-3</v>
      </c>
      <c r="W203" s="368"/>
      <c r="X203" s="368"/>
      <c r="Y203" s="368"/>
      <c r="Z203" s="127" t="s">
        <v>434</v>
      </c>
      <c r="AA203" s="192" t="s">
        <v>37</v>
      </c>
      <c r="AB203" s="192"/>
      <c r="AC203" s="192"/>
      <c r="AD203" s="192"/>
      <c r="AE203" s="192"/>
      <c r="AF203" s="289">
        <v>2</v>
      </c>
      <c r="AG203" s="289"/>
      <c r="AH203" s="289"/>
      <c r="AI203" s="289">
        <v>1</v>
      </c>
      <c r="AJ203" s="289"/>
      <c r="AK203" s="290">
        <f>(V203/AF203)*AI203</f>
        <v>1.5E-3</v>
      </c>
      <c r="AL203" s="290"/>
      <c r="AM203" s="290"/>
      <c r="AN203" s="290"/>
      <c r="AO203" s="291"/>
      <c r="AP203" s="365" t="str">
        <f t="shared" ref="AP203:AP212" si="93">IF($B$8="","","∞")</f>
        <v>∞</v>
      </c>
      <c r="AQ203" s="366"/>
      <c r="AR203" s="366"/>
      <c r="AS203" s="366"/>
      <c r="AT203" s="329"/>
      <c r="AU203" s="330"/>
      <c r="AV203" s="331"/>
      <c r="AW203" s="113"/>
      <c r="AX203" s="113"/>
      <c r="AY203" s="113"/>
      <c r="AZ203" s="113"/>
      <c r="BA203" s="113"/>
    </row>
    <row r="204" spans="1:74" ht="14.85" customHeight="1">
      <c r="A204" s="109"/>
      <c r="B204" s="190" t="s">
        <v>422</v>
      </c>
      <c r="C204" s="191"/>
      <c r="D204" s="191"/>
      <c r="E204" s="191"/>
      <c r="F204" s="191"/>
      <c r="G204" s="194" t="s">
        <v>352</v>
      </c>
      <c r="H204" s="194"/>
      <c r="I204" s="194"/>
      <c r="J204" s="194"/>
      <c r="K204" s="194"/>
      <c r="L204" s="194"/>
      <c r="M204" s="194"/>
      <c r="N204" s="194"/>
      <c r="O204" s="194"/>
      <c r="P204" s="194"/>
      <c r="Q204" s="194"/>
      <c r="R204" s="194"/>
      <c r="S204" s="194"/>
      <c r="T204" s="194"/>
      <c r="U204" s="194"/>
      <c r="V204" s="317">
        <f>$V$48</f>
        <v>1.6000000000000001E-3</v>
      </c>
      <c r="W204" s="318"/>
      <c r="X204" s="318"/>
      <c r="Y204" s="318"/>
      <c r="Z204" s="128" t="s">
        <v>353</v>
      </c>
      <c r="AA204" s="193" t="s">
        <v>354</v>
      </c>
      <c r="AB204" s="193"/>
      <c r="AC204" s="193"/>
      <c r="AD204" s="193"/>
      <c r="AE204" s="193"/>
      <c r="AF204" s="195" t="s">
        <v>355</v>
      </c>
      <c r="AG204" s="195"/>
      <c r="AH204" s="195"/>
      <c r="AI204" s="195">
        <v>10</v>
      </c>
      <c r="AJ204" s="195"/>
      <c r="AK204" s="196">
        <f>(V204/SQRT(3))*AI204</f>
        <v>9.2376043070340128E-3</v>
      </c>
      <c r="AL204" s="196"/>
      <c r="AM204" s="196"/>
      <c r="AN204" s="196"/>
      <c r="AO204" s="197"/>
      <c r="AP204" s="304" t="str">
        <f t="shared" si="93"/>
        <v>∞</v>
      </c>
      <c r="AQ204" s="305"/>
      <c r="AR204" s="305"/>
      <c r="AS204" s="305"/>
      <c r="AT204" s="329"/>
      <c r="AU204" s="330"/>
      <c r="AV204" s="331"/>
      <c r="AW204" s="113"/>
      <c r="AX204" s="113"/>
      <c r="AY204" s="113"/>
      <c r="AZ204" s="113"/>
      <c r="BA204" s="113"/>
    </row>
    <row r="205" spans="1:74" ht="14.85" customHeight="1">
      <c r="A205" s="109"/>
      <c r="B205" s="190" t="s">
        <v>423</v>
      </c>
      <c r="C205" s="191"/>
      <c r="D205" s="191"/>
      <c r="E205" s="191"/>
      <c r="F205" s="191"/>
      <c r="G205" s="194" t="s">
        <v>356</v>
      </c>
      <c r="H205" s="194"/>
      <c r="I205" s="194"/>
      <c r="J205" s="194"/>
      <c r="K205" s="194"/>
      <c r="L205" s="194"/>
      <c r="M205" s="194"/>
      <c r="N205" s="194"/>
      <c r="O205" s="194"/>
      <c r="P205" s="194"/>
      <c r="Q205" s="194"/>
      <c r="R205" s="194"/>
      <c r="S205" s="194"/>
      <c r="T205" s="194"/>
      <c r="U205" s="194"/>
      <c r="V205" s="317">
        <f>$V$49</f>
        <v>1E-3</v>
      </c>
      <c r="W205" s="318"/>
      <c r="X205" s="318"/>
      <c r="Y205" s="318"/>
      <c r="Z205" s="128" t="s">
        <v>353</v>
      </c>
      <c r="AA205" s="193" t="s">
        <v>354</v>
      </c>
      <c r="AB205" s="193"/>
      <c r="AC205" s="193"/>
      <c r="AD205" s="193"/>
      <c r="AE205" s="193"/>
      <c r="AF205" s="195">
        <v>2</v>
      </c>
      <c r="AG205" s="195"/>
      <c r="AH205" s="195"/>
      <c r="AI205" s="195">
        <v>10</v>
      </c>
      <c r="AJ205" s="195"/>
      <c r="AK205" s="196">
        <f>(V205/AF205)*AI205</f>
        <v>5.0000000000000001E-3</v>
      </c>
      <c r="AL205" s="196"/>
      <c r="AM205" s="196"/>
      <c r="AN205" s="196"/>
      <c r="AO205" s="197"/>
      <c r="AP205" s="304" t="str">
        <f t="shared" si="93"/>
        <v>∞</v>
      </c>
      <c r="AQ205" s="305"/>
      <c r="AR205" s="305"/>
      <c r="AS205" s="305"/>
      <c r="AT205" s="329"/>
      <c r="AU205" s="330"/>
      <c r="AV205" s="331"/>
      <c r="AW205" s="113"/>
      <c r="AX205" s="113"/>
      <c r="AY205" s="113"/>
      <c r="AZ205" s="113"/>
      <c r="BA205" s="113"/>
    </row>
    <row r="206" spans="1:74" ht="14.85" customHeight="1">
      <c r="A206" s="109"/>
      <c r="B206" s="190" t="s">
        <v>424</v>
      </c>
      <c r="C206" s="191"/>
      <c r="D206" s="191"/>
      <c r="E206" s="191"/>
      <c r="F206" s="191"/>
      <c r="G206" s="194" t="s">
        <v>357</v>
      </c>
      <c r="H206" s="194"/>
      <c r="I206" s="194"/>
      <c r="J206" s="194"/>
      <c r="K206" s="194"/>
      <c r="L206" s="194"/>
      <c r="M206" s="194"/>
      <c r="N206" s="194"/>
      <c r="O206" s="194"/>
      <c r="P206" s="194"/>
      <c r="Q206" s="194"/>
      <c r="R206" s="194"/>
      <c r="S206" s="194"/>
      <c r="T206" s="194"/>
      <c r="U206" s="194"/>
      <c r="V206" s="317">
        <f>$V$50</f>
        <v>1E-3</v>
      </c>
      <c r="W206" s="318"/>
      <c r="X206" s="318"/>
      <c r="Y206" s="318"/>
      <c r="Z206" s="128" t="s">
        <v>353</v>
      </c>
      <c r="AA206" s="193" t="s">
        <v>354</v>
      </c>
      <c r="AB206" s="193"/>
      <c r="AC206" s="193"/>
      <c r="AD206" s="193"/>
      <c r="AE206" s="193"/>
      <c r="AF206" s="195" t="s">
        <v>355</v>
      </c>
      <c r="AG206" s="195"/>
      <c r="AH206" s="195"/>
      <c r="AI206" s="195">
        <v>10</v>
      </c>
      <c r="AJ206" s="195"/>
      <c r="AK206" s="196">
        <f>(V206/SQRT(3))*AI206</f>
        <v>5.773502691896258E-3</v>
      </c>
      <c r="AL206" s="196"/>
      <c r="AM206" s="196"/>
      <c r="AN206" s="196"/>
      <c r="AO206" s="197"/>
      <c r="AP206" s="304" t="str">
        <f t="shared" si="93"/>
        <v>∞</v>
      </c>
      <c r="AQ206" s="305"/>
      <c r="AR206" s="305"/>
      <c r="AS206" s="305"/>
      <c r="AT206" s="329"/>
      <c r="AU206" s="330"/>
      <c r="AV206" s="331"/>
      <c r="AW206" s="113"/>
      <c r="AX206" s="113"/>
      <c r="AY206" s="113"/>
      <c r="AZ206" s="113"/>
      <c r="BA206" s="113"/>
    </row>
    <row r="207" spans="1:74" ht="14.85" customHeight="1">
      <c r="A207" s="109"/>
      <c r="B207" s="190" t="s">
        <v>425</v>
      </c>
      <c r="C207" s="191"/>
      <c r="D207" s="191"/>
      <c r="E207" s="191"/>
      <c r="F207" s="191"/>
      <c r="G207" s="194" t="s">
        <v>358</v>
      </c>
      <c r="H207" s="194"/>
      <c r="I207" s="194"/>
      <c r="J207" s="194"/>
      <c r="K207" s="194"/>
      <c r="L207" s="194"/>
      <c r="M207" s="194"/>
      <c r="N207" s="194"/>
      <c r="O207" s="194"/>
      <c r="P207" s="194"/>
      <c r="Q207" s="194"/>
      <c r="R207" s="194"/>
      <c r="S207" s="194"/>
      <c r="T207" s="194"/>
      <c r="U207" s="194"/>
      <c r="V207" s="317">
        <f>$V$51</f>
        <v>5.0000000000000002E-5</v>
      </c>
      <c r="W207" s="318"/>
      <c r="X207" s="318"/>
      <c r="Y207" s="318"/>
      <c r="Z207" s="128" t="s">
        <v>434</v>
      </c>
      <c r="AA207" s="193" t="s">
        <v>354</v>
      </c>
      <c r="AB207" s="193"/>
      <c r="AC207" s="193"/>
      <c r="AD207" s="193"/>
      <c r="AE207" s="193"/>
      <c r="AF207" s="195" t="s">
        <v>355</v>
      </c>
      <c r="AG207" s="195"/>
      <c r="AH207" s="195"/>
      <c r="AI207" s="195">
        <v>1</v>
      </c>
      <c r="AJ207" s="195"/>
      <c r="AK207" s="196">
        <f>(V207/SQRT(3))*AI207</f>
        <v>2.8867513459481293E-5</v>
      </c>
      <c r="AL207" s="196"/>
      <c r="AM207" s="196"/>
      <c r="AN207" s="196"/>
      <c r="AO207" s="197"/>
      <c r="AP207" s="304" t="str">
        <f t="shared" si="93"/>
        <v>∞</v>
      </c>
      <c r="AQ207" s="305"/>
      <c r="AR207" s="305"/>
      <c r="AS207" s="305"/>
      <c r="AT207" s="329"/>
      <c r="AU207" s="330"/>
      <c r="AV207" s="331"/>
      <c r="AW207" s="113"/>
      <c r="AX207" s="113"/>
      <c r="AY207" s="113"/>
      <c r="AZ207" s="113"/>
      <c r="BA207" s="113"/>
    </row>
    <row r="208" spans="1:74" ht="14.85" customHeight="1">
      <c r="A208" s="109"/>
      <c r="B208" s="190" t="s">
        <v>426</v>
      </c>
      <c r="C208" s="191"/>
      <c r="D208" s="191"/>
      <c r="E208" s="191"/>
      <c r="F208" s="191"/>
      <c r="G208" s="194" t="s">
        <v>359</v>
      </c>
      <c r="H208" s="194"/>
      <c r="I208" s="194"/>
      <c r="J208" s="194"/>
      <c r="K208" s="194"/>
      <c r="L208" s="194"/>
      <c r="M208" s="194"/>
      <c r="N208" s="194"/>
      <c r="O208" s="194"/>
      <c r="P208" s="194"/>
      <c r="Q208" s="194"/>
      <c r="R208" s="194"/>
      <c r="S208" s="194"/>
      <c r="T208" s="194"/>
      <c r="U208" s="194"/>
      <c r="V208" s="317">
        <f>$V$52</f>
        <v>0.01</v>
      </c>
      <c r="W208" s="318"/>
      <c r="X208" s="318"/>
      <c r="Y208" s="318"/>
      <c r="Z208" s="128" t="s">
        <v>434</v>
      </c>
      <c r="AA208" s="193" t="s">
        <v>354</v>
      </c>
      <c r="AB208" s="193"/>
      <c r="AC208" s="193"/>
      <c r="AD208" s="193"/>
      <c r="AE208" s="193"/>
      <c r="AF208" s="195" t="s">
        <v>355</v>
      </c>
      <c r="AG208" s="195"/>
      <c r="AH208" s="195"/>
      <c r="AI208" s="195">
        <v>1</v>
      </c>
      <c r="AJ208" s="195"/>
      <c r="AK208" s="196">
        <f>(V208/SQRT(3))*AI208</f>
        <v>5.773502691896258E-3</v>
      </c>
      <c r="AL208" s="196"/>
      <c r="AM208" s="196"/>
      <c r="AN208" s="196"/>
      <c r="AO208" s="197"/>
      <c r="AP208" s="304" t="str">
        <f t="shared" si="93"/>
        <v>∞</v>
      </c>
      <c r="AQ208" s="305"/>
      <c r="AR208" s="305"/>
      <c r="AS208" s="305"/>
      <c r="AT208" s="329"/>
      <c r="AU208" s="330"/>
      <c r="AV208" s="331"/>
      <c r="AW208" s="113"/>
      <c r="AX208" s="113"/>
      <c r="AY208" s="113"/>
      <c r="AZ208" s="113"/>
      <c r="BA208" s="113"/>
    </row>
    <row r="209" spans="1:53" ht="14.85" customHeight="1">
      <c r="A209" s="109"/>
      <c r="B209" s="190" t="s">
        <v>427</v>
      </c>
      <c r="C209" s="191"/>
      <c r="D209" s="191"/>
      <c r="E209" s="191"/>
      <c r="F209" s="191"/>
      <c r="G209" s="194" t="s">
        <v>360</v>
      </c>
      <c r="H209" s="194"/>
      <c r="I209" s="194"/>
      <c r="J209" s="194"/>
      <c r="K209" s="194"/>
      <c r="L209" s="194"/>
      <c r="M209" s="194"/>
      <c r="N209" s="194"/>
      <c r="O209" s="194"/>
      <c r="P209" s="194"/>
      <c r="Q209" s="194"/>
      <c r="R209" s="194"/>
      <c r="S209" s="194"/>
      <c r="T209" s="194"/>
      <c r="U209" s="194"/>
      <c r="V209" s="317">
        <f>$V$53</f>
        <v>0.01</v>
      </c>
      <c r="W209" s="318"/>
      <c r="X209" s="318"/>
      <c r="Y209" s="318"/>
      <c r="Z209" s="128" t="s">
        <v>434</v>
      </c>
      <c r="AA209" s="193" t="s">
        <v>354</v>
      </c>
      <c r="AB209" s="193"/>
      <c r="AC209" s="193"/>
      <c r="AD209" s="193"/>
      <c r="AE209" s="193"/>
      <c r="AF209" s="195" t="s">
        <v>355</v>
      </c>
      <c r="AG209" s="195"/>
      <c r="AH209" s="195"/>
      <c r="AI209" s="195">
        <v>1</v>
      </c>
      <c r="AJ209" s="195"/>
      <c r="AK209" s="196">
        <f t="shared" ref="AK209:AK211" si="94">(V209/SQRT(3))*AI209</f>
        <v>5.773502691896258E-3</v>
      </c>
      <c r="AL209" s="196"/>
      <c r="AM209" s="196"/>
      <c r="AN209" s="196"/>
      <c r="AO209" s="197"/>
      <c r="AP209" s="304" t="str">
        <f t="shared" si="93"/>
        <v>∞</v>
      </c>
      <c r="AQ209" s="305"/>
      <c r="AR209" s="305"/>
      <c r="AS209" s="305"/>
      <c r="AT209" s="329"/>
      <c r="AU209" s="330"/>
      <c r="AV209" s="331"/>
      <c r="AW209" s="113"/>
      <c r="AX209" s="113"/>
      <c r="AY209" s="113"/>
      <c r="AZ209" s="113"/>
      <c r="BA209" s="113"/>
    </row>
    <row r="210" spans="1:53" ht="14.85" customHeight="1">
      <c r="A210" s="109"/>
      <c r="B210" s="190" t="s">
        <v>428</v>
      </c>
      <c r="C210" s="191"/>
      <c r="D210" s="191"/>
      <c r="E210" s="191"/>
      <c r="F210" s="191"/>
      <c r="G210" s="194" t="s">
        <v>361</v>
      </c>
      <c r="H210" s="194"/>
      <c r="I210" s="194"/>
      <c r="J210" s="194"/>
      <c r="K210" s="194"/>
      <c r="L210" s="194"/>
      <c r="M210" s="194"/>
      <c r="N210" s="194"/>
      <c r="O210" s="194"/>
      <c r="P210" s="194"/>
      <c r="Q210" s="194"/>
      <c r="R210" s="194"/>
      <c r="S210" s="194"/>
      <c r="T210" s="194"/>
      <c r="U210" s="194"/>
      <c r="V210" s="317">
        <f>$AB$3/2</f>
        <v>0</v>
      </c>
      <c r="W210" s="318"/>
      <c r="X210" s="318"/>
      <c r="Y210" s="318"/>
      <c r="Z210" s="128" t="s">
        <v>434</v>
      </c>
      <c r="AA210" s="193" t="s">
        <v>354</v>
      </c>
      <c r="AB210" s="193"/>
      <c r="AC210" s="193"/>
      <c r="AD210" s="193"/>
      <c r="AE210" s="193"/>
      <c r="AF210" s="195" t="s">
        <v>355</v>
      </c>
      <c r="AG210" s="195"/>
      <c r="AH210" s="195"/>
      <c r="AI210" s="195">
        <v>1</v>
      </c>
      <c r="AJ210" s="195"/>
      <c r="AK210" s="196">
        <f t="shared" si="94"/>
        <v>0</v>
      </c>
      <c r="AL210" s="196"/>
      <c r="AM210" s="196"/>
      <c r="AN210" s="196"/>
      <c r="AO210" s="197"/>
      <c r="AP210" s="304" t="str">
        <f t="shared" si="93"/>
        <v>∞</v>
      </c>
      <c r="AQ210" s="305"/>
      <c r="AR210" s="305"/>
      <c r="AS210" s="305"/>
      <c r="AT210" s="329"/>
      <c r="AU210" s="330"/>
      <c r="AV210" s="331"/>
      <c r="AW210" s="113"/>
      <c r="AX210" s="113"/>
      <c r="AY210" s="113"/>
      <c r="AZ210" s="113"/>
      <c r="BA210" s="113"/>
    </row>
    <row r="211" spans="1:53" ht="14.85" customHeight="1">
      <c r="A211" s="109"/>
      <c r="B211" s="190" t="s">
        <v>429</v>
      </c>
      <c r="C211" s="191"/>
      <c r="D211" s="191"/>
      <c r="E211" s="191"/>
      <c r="F211" s="191"/>
      <c r="G211" s="194" t="s">
        <v>362</v>
      </c>
      <c r="H211" s="194"/>
      <c r="I211" s="194"/>
      <c r="J211" s="194"/>
      <c r="K211" s="194"/>
      <c r="L211" s="194"/>
      <c r="M211" s="194"/>
      <c r="N211" s="194"/>
      <c r="O211" s="194"/>
      <c r="P211" s="194"/>
      <c r="Q211" s="194"/>
      <c r="R211" s="194"/>
      <c r="S211" s="194"/>
      <c r="T211" s="194"/>
      <c r="U211" s="194"/>
      <c r="V211" s="317" t="str">
        <f>$AO$31</f>
        <v/>
      </c>
      <c r="W211" s="318"/>
      <c r="X211" s="318"/>
      <c r="Y211" s="318"/>
      <c r="Z211" s="128" t="s">
        <v>434</v>
      </c>
      <c r="AA211" s="193" t="s">
        <v>354</v>
      </c>
      <c r="AB211" s="193"/>
      <c r="AC211" s="193"/>
      <c r="AD211" s="193"/>
      <c r="AE211" s="193"/>
      <c r="AF211" s="195" t="s">
        <v>355</v>
      </c>
      <c r="AG211" s="195"/>
      <c r="AH211" s="195"/>
      <c r="AI211" s="195">
        <v>1</v>
      </c>
      <c r="AJ211" s="195"/>
      <c r="AK211" s="196" t="e">
        <f t="shared" si="94"/>
        <v>#VALUE!</v>
      </c>
      <c r="AL211" s="196"/>
      <c r="AM211" s="196"/>
      <c r="AN211" s="196"/>
      <c r="AO211" s="197"/>
      <c r="AP211" s="304" t="str">
        <f t="shared" si="93"/>
        <v>∞</v>
      </c>
      <c r="AQ211" s="305"/>
      <c r="AR211" s="305"/>
      <c r="AS211" s="305"/>
      <c r="AT211" s="329"/>
      <c r="AU211" s="330"/>
      <c r="AV211" s="331"/>
      <c r="AW211" s="113"/>
      <c r="AX211" s="113"/>
      <c r="AY211" s="113"/>
      <c r="AZ211" s="113"/>
      <c r="BA211" s="113"/>
    </row>
    <row r="212" spans="1:53" ht="14.85" customHeight="1">
      <c r="A212" s="109"/>
      <c r="B212" s="190" t="s">
        <v>430</v>
      </c>
      <c r="C212" s="191"/>
      <c r="D212" s="191"/>
      <c r="E212" s="191"/>
      <c r="F212" s="191"/>
      <c r="G212" s="194" t="s">
        <v>363</v>
      </c>
      <c r="H212" s="194"/>
      <c r="I212" s="194"/>
      <c r="J212" s="194"/>
      <c r="K212" s="194"/>
      <c r="L212" s="194"/>
      <c r="M212" s="194"/>
      <c r="N212" s="194"/>
      <c r="O212" s="194"/>
      <c r="P212" s="194"/>
      <c r="Q212" s="194"/>
      <c r="R212" s="194"/>
      <c r="S212" s="194"/>
      <c r="T212" s="194"/>
      <c r="U212" s="194"/>
      <c r="V212" s="317">
        <v>0</v>
      </c>
      <c r="W212" s="318"/>
      <c r="X212" s="318"/>
      <c r="Y212" s="318"/>
      <c r="Z212" s="128" t="s">
        <v>434</v>
      </c>
      <c r="AA212" s="193" t="s">
        <v>354</v>
      </c>
      <c r="AB212" s="193"/>
      <c r="AC212" s="193"/>
      <c r="AD212" s="193"/>
      <c r="AE212" s="193"/>
      <c r="AF212" s="195" t="s">
        <v>355</v>
      </c>
      <c r="AG212" s="195"/>
      <c r="AH212" s="195"/>
      <c r="AI212" s="195">
        <v>1</v>
      </c>
      <c r="AJ212" s="195"/>
      <c r="AK212" s="196">
        <f>(V212/SQRT(3))*AI212</f>
        <v>0</v>
      </c>
      <c r="AL212" s="196"/>
      <c r="AM212" s="196"/>
      <c r="AN212" s="196"/>
      <c r="AO212" s="197"/>
      <c r="AP212" s="304" t="str">
        <f t="shared" si="93"/>
        <v>∞</v>
      </c>
      <c r="AQ212" s="305"/>
      <c r="AR212" s="305"/>
      <c r="AS212" s="305"/>
      <c r="AT212" s="329"/>
      <c r="AU212" s="330"/>
      <c r="AV212" s="331"/>
      <c r="AW212" s="113"/>
      <c r="AX212" s="113"/>
      <c r="AY212" s="113"/>
      <c r="AZ212" s="113"/>
      <c r="BA212" s="113"/>
    </row>
    <row r="213" spans="1:53" ht="14.85" customHeight="1">
      <c r="A213" s="109"/>
      <c r="B213" s="190" t="s">
        <v>431</v>
      </c>
      <c r="C213" s="191"/>
      <c r="D213" s="191"/>
      <c r="E213" s="191"/>
      <c r="F213" s="191"/>
      <c r="G213" s="194" t="s">
        <v>364</v>
      </c>
      <c r="H213" s="194"/>
      <c r="I213" s="194"/>
      <c r="J213" s="194"/>
      <c r="K213" s="194"/>
      <c r="L213" s="194"/>
      <c r="M213" s="194"/>
      <c r="N213" s="194"/>
      <c r="O213" s="194"/>
      <c r="P213" s="194"/>
      <c r="Q213" s="194"/>
      <c r="R213" s="194"/>
      <c r="S213" s="194"/>
      <c r="T213" s="194"/>
      <c r="U213" s="194"/>
      <c r="V213" s="317" t="str">
        <f>$E$16</f>
        <v/>
      </c>
      <c r="W213" s="318"/>
      <c r="X213" s="318"/>
      <c r="Y213" s="318"/>
      <c r="Z213" s="128" t="s">
        <v>434</v>
      </c>
      <c r="AA213" s="193" t="s">
        <v>37</v>
      </c>
      <c r="AB213" s="193"/>
      <c r="AC213" s="193"/>
      <c r="AD213" s="193"/>
      <c r="AE213" s="193"/>
      <c r="AF213" s="195">
        <v>1</v>
      </c>
      <c r="AG213" s="195"/>
      <c r="AH213" s="195"/>
      <c r="AI213" s="195">
        <f>IF($B$8="","",1)</f>
        <v>1</v>
      </c>
      <c r="AJ213" s="195"/>
      <c r="AK213" s="196" t="e">
        <f t="shared" ref="AK213" si="95">(V213/AF213)*AI213</f>
        <v>#VALUE!</v>
      </c>
      <c r="AL213" s="196"/>
      <c r="AM213" s="196"/>
      <c r="AN213" s="196"/>
      <c r="AO213" s="197"/>
      <c r="AP213" s="304">
        <v>9</v>
      </c>
      <c r="AQ213" s="305"/>
      <c r="AR213" s="305"/>
      <c r="AS213" s="305"/>
      <c r="AT213" s="329"/>
      <c r="AU213" s="330"/>
      <c r="AV213" s="331"/>
      <c r="AW213" s="113"/>
      <c r="AX213" s="113"/>
      <c r="AY213" s="113"/>
      <c r="AZ213" s="113"/>
      <c r="BA213" s="113"/>
    </row>
    <row r="214" spans="1:53" ht="14.85" customHeight="1" thickBot="1">
      <c r="A214" s="109"/>
      <c r="B214" s="306" t="s">
        <v>432</v>
      </c>
      <c r="C214" s="307"/>
      <c r="D214" s="307"/>
      <c r="E214" s="307"/>
      <c r="F214" s="307"/>
      <c r="G214" s="340" t="s">
        <v>365</v>
      </c>
      <c r="H214" s="340"/>
      <c r="I214" s="340"/>
      <c r="J214" s="340"/>
      <c r="K214" s="340"/>
      <c r="L214" s="340"/>
      <c r="M214" s="340"/>
      <c r="N214" s="340"/>
      <c r="O214" s="340"/>
      <c r="P214" s="340"/>
      <c r="Q214" s="340"/>
      <c r="R214" s="340"/>
      <c r="S214" s="340"/>
      <c r="T214" s="340"/>
      <c r="U214" s="340"/>
      <c r="V214" s="319" t="str">
        <f>$AO$16</f>
        <v/>
      </c>
      <c r="W214" s="320"/>
      <c r="X214" s="320"/>
      <c r="Y214" s="320"/>
      <c r="Z214" s="129" t="s">
        <v>434</v>
      </c>
      <c r="AA214" s="308" t="s">
        <v>37</v>
      </c>
      <c r="AB214" s="308"/>
      <c r="AC214" s="308"/>
      <c r="AD214" s="308"/>
      <c r="AE214" s="308"/>
      <c r="AF214" s="309">
        <v>1</v>
      </c>
      <c r="AG214" s="309"/>
      <c r="AH214" s="309"/>
      <c r="AI214" s="309">
        <f>IF($B$8="","",1)</f>
        <v>1</v>
      </c>
      <c r="AJ214" s="309"/>
      <c r="AK214" s="310" t="e">
        <f>(V214/AF214)*AI214</f>
        <v>#VALUE!</v>
      </c>
      <c r="AL214" s="310"/>
      <c r="AM214" s="310"/>
      <c r="AN214" s="310"/>
      <c r="AO214" s="311"/>
      <c r="AP214" s="304">
        <v>9</v>
      </c>
      <c r="AQ214" s="305"/>
      <c r="AR214" s="305"/>
      <c r="AS214" s="305"/>
      <c r="AT214" s="329"/>
      <c r="AU214" s="330"/>
      <c r="AV214" s="331"/>
      <c r="AW214" s="113"/>
      <c r="AX214" s="113"/>
      <c r="AY214" s="113"/>
      <c r="AZ214" s="113"/>
      <c r="BA214" s="113"/>
    </row>
    <row r="215" spans="1:53" ht="14.85" customHeight="1" thickTop="1" thickBot="1">
      <c r="A215" s="109"/>
      <c r="B215" s="338" t="s">
        <v>433</v>
      </c>
      <c r="C215" s="339"/>
      <c r="D215" s="339"/>
      <c r="E215" s="339"/>
      <c r="F215" s="339"/>
      <c r="G215" s="340" t="s">
        <v>366</v>
      </c>
      <c r="H215" s="340" t="s">
        <v>366</v>
      </c>
      <c r="I215" s="340" t="s">
        <v>366</v>
      </c>
      <c r="J215" s="340" t="s">
        <v>366</v>
      </c>
      <c r="K215" s="340" t="s">
        <v>366</v>
      </c>
      <c r="L215" s="340" t="s">
        <v>366</v>
      </c>
      <c r="M215" s="340" t="s">
        <v>366</v>
      </c>
      <c r="N215" s="340" t="s">
        <v>366</v>
      </c>
      <c r="O215" s="340" t="s">
        <v>366</v>
      </c>
      <c r="P215" s="340" t="s">
        <v>366</v>
      </c>
      <c r="Q215" s="340" t="s">
        <v>366</v>
      </c>
      <c r="R215" s="340" t="s">
        <v>366</v>
      </c>
      <c r="S215" s="340" t="s">
        <v>366</v>
      </c>
      <c r="T215" s="340" t="s">
        <v>366</v>
      </c>
      <c r="U215" s="340" t="s">
        <v>366</v>
      </c>
      <c r="V215" s="357"/>
      <c r="W215" s="358"/>
      <c r="X215" s="358"/>
      <c r="Y215" s="358"/>
      <c r="Z215" s="130"/>
      <c r="AA215" s="359" t="s">
        <v>37</v>
      </c>
      <c r="AB215" s="359"/>
      <c r="AC215" s="359"/>
      <c r="AD215" s="359"/>
      <c r="AE215" s="360"/>
      <c r="AF215" s="349"/>
      <c r="AG215" s="350"/>
      <c r="AH215" s="350"/>
      <c r="AI215" s="350"/>
      <c r="AJ215" s="351"/>
      <c r="AK215" s="343" t="e">
        <f>SQRT(SUMSQ(AK203:AO214))</f>
        <v>#VALUE!</v>
      </c>
      <c r="AL215" s="344"/>
      <c r="AM215" s="344"/>
      <c r="AN215" s="344"/>
      <c r="AO215" s="344"/>
      <c r="AP215" s="322" t="e">
        <f>IF(V214&lt;0.000000001,"∞",(AK215^4/((AK214^4/AP214)+(AK213^4/AP213))))</f>
        <v>#VALUE!</v>
      </c>
      <c r="AQ215" s="323"/>
      <c r="AR215" s="323"/>
      <c r="AS215" s="323"/>
      <c r="AT215" s="329"/>
      <c r="AU215" s="330"/>
      <c r="AV215" s="331"/>
      <c r="AW215" s="113"/>
      <c r="AX215" s="113"/>
      <c r="AY215" s="113"/>
      <c r="AZ215" s="113"/>
      <c r="BA215" s="113"/>
    </row>
    <row r="216" spans="1:53" ht="14.85" customHeight="1" thickTop="1" thickBot="1">
      <c r="A216" s="109"/>
      <c r="B216" s="338" t="s">
        <v>368</v>
      </c>
      <c r="C216" s="339"/>
      <c r="D216" s="339"/>
      <c r="E216" s="339"/>
      <c r="F216" s="339"/>
      <c r="G216" s="340" t="s">
        <v>369</v>
      </c>
      <c r="H216" s="340" t="s">
        <v>369</v>
      </c>
      <c r="I216" s="340" t="s">
        <v>369</v>
      </c>
      <c r="J216" s="340" t="s">
        <v>369</v>
      </c>
      <c r="K216" s="340" t="s">
        <v>369</v>
      </c>
      <c r="L216" s="340" t="s">
        <v>369</v>
      </c>
      <c r="M216" s="340" t="s">
        <v>369</v>
      </c>
      <c r="N216" s="340" t="s">
        <v>369</v>
      </c>
      <c r="O216" s="340" t="s">
        <v>369</v>
      </c>
      <c r="P216" s="340" t="s">
        <v>369</v>
      </c>
      <c r="Q216" s="340" t="s">
        <v>369</v>
      </c>
      <c r="R216" s="340" t="s">
        <v>369</v>
      </c>
      <c r="S216" s="340" t="s">
        <v>369</v>
      </c>
      <c r="T216" s="340" t="s">
        <v>369</v>
      </c>
      <c r="U216" s="340" t="s">
        <v>369</v>
      </c>
      <c r="V216" s="341"/>
      <c r="W216" s="342"/>
      <c r="X216" s="342"/>
      <c r="Y216" s="342"/>
      <c r="Z216" s="131"/>
      <c r="AA216" s="345" t="s">
        <v>370</v>
      </c>
      <c r="AB216" s="346"/>
      <c r="AC216" s="347" t="e">
        <f>IF(AP215="∞",2,TINV(0.0455,AP215))</f>
        <v>#VALUE!</v>
      </c>
      <c r="AD216" s="348"/>
      <c r="AE216" s="348"/>
      <c r="AF216" s="352"/>
      <c r="AG216" s="353"/>
      <c r="AH216" s="353"/>
      <c r="AI216" s="353"/>
      <c r="AJ216" s="354"/>
      <c r="AK216" s="343" t="e">
        <f>AK215*AC216</f>
        <v>#VALUE!</v>
      </c>
      <c r="AL216" s="344"/>
      <c r="AM216" s="344"/>
      <c r="AN216" s="344"/>
      <c r="AO216" s="344"/>
      <c r="AP216" s="324" t="s">
        <v>367</v>
      </c>
      <c r="AQ216" s="325" t="s">
        <v>367</v>
      </c>
      <c r="AR216" s="325" t="s">
        <v>367</v>
      </c>
      <c r="AS216" s="325"/>
      <c r="AT216" s="332"/>
      <c r="AU216" s="333"/>
      <c r="AV216" s="334"/>
      <c r="AW216" s="113"/>
      <c r="AX216" s="113"/>
      <c r="AY216" s="113"/>
      <c r="AZ216" s="113"/>
      <c r="BA216" s="113"/>
    </row>
    <row r="217" spans="1:53" ht="14.85" customHeight="1" thickTop="1" thickBot="1">
      <c r="A217" s="109"/>
      <c r="B217" s="139"/>
      <c r="C217" s="139"/>
      <c r="D217" s="139"/>
      <c r="E217" s="139"/>
      <c r="F217" s="139"/>
      <c r="G217" s="121"/>
      <c r="H217" s="121"/>
      <c r="I217" s="121"/>
      <c r="J217" s="121"/>
      <c r="K217" s="121"/>
      <c r="L217" s="121"/>
      <c r="M217" s="121"/>
      <c r="N217" s="121"/>
      <c r="O217" s="121"/>
      <c r="P217" s="121"/>
      <c r="Q217" s="121"/>
      <c r="R217" s="121"/>
      <c r="S217" s="121"/>
      <c r="T217" s="121"/>
      <c r="U217" s="121"/>
      <c r="V217" s="113"/>
      <c r="W217" s="113"/>
      <c r="X217" s="113"/>
      <c r="Y217" s="113"/>
      <c r="Z217" s="123"/>
      <c r="AA217" s="124"/>
      <c r="AB217" s="124"/>
      <c r="AC217" s="374" t="s">
        <v>371</v>
      </c>
      <c r="AD217" s="375"/>
      <c r="AE217" s="369">
        <f>IF($J$5&lt;0,0.04,0.03)</f>
        <v>0.03</v>
      </c>
      <c r="AF217" s="369"/>
      <c r="AG217" s="370"/>
      <c r="AH217" s="371" t="s">
        <v>372</v>
      </c>
      <c r="AI217" s="369"/>
      <c r="AJ217" s="369"/>
      <c r="AK217" s="376" t="e">
        <f>IF(AK216&lt;AE217,AE217,ROUNDUP(AK216,3))</f>
        <v>#VALUE!</v>
      </c>
      <c r="AL217" s="376"/>
      <c r="AM217" s="376"/>
      <c r="AN217" s="376"/>
      <c r="AO217" s="377"/>
      <c r="AP217" s="124"/>
      <c r="AQ217" s="124"/>
      <c r="AR217" s="124"/>
      <c r="AS217" s="113"/>
      <c r="AT217" s="113"/>
      <c r="AU217" s="113"/>
      <c r="AV217" s="113"/>
      <c r="AW217" s="113"/>
      <c r="AX217" s="113"/>
      <c r="AY217" s="113"/>
      <c r="AZ217" s="113"/>
      <c r="BA217" s="113"/>
    </row>
    <row r="218" spans="1:53" ht="14.85" customHeight="1" thickTop="1" thickBot="1">
      <c r="A218" s="109"/>
      <c r="B218" s="139"/>
      <c r="C218" s="139"/>
      <c r="D218" s="139"/>
      <c r="E218" s="139"/>
      <c r="F218" s="139"/>
      <c r="G218" s="121"/>
      <c r="H218" s="121"/>
      <c r="I218" s="121"/>
      <c r="J218" s="121"/>
      <c r="K218" s="121"/>
      <c r="L218" s="121"/>
      <c r="M218" s="121"/>
      <c r="N218" s="121"/>
      <c r="O218" s="121"/>
      <c r="P218" s="121"/>
      <c r="Q218" s="121"/>
      <c r="R218" s="121"/>
      <c r="S218" s="121"/>
      <c r="T218" s="121"/>
      <c r="U218" s="121"/>
      <c r="V218" s="113"/>
      <c r="W218" s="113"/>
      <c r="X218" s="113"/>
      <c r="Y218" s="113"/>
      <c r="Z218" s="123"/>
      <c r="AA218" s="124"/>
      <c r="AB218" s="124"/>
      <c r="AC218" s="124"/>
      <c r="AD218" s="124"/>
      <c r="AE218" s="124"/>
      <c r="AF218" s="125"/>
      <c r="AG218" s="125"/>
      <c r="AH218" s="125"/>
      <c r="AI218" s="125"/>
      <c r="AJ218" s="125"/>
      <c r="AK218" s="113"/>
      <c r="AL218" s="113"/>
      <c r="AM218" s="113"/>
      <c r="AN218" s="113"/>
      <c r="AO218" s="113"/>
      <c r="AP218" s="124"/>
      <c r="AQ218" s="124"/>
      <c r="AR218" s="124"/>
      <c r="AS218" s="113"/>
      <c r="AT218" s="113"/>
      <c r="AU218" s="113"/>
      <c r="AV218" s="113"/>
      <c r="AW218" s="113"/>
      <c r="AX218" s="113"/>
      <c r="AY218" s="113"/>
      <c r="AZ218" s="113"/>
      <c r="BA218" s="113"/>
    </row>
    <row r="219" spans="1:53" ht="14.85" customHeight="1" thickTop="1" thickBot="1">
      <c r="B219" s="355" t="s">
        <v>347</v>
      </c>
      <c r="C219" s="356"/>
      <c r="D219" s="356"/>
      <c r="E219" s="356"/>
      <c r="F219" s="356"/>
      <c r="G219" s="312" t="s">
        <v>348</v>
      </c>
      <c r="H219" s="312"/>
      <c r="I219" s="312"/>
      <c r="J219" s="312"/>
      <c r="K219" s="312"/>
      <c r="L219" s="312"/>
      <c r="M219" s="312"/>
      <c r="N219" s="312"/>
      <c r="O219" s="312"/>
      <c r="P219" s="312"/>
      <c r="Q219" s="312"/>
      <c r="R219" s="312"/>
      <c r="S219" s="312"/>
      <c r="T219" s="312"/>
      <c r="U219" s="312"/>
      <c r="V219" s="187" t="s">
        <v>417</v>
      </c>
      <c r="W219" s="187"/>
      <c r="X219" s="187"/>
      <c r="Y219" s="187"/>
      <c r="Z219" s="187"/>
      <c r="AA219" s="186" t="s">
        <v>418</v>
      </c>
      <c r="AB219" s="187"/>
      <c r="AC219" s="187"/>
      <c r="AD219" s="187"/>
      <c r="AE219" s="187"/>
      <c r="AF219" s="187" t="s">
        <v>349</v>
      </c>
      <c r="AG219" s="187"/>
      <c r="AH219" s="187"/>
      <c r="AI219" s="187" t="s">
        <v>350</v>
      </c>
      <c r="AJ219" s="187"/>
      <c r="AK219" s="186" t="s">
        <v>419</v>
      </c>
      <c r="AL219" s="187"/>
      <c r="AM219" s="187"/>
      <c r="AN219" s="187"/>
      <c r="AO219" s="187"/>
      <c r="AP219" s="361" t="s">
        <v>420</v>
      </c>
      <c r="AQ219" s="362"/>
      <c r="AR219" s="362"/>
      <c r="AS219" s="362"/>
      <c r="AT219" s="326" t="str">
        <f>IF(AS10="","","10")</f>
        <v/>
      </c>
      <c r="AU219" s="327"/>
      <c r="AV219" s="328"/>
      <c r="AW219" s="113"/>
      <c r="AX219" s="113"/>
      <c r="AY219" s="113"/>
      <c r="AZ219" s="113"/>
      <c r="BA219" s="113"/>
    </row>
    <row r="220" spans="1:53" ht="14.85" customHeight="1" thickTop="1" thickBot="1">
      <c r="A220" s="122"/>
      <c r="B220" s="355"/>
      <c r="C220" s="356"/>
      <c r="D220" s="356"/>
      <c r="E220" s="356"/>
      <c r="F220" s="356"/>
      <c r="G220" s="312"/>
      <c r="H220" s="312"/>
      <c r="I220" s="312"/>
      <c r="J220" s="312"/>
      <c r="K220" s="312"/>
      <c r="L220" s="312"/>
      <c r="M220" s="312"/>
      <c r="N220" s="312"/>
      <c r="O220" s="312"/>
      <c r="P220" s="312"/>
      <c r="Q220" s="312"/>
      <c r="R220" s="312"/>
      <c r="S220" s="312"/>
      <c r="T220" s="312"/>
      <c r="U220" s="312"/>
      <c r="V220" s="187"/>
      <c r="W220" s="187"/>
      <c r="X220" s="187"/>
      <c r="Y220" s="187"/>
      <c r="Z220" s="187"/>
      <c r="AA220" s="187"/>
      <c r="AB220" s="187"/>
      <c r="AC220" s="187"/>
      <c r="AD220" s="187"/>
      <c r="AE220" s="187"/>
      <c r="AF220" s="187"/>
      <c r="AG220" s="187"/>
      <c r="AH220" s="187"/>
      <c r="AI220" s="187"/>
      <c r="AJ220" s="187"/>
      <c r="AK220" s="187"/>
      <c r="AL220" s="187"/>
      <c r="AM220" s="187"/>
      <c r="AN220" s="187"/>
      <c r="AO220" s="187"/>
      <c r="AP220" s="363"/>
      <c r="AQ220" s="364"/>
      <c r="AR220" s="364"/>
      <c r="AS220" s="364"/>
      <c r="AT220" s="329"/>
      <c r="AU220" s="330"/>
      <c r="AV220" s="331"/>
      <c r="AW220" s="113"/>
      <c r="AX220" s="113"/>
      <c r="AY220" s="113"/>
      <c r="AZ220" s="113"/>
      <c r="BA220" s="113"/>
    </row>
    <row r="221" spans="1:53" ht="14.85" customHeight="1" thickTop="1">
      <c r="A221" s="109"/>
      <c r="B221" s="188" t="s">
        <v>421</v>
      </c>
      <c r="C221" s="189"/>
      <c r="D221" s="189"/>
      <c r="E221" s="189"/>
      <c r="F221" s="189"/>
      <c r="G221" s="321" t="s">
        <v>351</v>
      </c>
      <c r="H221" s="321"/>
      <c r="I221" s="321"/>
      <c r="J221" s="321"/>
      <c r="K221" s="321"/>
      <c r="L221" s="321"/>
      <c r="M221" s="321"/>
      <c r="N221" s="321"/>
      <c r="O221" s="321"/>
      <c r="P221" s="321"/>
      <c r="Q221" s="321"/>
      <c r="R221" s="321"/>
      <c r="S221" s="321"/>
      <c r="T221" s="321"/>
      <c r="U221" s="321"/>
      <c r="V221" s="367">
        <f>$V$47</f>
        <v>3.0000000000000001E-3</v>
      </c>
      <c r="W221" s="368"/>
      <c r="X221" s="368"/>
      <c r="Y221" s="368"/>
      <c r="Z221" s="127" t="s">
        <v>434</v>
      </c>
      <c r="AA221" s="192" t="s">
        <v>37</v>
      </c>
      <c r="AB221" s="192"/>
      <c r="AC221" s="192"/>
      <c r="AD221" s="192"/>
      <c r="AE221" s="192"/>
      <c r="AF221" s="289">
        <v>2</v>
      </c>
      <c r="AG221" s="289"/>
      <c r="AH221" s="289"/>
      <c r="AI221" s="289">
        <v>1</v>
      </c>
      <c r="AJ221" s="289"/>
      <c r="AK221" s="290">
        <f>(V221/AF221)*AI221</f>
        <v>1.5E-3</v>
      </c>
      <c r="AL221" s="290"/>
      <c r="AM221" s="290"/>
      <c r="AN221" s="290"/>
      <c r="AO221" s="291"/>
      <c r="AP221" s="365" t="str">
        <f t="shared" ref="AP221:AP230" si="96">IF($B$8="","","∞")</f>
        <v>∞</v>
      </c>
      <c r="AQ221" s="366"/>
      <c r="AR221" s="366"/>
      <c r="AS221" s="366"/>
      <c r="AT221" s="329"/>
      <c r="AU221" s="330"/>
      <c r="AV221" s="331"/>
      <c r="AW221" s="113"/>
      <c r="AX221" s="113"/>
      <c r="AY221" s="113"/>
      <c r="AZ221" s="113"/>
      <c r="BA221" s="113"/>
    </row>
    <row r="222" spans="1:53" ht="14.85" customHeight="1">
      <c r="A222" s="109"/>
      <c r="B222" s="190" t="s">
        <v>422</v>
      </c>
      <c r="C222" s="191"/>
      <c r="D222" s="191"/>
      <c r="E222" s="191"/>
      <c r="F222" s="191"/>
      <c r="G222" s="194" t="s">
        <v>352</v>
      </c>
      <c r="H222" s="194"/>
      <c r="I222" s="194"/>
      <c r="J222" s="194"/>
      <c r="K222" s="194"/>
      <c r="L222" s="194"/>
      <c r="M222" s="194"/>
      <c r="N222" s="194"/>
      <c r="O222" s="194"/>
      <c r="P222" s="194"/>
      <c r="Q222" s="194"/>
      <c r="R222" s="194"/>
      <c r="S222" s="194"/>
      <c r="T222" s="194"/>
      <c r="U222" s="194"/>
      <c r="V222" s="317">
        <f>$V$48</f>
        <v>1.6000000000000001E-3</v>
      </c>
      <c r="W222" s="318"/>
      <c r="X222" s="318"/>
      <c r="Y222" s="318"/>
      <c r="Z222" s="128" t="s">
        <v>353</v>
      </c>
      <c r="AA222" s="193" t="s">
        <v>354</v>
      </c>
      <c r="AB222" s="193"/>
      <c r="AC222" s="193"/>
      <c r="AD222" s="193"/>
      <c r="AE222" s="193"/>
      <c r="AF222" s="195" t="s">
        <v>355</v>
      </c>
      <c r="AG222" s="195"/>
      <c r="AH222" s="195"/>
      <c r="AI222" s="195">
        <v>10</v>
      </c>
      <c r="AJ222" s="195"/>
      <c r="AK222" s="196">
        <f>(V222/SQRT(3))*AI222</f>
        <v>9.2376043070340128E-3</v>
      </c>
      <c r="AL222" s="196"/>
      <c r="AM222" s="196"/>
      <c r="AN222" s="196"/>
      <c r="AO222" s="197"/>
      <c r="AP222" s="304" t="str">
        <f t="shared" si="96"/>
        <v>∞</v>
      </c>
      <c r="AQ222" s="305"/>
      <c r="AR222" s="305"/>
      <c r="AS222" s="305"/>
      <c r="AT222" s="329"/>
      <c r="AU222" s="330"/>
      <c r="AV222" s="331"/>
      <c r="AW222" s="113"/>
      <c r="AX222" s="113"/>
      <c r="AY222" s="113"/>
      <c r="AZ222" s="113"/>
      <c r="BA222" s="113"/>
    </row>
    <row r="223" spans="1:53" ht="14.85" customHeight="1">
      <c r="A223" s="109"/>
      <c r="B223" s="190" t="s">
        <v>423</v>
      </c>
      <c r="C223" s="191"/>
      <c r="D223" s="191"/>
      <c r="E223" s="191"/>
      <c r="F223" s="191"/>
      <c r="G223" s="194" t="s">
        <v>356</v>
      </c>
      <c r="H223" s="194"/>
      <c r="I223" s="194"/>
      <c r="J223" s="194"/>
      <c r="K223" s="194"/>
      <c r="L223" s="194"/>
      <c r="M223" s="194"/>
      <c r="N223" s="194"/>
      <c r="O223" s="194"/>
      <c r="P223" s="194"/>
      <c r="Q223" s="194"/>
      <c r="R223" s="194"/>
      <c r="S223" s="194"/>
      <c r="T223" s="194"/>
      <c r="U223" s="194"/>
      <c r="V223" s="317">
        <f>$V$49</f>
        <v>1E-3</v>
      </c>
      <c r="W223" s="318"/>
      <c r="X223" s="318"/>
      <c r="Y223" s="318"/>
      <c r="Z223" s="128" t="s">
        <v>353</v>
      </c>
      <c r="AA223" s="193" t="s">
        <v>354</v>
      </c>
      <c r="AB223" s="193"/>
      <c r="AC223" s="193"/>
      <c r="AD223" s="193"/>
      <c r="AE223" s="193"/>
      <c r="AF223" s="195">
        <v>2</v>
      </c>
      <c r="AG223" s="195"/>
      <c r="AH223" s="195"/>
      <c r="AI223" s="195">
        <v>10</v>
      </c>
      <c r="AJ223" s="195"/>
      <c r="AK223" s="196">
        <f>(V223/AF223)*AI223</f>
        <v>5.0000000000000001E-3</v>
      </c>
      <c r="AL223" s="196"/>
      <c r="AM223" s="196"/>
      <c r="AN223" s="196"/>
      <c r="AO223" s="197"/>
      <c r="AP223" s="304" t="str">
        <f t="shared" si="96"/>
        <v>∞</v>
      </c>
      <c r="AQ223" s="305"/>
      <c r="AR223" s="305"/>
      <c r="AS223" s="305"/>
      <c r="AT223" s="329"/>
      <c r="AU223" s="330"/>
      <c r="AV223" s="331"/>
      <c r="AW223" s="113"/>
      <c r="AX223" s="113"/>
      <c r="AY223" s="113"/>
      <c r="AZ223" s="113"/>
      <c r="BA223" s="113"/>
    </row>
    <row r="224" spans="1:53" ht="14.85" customHeight="1">
      <c r="A224" s="109"/>
      <c r="B224" s="190" t="s">
        <v>424</v>
      </c>
      <c r="C224" s="191"/>
      <c r="D224" s="191"/>
      <c r="E224" s="191"/>
      <c r="F224" s="191"/>
      <c r="G224" s="194" t="s">
        <v>357</v>
      </c>
      <c r="H224" s="194"/>
      <c r="I224" s="194"/>
      <c r="J224" s="194"/>
      <c r="K224" s="194"/>
      <c r="L224" s="194"/>
      <c r="M224" s="194"/>
      <c r="N224" s="194"/>
      <c r="O224" s="194"/>
      <c r="P224" s="194"/>
      <c r="Q224" s="194"/>
      <c r="R224" s="194"/>
      <c r="S224" s="194"/>
      <c r="T224" s="194"/>
      <c r="U224" s="194"/>
      <c r="V224" s="317">
        <f>$V$50</f>
        <v>1E-3</v>
      </c>
      <c r="W224" s="318"/>
      <c r="X224" s="318"/>
      <c r="Y224" s="318"/>
      <c r="Z224" s="128" t="s">
        <v>353</v>
      </c>
      <c r="AA224" s="193" t="s">
        <v>354</v>
      </c>
      <c r="AB224" s="193"/>
      <c r="AC224" s="193"/>
      <c r="AD224" s="193"/>
      <c r="AE224" s="193"/>
      <c r="AF224" s="195" t="s">
        <v>355</v>
      </c>
      <c r="AG224" s="195"/>
      <c r="AH224" s="195"/>
      <c r="AI224" s="195">
        <v>10</v>
      </c>
      <c r="AJ224" s="195"/>
      <c r="AK224" s="196">
        <f>(V224/SQRT(3))*AI224</f>
        <v>5.773502691896258E-3</v>
      </c>
      <c r="AL224" s="196"/>
      <c r="AM224" s="196"/>
      <c r="AN224" s="196"/>
      <c r="AO224" s="197"/>
      <c r="AP224" s="304" t="str">
        <f t="shared" si="96"/>
        <v>∞</v>
      </c>
      <c r="AQ224" s="305"/>
      <c r="AR224" s="305"/>
      <c r="AS224" s="305"/>
      <c r="AT224" s="329"/>
      <c r="AU224" s="330"/>
      <c r="AV224" s="331"/>
      <c r="AW224" s="113"/>
      <c r="AX224" s="113"/>
      <c r="AY224" s="113"/>
      <c r="AZ224" s="113"/>
      <c r="BA224" s="113"/>
    </row>
    <row r="225" spans="1:53" ht="14.85" customHeight="1">
      <c r="A225" s="109"/>
      <c r="B225" s="190" t="s">
        <v>425</v>
      </c>
      <c r="C225" s="191"/>
      <c r="D225" s="191"/>
      <c r="E225" s="191"/>
      <c r="F225" s="191"/>
      <c r="G225" s="194" t="s">
        <v>358</v>
      </c>
      <c r="H225" s="194"/>
      <c r="I225" s="194"/>
      <c r="J225" s="194"/>
      <c r="K225" s="194"/>
      <c r="L225" s="194"/>
      <c r="M225" s="194"/>
      <c r="N225" s="194"/>
      <c r="O225" s="194"/>
      <c r="P225" s="194"/>
      <c r="Q225" s="194"/>
      <c r="R225" s="194"/>
      <c r="S225" s="194"/>
      <c r="T225" s="194"/>
      <c r="U225" s="194"/>
      <c r="V225" s="317">
        <f>$V$51</f>
        <v>5.0000000000000002E-5</v>
      </c>
      <c r="W225" s="318"/>
      <c r="X225" s="318"/>
      <c r="Y225" s="318"/>
      <c r="Z225" s="128" t="s">
        <v>434</v>
      </c>
      <c r="AA225" s="193" t="s">
        <v>354</v>
      </c>
      <c r="AB225" s="193"/>
      <c r="AC225" s="193"/>
      <c r="AD225" s="193"/>
      <c r="AE225" s="193"/>
      <c r="AF225" s="195" t="s">
        <v>355</v>
      </c>
      <c r="AG225" s="195"/>
      <c r="AH225" s="195"/>
      <c r="AI225" s="195">
        <v>1</v>
      </c>
      <c r="AJ225" s="195"/>
      <c r="AK225" s="196">
        <f>(V225/SQRT(3))*AI225</f>
        <v>2.8867513459481293E-5</v>
      </c>
      <c r="AL225" s="196"/>
      <c r="AM225" s="196"/>
      <c r="AN225" s="196"/>
      <c r="AO225" s="197"/>
      <c r="AP225" s="304" t="str">
        <f t="shared" si="96"/>
        <v>∞</v>
      </c>
      <c r="AQ225" s="305"/>
      <c r="AR225" s="305"/>
      <c r="AS225" s="305"/>
      <c r="AT225" s="329"/>
      <c r="AU225" s="330"/>
      <c r="AV225" s="331"/>
      <c r="AW225" s="113"/>
      <c r="AX225" s="113"/>
      <c r="AY225" s="113"/>
      <c r="AZ225" s="113"/>
      <c r="BA225" s="113"/>
    </row>
    <row r="226" spans="1:53" ht="14.85" customHeight="1">
      <c r="A226" s="109"/>
      <c r="B226" s="190" t="s">
        <v>426</v>
      </c>
      <c r="C226" s="191"/>
      <c r="D226" s="191"/>
      <c r="E226" s="191"/>
      <c r="F226" s="191"/>
      <c r="G226" s="194" t="s">
        <v>359</v>
      </c>
      <c r="H226" s="194"/>
      <c r="I226" s="194"/>
      <c r="J226" s="194"/>
      <c r="K226" s="194"/>
      <c r="L226" s="194"/>
      <c r="M226" s="194"/>
      <c r="N226" s="194"/>
      <c r="O226" s="194"/>
      <c r="P226" s="194"/>
      <c r="Q226" s="194"/>
      <c r="R226" s="194"/>
      <c r="S226" s="194"/>
      <c r="T226" s="194"/>
      <c r="U226" s="194"/>
      <c r="V226" s="317">
        <f>$V$52</f>
        <v>0.01</v>
      </c>
      <c r="W226" s="318"/>
      <c r="X226" s="318"/>
      <c r="Y226" s="318"/>
      <c r="Z226" s="128" t="s">
        <v>434</v>
      </c>
      <c r="AA226" s="193" t="s">
        <v>354</v>
      </c>
      <c r="AB226" s="193"/>
      <c r="AC226" s="193"/>
      <c r="AD226" s="193"/>
      <c r="AE226" s="193"/>
      <c r="AF226" s="195" t="s">
        <v>355</v>
      </c>
      <c r="AG226" s="195"/>
      <c r="AH226" s="195"/>
      <c r="AI226" s="195">
        <v>1</v>
      </c>
      <c r="AJ226" s="195"/>
      <c r="AK226" s="196">
        <f>(V226/SQRT(3))*AI226</f>
        <v>5.773502691896258E-3</v>
      </c>
      <c r="AL226" s="196"/>
      <c r="AM226" s="196"/>
      <c r="AN226" s="196"/>
      <c r="AO226" s="197"/>
      <c r="AP226" s="304" t="str">
        <f t="shared" si="96"/>
        <v>∞</v>
      </c>
      <c r="AQ226" s="305"/>
      <c r="AR226" s="305"/>
      <c r="AS226" s="305"/>
      <c r="AT226" s="329"/>
      <c r="AU226" s="330"/>
      <c r="AV226" s="331"/>
      <c r="AW226" s="113"/>
      <c r="AX226" s="113"/>
      <c r="AY226" s="113"/>
      <c r="AZ226" s="113"/>
      <c r="BA226" s="113"/>
    </row>
    <row r="227" spans="1:53" ht="14.85" customHeight="1">
      <c r="A227" s="109"/>
      <c r="B227" s="190" t="s">
        <v>427</v>
      </c>
      <c r="C227" s="191"/>
      <c r="D227" s="191"/>
      <c r="E227" s="191"/>
      <c r="F227" s="191"/>
      <c r="G227" s="194" t="s">
        <v>360</v>
      </c>
      <c r="H227" s="194"/>
      <c r="I227" s="194"/>
      <c r="J227" s="194"/>
      <c r="K227" s="194"/>
      <c r="L227" s="194"/>
      <c r="M227" s="194"/>
      <c r="N227" s="194"/>
      <c r="O227" s="194"/>
      <c r="P227" s="194"/>
      <c r="Q227" s="194"/>
      <c r="R227" s="194"/>
      <c r="S227" s="194"/>
      <c r="T227" s="194"/>
      <c r="U227" s="194"/>
      <c r="V227" s="317">
        <f>$V$53</f>
        <v>0.01</v>
      </c>
      <c r="W227" s="318"/>
      <c r="X227" s="318"/>
      <c r="Y227" s="318"/>
      <c r="Z227" s="128" t="s">
        <v>434</v>
      </c>
      <c r="AA227" s="193" t="s">
        <v>354</v>
      </c>
      <c r="AB227" s="193"/>
      <c r="AC227" s="193"/>
      <c r="AD227" s="193"/>
      <c r="AE227" s="193"/>
      <c r="AF227" s="195" t="s">
        <v>355</v>
      </c>
      <c r="AG227" s="195"/>
      <c r="AH227" s="195"/>
      <c r="AI227" s="195">
        <v>1</v>
      </c>
      <c r="AJ227" s="195"/>
      <c r="AK227" s="196">
        <f t="shared" ref="AK227:AK229" si="97">(V227/SQRT(3))*AI227</f>
        <v>5.773502691896258E-3</v>
      </c>
      <c r="AL227" s="196"/>
      <c r="AM227" s="196"/>
      <c r="AN227" s="196"/>
      <c r="AO227" s="197"/>
      <c r="AP227" s="304" t="str">
        <f t="shared" si="96"/>
        <v>∞</v>
      </c>
      <c r="AQ227" s="305"/>
      <c r="AR227" s="305"/>
      <c r="AS227" s="305"/>
      <c r="AT227" s="329"/>
      <c r="AU227" s="330"/>
      <c r="AV227" s="331"/>
      <c r="AW227" s="113"/>
      <c r="AX227" s="113"/>
      <c r="AY227" s="113"/>
      <c r="AZ227" s="113"/>
      <c r="BA227" s="113"/>
    </row>
    <row r="228" spans="1:53" ht="14.85" customHeight="1">
      <c r="A228" s="109"/>
      <c r="B228" s="190" t="s">
        <v>428</v>
      </c>
      <c r="C228" s="191"/>
      <c r="D228" s="191"/>
      <c r="E228" s="191"/>
      <c r="F228" s="191"/>
      <c r="G228" s="194" t="s">
        <v>361</v>
      </c>
      <c r="H228" s="194"/>
      <c r="I228" s="194"/>
      <c r="J228" s="194"/>
      <c r="K228" s="194"/>
      <c r="L228" s="194"/>
      <c r="M228" s="194"/>
      <c r="N228" s="194"/>
      <c r="O228" s="194"/>
      <c r="P228" s="194"/>
      <c r="Q228" s="194"/>
      <c r="R228" s="194"/>
      <c r="S228" s="194"/>
      <c r="T228" s="194"/>
      <c r="U228" s="194"/>
      <c r="V228" s="317">
        <f>$AB$3/2</f>
        <v>0</v>
      </c>
      <c r="W228" s="318"/>
      <c r="X228" s="318"/>
      <c r="Y228" s="318"/>
      <c r="Z228" s="128" t="s">
        <v>434</v>
      </c>
      <c r="AA228" s="193" t="s">
        <v>354</v>
      </c>
      <c r="AB228" s="193"/>
      <c r="AC228" s="193"/>
      <c r="AD228" s="193"/>
      <c r="AE228" s="193"/>
      <c r="AF228" s="195" t="s">
        <v>355</v>
      </c>
      <c r="AG228" s="195"/>
      <c r="AH228" s="195"/>
      <c r="AI228" s="195">
        <v>1</v>
      </c>
      <c r="AJ228" s="195"/>
      <c r="AK228" s="196">
        <f t="shared" si="97"/>
        <v>0</v>
      </c>
      <c r="AL228" s="196"/>
      <c r="AM228" s="196"/>
      <c r="AN228" s="196"/>
      <c r="AO228" s="197"/>
      <c r="AP228" s="304" t="str">
        <f t="shared" si="96"/>
        <v>∞</v>
      </c>
      <c r="AQ228" s="305"/>
      <c r="AR228" s="305"/>
      <c r="AS228" s="305"/>
      <c r="AT228" s="329"/>
      <c r="AU228" s="330"/>
      <c r="AV228" s="331"/>
      <c r="AW228" s="113"/>
      <c r="AX228" s="113"/>
      <c r="AY228" s="113"/>
      <c r="AZ228" s="113"/>
      <c r="BA228" s="113"/>
    </row>
    <row r="229" spans="1:53" ht="14.85" customHeight="1">
      <c r="A229" s="109"/>
      <c r="B229" s="190" t="s">
        <v>429</v>
      </c>
      <c r="C229" s="191"/>
      <c r="D229" s="191"/>
      <c r="E229" s="191"/>
      <c r="F229" s="191"/>
      <c r="G229" s="194" t="s">
        <v>362</v>
      </c>
      <c r="H229" s="194"/>
      <c r="I229" s="194"/>
      <c r="J229" s="194"/>
      <c r="K229" s="194"/>
      <c r="L229" s="194"/>
      <c r="M229" s="194"/>
      <c r="N229" s="194"/>
      <c r="O229" s="194"/>
      <c r="P229" s="194"/>
      <c r="Q229" s="194"/>
      <c r="R229" s="194"/>
      <c r="S229" s="194"/>
      <c r="T229" s="194"/>
      <c r="U229" s="194"/>
      <c r="V229" s="317" t="str">
        <f>$AS$31</f>
        <v/>
      </c>
      <c r="W229" s="318"/>
      <c r="X229" s="318"/>
      <c r="Y229" s="318"/>
      <c r="Z229" s="128" t="s">
        <v>434</v>
      </c>
      <c r="AA229" s="193" t="s">
        <v>354</v>
      </c>
      <c r="AB229" s="193"/>
      <c r="AC229" s="193"/>
      <c r="AD229" s="193"/>
      <c r="AE229" s="193"/>
      <c r="AF229" s="195" t="s">
        <v>355</v>
      </c>
      <c r="AG229" s="195"/>
      <c r="AH229" s="195"/>
      <c r="AI229" s="195">
        <v>1</v>
      </c>
      <c r="AJ229" s="195"/>
      <c r="AK229" s="196" t="e">
        <f t="shared" si="97"/>
        <v>#VALUE!</v>
      </c>
      <c r="AL229" s="196"/>
      <c r="AM229" s="196"/>
      <c r="AN229" s="196"/>
      <c r="AO229" s="197"/>
      <c r="AP229" s="304" t="str">
        <f t="shared" si="96"/>
        <v>∞</v>
      </c>
      <c r="AQ229" s="305"/>
      <c r="AR229" s="305"/>
      <c r="AS229" s="305"/>
      <c r="AT229" s="329"/>
      <c r="AU229" s="330"/>
      <c r="AV229" s="331"/>
      <c r="AW229" s="113"/>
      <c r="AX229" s="113"/>
      <c r="AY229" s="113"/>
      <c r="AZ229" s="113"/>
      <c r="BA229" s="113"/>
    </row>
    <row r="230" spans="1:53" ht="14.85" customHeight="1">
      <c r="A230" s="109"/>
      <c r="B230" s="190" t="s">
        <v>430</v>
      </c>
      <c r="C230" s="191"/>
      <c r="D230" s="191"/>
      <c r="E230" s="191"/>
      <c r="F230" s="191"/>
      <c r="G230" s="194" t="s">
        <v>363</v>
      </c>
      <c r="H230" s="194"/>
      <c r="I230" s="194"/>
      <c r="J230" s="194"/>
      <c r="K230" s="194"/>
      <c r="L230" s="194"/>
      <c r="M230" s="194"/>
      <c r="N230" s="194"/>
      <c r="O230" s="194"/>
      <c r="P230" s="194"/>
      <c r="Q230" s="194"/>
      <c r="R230" s="194"/>
      <c r="S230" s="194"/>
      <c r="T230" s="194"/>
      <c r="U230" s="194"/>
      <c r="V230" s="317">
        <v>0</v>
      </c>
      <c r="W230" s="318"/>
      <c r="X230" s="318"/>
      <c r="Y230" s="318"/>
      <c r="Z230" s="128" t="s">
        <v>434</v>
      </c>
      <c r="AA230" s="193" t="s">
        <v>354</v>
      </c>
      <c r="AB230" s="193"/>
      <c r="AC230" s="193"/>
      <c r="AD230" s="193"/>
      <c r="AE230" s="193"/>
      <c r="AF230" s="195" t="s">
        <v>355</v>
      </c>
      <c r="AG230" s="195"/>
      <c r="AH230" s="195"/>
      <c r="AI230" s="195">
        <v>1</v>
      </c>
      <c r="AJ230" s="195"/>
      <c r="AK230" s="196">
        <f>(V230/SQRT(3))*AI230</f>
        <v>0</v>
      </c>
      <c r="AL230" s="196"/>
      <c r="AM230" s="196"/>
      <c r="AN230" s="196"/>
      <c r="AO230" s="197"/>
      <c r="AP230" s="304" t="str">
        <f t="shared" si="96"/>
        <v>∞</v>
      </c>
      <c r="AQ230" s="305"/>
      <c r="AR230" s="305"/>
      <c r="AS230" s="305"/>
      <c r="AT230" s="329"/>
      <c r="AU230" s="330"/>
      <c r="AV230" s="331"/>
      <c r="AW230" s="113"/>
      <c r="AX230" s="113"/>
      <c r="AY230" s="113"/>
      <c r="AZ230" s="113"/>
      <c r="BA230" s="113"/>
    </row>
    <row r="231" spans="1:53" ht="14.85" customHeight="1">
      <c r="A231" s="109"/>
      <c r="B231" s="190" t="s">
        <v>431</v>
      </c>
      <c r="C231" s="191"/>
      <c r="D231" s="191"/>
      <c r="E231" s="191"/>
      <c r="F231" s="191"/>
      <c r="G231" s="194" t="s">
        <v>364</v>
      </c>
      <c r="H231" s="194"/>
      <c r="I231" s="194"/>
      <c r="J231" s="194"/>
      <c r="K231" s="194"/>
      <c r="L231" s="194"/>
      <c r="M231" s="194"/>
      <c r="N231" s="194"/>
      <c r="O231" s="194"/>
      <c r="P231" s="194"/>
      <c r="Q231" s="194"/>
      <c r="R231" s="194"/>
      <c r="S231" s="194"/>
      <c r="T231" s="194"/>
      <c r="U231" s="194"/>
      <c r="V231" s="317" t="str">
        <f>$E$16</f>
        <v/>
      </c>
      <c r="W231" s="318"/>
      <c r="X231" s="318"/>
      <c r="Y231" s="318"/>
      <c r="Z231" s="128" t="s">
        <v>434</v>
      </c>
      <c r="AA231" s="193" t="s">
        <v>37</v>
      </c>
      <c r="AB231" s="193"/>
      <c r="AC231" s="193"/>
      <c r="AD231" s="193"/>
      <c r="AE231" s="193"/>
      <c r="AF231" s="195">
        <v>1</v>
      </c>
      <c r="AG231" s="195"/>
      <c r="AH231" s="195"/>
      <c r="AI231" s="195">
        <f>IF($B$8="","",1)</f>
        <v>1</v>
      </c>
      <c r="AJ231" s="195"/>
      <c r="AK231" s="196" t="e">
        <f>(V231/AF231)*AI231</f>
        <v>#VALUE!</v>
      </c>
      <c r="AL231" s="196"/>
      <c r="AM231" s="196"/>
      <c r="AN231" s="196"/>
      <c r="AO231" s="197"/>
      <c r="AP231" s="304">
        <v>9</v>
      </c>
      <c r="AQ231" s="305"/>
      <c r="AR231" s="305"/>
      <c r="AS231" s="305"/>
      <c r="AT231" s="329"/>
      <c r="AU231" s="330"/>
      <c r="AV231" s="331"/>
      <c r="AW231" s="113"/>
      <c r="AX231" s="113"/>
      <c r="AY231" s="113"/>
      <c r="AZ231" s="113"/>
      <c r="BA231" s="113"/>
    </row>
    <row r="232" spans="1:53" ht="14.85" customHeight="1" thickBot="1">
      <c r="A232" s="109"/>
      <c r="B232" s="306" t="s">
        <v>432</v>
      </c>
      <c r="C232" s="307"/>
      <c r="D232" s="307"/>
      <c r="E232" s="307"/>
      <c r="F232" s="307"/>
      <c r="G232" s="340" t="s">
        <v>365</v>
      </c>
      <c r="H232" s="340"/>
      <c r="I232" s="340"/>
      <c r="J232" s="340"/>
      <c r="K232" s="340"/>
      <c r="L232" s="340"/>
      <c r="M232" s="340"/>
      <c r="N232" s="340"/>
      <c r="O232" s="340"/>
      <c r="P232" s="340"/>
      <c r="Q232" s="340"/>
      <c r="R232" s="340"/>
      <c r="S232" s="340"/>
      <c r="T232" s="340"/>
      <c r="U232" s="340"/>
      <c r="V232" s="319" t="str">
        <f>$AS$16</f>
        <v/>
      </c>
      <c r="W232" s="320"/>
      <c r="X232" s="320"/>
      <c r="Y232" s="320"/>
      <c r="Z232" s="129" t="s">
        <v>434</v>
      </c>
      <c r="AA232" s="308" t="s">
        <v>37</v>
      </c>
      <c r="AB232" s="308"/>
      <c r="AC232" s="308"/>
      <c r="AD232" s="308"/>
      <c r="AE232" s="308"/>
      <c r="AF232" s="309">
        <v>1</v>
      </c>
      <c r="AG232" s="309"/>
      <c r="AH232" s="309"/>
      <c r="AI232" s="309">
        <f>IF($B$8="","",1)</f>
        <v>1</v>
      </c>
      <c r="AJ232" s="309"/>
      <c r="AK232" s="310" t="e">
        <f>(V232/AF232)*AI232</f>
        <v>#VALUE!</v>
      </c>
      <c r="AL232" s="310"/>
      <c r="AM232" s="310"/>
      <c r="AN232" s="310"/>
      <c r="AO232" s="311"/>
      <c r="AP232" s="304">
        <v>9</v>
      </c>
      <c r="AQ232" s="305"/>
      <c r="AR232" s="305"/>
      <c r="AS232" s="305"/>
      <c r="AT232" s="329"/>
      <c r="AU232" s="330"/>
      <c r="AV232" s="331"/>
      <c r="AW232" s="113"/>
      <c r="AX232" s="113"/>
      <c r="AY232" s="113"/>
      <c r="AZ232" s="113"/>
      <c r="BA232" s="113"/>
    </row>
    <row r="233" spans="1:53" ht="14.85" customHeight="1" thickTop="1" thickBot="1">
      <c r="A233" s="109"/>
      <c r="B233" s="338" t="s">
        <v>433</v>
      </c>
      <c r="C233" s="339"/>
      <c r="D233" s="339"/>
      <c r="E233" s="339"/>
      <c r="F233" s="339"/>
      <c r="G233" s="340" t="s">
        <v>366</v>
      </c>
      <c r="H233" s="340" t="s">
        <v>366</v>
      </c>
      <c r="I233" s="340" t="s">
        <v>366</v>
      </c>
      <c r="J233" s="340" t="s">
        <v>366</v>
      </c>
      <c r="K233" s="340" t="s">
        <v>366</v>
      </c>
      <c r="L233" s="340" t="s">
        <v>366</v>
      </c>
      <c r="M233" s="340" t="s">
        <v>366</v>
      </c>
      <c r="N233" s="340" t="s">
        <v>366</v>
      </c>
      <c r="O233" s="340" t="s">
        <v>366</v>
      </c>
      <c r="P233" s="340" t="s">
        <v>366</v>
      </c>
      <c r="Q233" s="340" t="s">
        <v>366</v>
      </c>
      <c r="R233" s="340" t="s">
        <v>366</v>
      </c>
      <c r="S233" s="340" t="s">
        <v>366</v>
      </c>
      <c r="T233" s="340" t="s">
        <v>366</v>
      </c>
      <c r="U233" s="340" t="s">
        <v>366</v>
      </c>
      <c r="V233" s="357"/>
      <c r="W233" s="358"/>
      <c r="X233" s="358"/>
      <c r="Y233" s="358"/>
      <c r="Z233" s="130"/>
      <c r="AA233" s="359" t="s">
        <v>37</v>
      </c>
      <c r="AB233" s="359"/>
      <c r="AC233" s="359"/>
      <c r="AD233" s="359"/>
      <c r="AE233" s="360"/>
      <c r="AF233" s="349"/>
      <c r="AG233" s="350"/>
      <c r="AH233" s="350"/>
      <c r="AI233" s="350"/>
      <c r="AJ233" s="351"/>
      <c r="AK233" s="343" t="e">
        <f>SQRT(SUMSQ(AK221:AO232))</f>
        <v>#VALUE!</v>
      </c>
      <c r="AL233" s="344"/>
      <c r="AM233" s="344"/>
      <c r="AN233" s="344"/>
      <c r="AO233" s="344"/>
      <c r="AP233" s="322" t="e">
        <f>IF(V232&lt;0.000000001,"∞",(AK233^4/((AK232^4/AP232)+(AK231^4/AP231))))</f>
        <v>#VALUE!</v>
      </c>
      <c r="AQ233" s="323"/>
      <c r="AR233" s="323"/>
      <c r="AS233" s="323"/>
      <c r="AT233" s="329"/>
      <c r="AU233" s="330"/>
      <c r="AV233" s="331"/>
      <c r="AW233" s="113"/>
      <c r="AX233" s="113"/>
      <c r="AY233" s="113"/>
      <c r="AZ233" s="113"/>
      <c r="BA233" s="113"/>
    </row>
    <row r="234" spans="1:53" ht="14.85" customHeight="1" thickTop="1" thickBot="1">
      <c r="A234" s="109"/>
      <c r="B234" s="338" t="s">
        <v>368</v>
      </c>
      <c r="C234" s="339"/>
      <c r="D234" s="339"/>
      <c r="E234" s="339"/>
      <c r="F234" s="339"/>
      <c r="G234" s="340" t="s">
        <v>369</v>
      </c>
      <c r="H234" s="340" t="s">
        <v>369</v>
      </c>
      <c r="I234" s="340" t="s">
        <v>369</v>
      </c>
      <c r="J234" s="340" t="s">
        <v>369</v>
      </c>
      <c r="K234" s="340" t="s">
        <v>369</v>
      </c>
      <c r="L234" s="340" t="s">
        <v>369</v>
      </c>
      <c r="M234" s="340" t="s">
        <v>369</v>
      </c>
      <c r="N234" s="340" t="s">
        <v>369</v>
      </c>
      <c r="O234" s="340" t="s">
        <v>369</v>
      </c>
      <c r="P234" s="340" t="s">
        <v>369</v>
      </c>
      <c r="Q234" s="340" t="s">
        <v>369</v>
      </c>
      <c r="R234" s="340" t="s">
        <v>369</v>
      </c>
      <c r="S234" s="340" t="s">
        <v>369</v>
      </c>
      <c r="T234" s="340" t="s">
        <v>369</v>
      </c>
      <c r="U234" s="340" t="s">
        <v>369</v>
      </c>
      <c r="V234" s="341"/>
      <c r="W234" s="342"/>
      <c r="X234" s="342"/>
      <c r="Y234" s="342"/>
      <c r="Z234" s="131"/>
      <c r="AA234" s="345" t="s">
        <v>370</v>
      </c>
      <c r="AB234" s="346"/>
      <c r="AC234" s="347" t="e">
        <f>IF(AP233="∞",2,TINV(0.0455,AP233))</f>
        <v>#VALUE!</v>
      </c>
      <c r="AD234" s="348"/>
      <c r="AE234" s="348"/>
      <c r="AF234" s="352"/>
      <c r="AG234" s="353"/>
      <c r="AH234" s="353"/>
      <c r="AI234" s="353"/>
      <c r="AJ234" s="354"/>
      <c r="AK234" s="343" t="e">
        <f>AK233*AC234</f>
        <v>#VALUE!</v>
      </c>
      <c r="AL234" s="344"/>
      <c r="AM234" s="344"/>
      <c r="AN234" s="344"/>
      <c r="AO234" s="344"/>
      <c r="AP234" s="324" t="s">
        <v>367</v>
      </c>
      <c r="AQ234" s="325" t="s">
        <v>367</v>
      </c>
      <c r="AR234" s="325" t="s">
        <v>367</v>
      </c>
      <c r="AS234" s="325"/>
      <c r="AT234" s="332"/>
      <c r="AU234" s="333"/>
      <c r="AV234" s="334"/>
      <c r="AW234" s="113"/>
      <c r="AX234" s="113"/>
      <c r="AY234" s="113"/>
      <c r="AZ234" s="113"/>
      <c r="BA234" s="113"/>
    </row>
    <row r="235" spans="1:53" ht="14.85" customHeight="1" thickTop="1" thickBot="1">
      <c r="A235" s="109"/>
      <c r="B235" s="139"/>
      <c r="C235" s="139"/>
      <c r="D235" s="139"/>
      <c r="E235" s="139"/>
      <c r="F235" s="139"/>
      <c r="G235" s="121"/>
      <c r="H235" s="121"/>
      <c r="I235" s="121"/>
      <c r="J235" s="121"/>
      <c r="K235" s="121"/>
      <c r="L235" s="121"/>
      <c r="M235" s="121"/>
      <c r="N235" s="121"/>
      <c r="O235" s="121"/>
      <c r="P235" s="121"/>
      <c r="Q235" s="121"/>
      <c r="R235" s="121"/>
      <c r="S235" s="121"/>
      <c r="T235" s="121"/>
      <c r="U235" s="121"/>
      <c r="V235" s="113"/>
      <c r="W235" s="113"/>
      <c r="X235" s="113"/>
      <c r="Y235" s="113"/>
      <c r="Z235" s="123"/>
      <c r="AA235" s="124"/>
      <c r="AB235" s="124"/>
      <c r="AC235" s="374" t="s">
        <v>371</v>
      </c>
      <c r="AD235" s="375"/>
      <c r="AE235" s="369">
        <f>IF($J$5&lt;0,0.04,0.03)</f>
        <v>0.03</v>
      </c>
      <c r="AF235" s="369"/>
      <c r="AG235" s="370"/>
      <c r="AH235" s="371" t="s">
        <v>372</v>
      </c>
      <c r="AI235" s="369"/>
      <c r="AJ235" s="369"/>
      <c r="AK235" s="376" t="e">
        <f>IF(AK234&lt;AE235,AE235,ROUNDUP(AK234,3))</f>
        <v>#VALUE!</v>
      </c>
      <c r="AL235" s="376"/>
      <c r="AM235" s="376"/>
      <c r="AN235" s="376"/>
      <c r="AO235" s="377"/>
      <c r="AP235" s="124"/>
      <c r="AQ235" s="124"/>
      <c r="AR235" s="124"/>
      <c r="AS235" s="113"/>
      <c r="AT235" s="113"/>
      <c r="AU235" s="113"/>
      <c r="AV235" s="113"/>
      <c r="AW235" s="113"/>
      <c r="AX235" s="113"/>
      <c r="AY235" s="113"/>
      <c r="AZ235" s="113"/>
      <c r="BA235" s="113"/>
    </row>
    <row r="236" spans="1:53" ht="14.85" customHeight="1" thickTop="1">
      <c r="A236" s="109"/>
      <c r="B236" s="139"/>
      <c r="C236" s="139"/>
      <c r="D236" s="139"/>
      <c r="E236" s="139"/>
      <c r="F236" s="139"/>
      <c r="G236" s="121"/>
      <c r="H236" s="121"/>
      <c r="I236" s="121"/>
      <c r="J236" s="121"/>
      <c r="K236" s="121"/>
      <c r="L236" s="121"/>
      <c r="M236" s="121"/>
      <c r="N236" s="121"/>
      <c r="O236" s="121"/>
      <c r="P236" s="121"/>
      <c r="Q236" s="121"/>
      <c r="R236" s="121"/>
      <c r="S236" s="121"/>
      <c r="T236" s="121"/>
      <c r="U236" s="121"/>
      <c r="V236" s="113"/>
      <c r="W236" s="113"/>
      <c r="X236" s="113"/>
      <c r="Y236" s="113"/>
      <c r="Z236" s="123"/>
      <c r="AA236" s="124"/>
      <c r="AB236" s="124"/>
      <c r="AC236" s="124"/>
      <c r="AD236" s="124"/>
      <c r="AE236" s="124"/>
      <c r="AF236" s="125"/>
      <c r="AG236" s="125"/>
      <c r="AH236" s="125"/>
      <c r="AI236" s="125"/>
      <c r="AJ236" s="125"/>
      <c r="AK236" s="113"/>
      <c r="AL236" s="113"/>
      <c r="AM236" s="113"/>
      <c r="AN236" s="113"/>
      <c r="AO236" s="113"/>
      <c r="AP236" s="124"/>
      <c r="AQ236" s="124"/>
      <c r="AR236" s="124"/>
      <c r="AS236" s="113"/>
      <c r="AT236" s="113"/>
      <c r="AU236" s="113"/>
      <c r="AV236" s="113"/>
      <c r="AW236" s="113"/>
      <c r="AX236" s="113"/>
      <c r="AY236" s="113"/>
      <c r="AZ236" s="113"/>
      <c r="BA236" s="113"/>
    </row>
    <row r="237" spans="1:53" ht="14.85" customHeight="1">
      <c r="A237" s="109"/>
      <c r="B237" s="139"/>
      <c r="C237" s="139"/>
      <c r="D237" s="139"/>
      <c r="E237" s="139"/>
      <c r="F237" s="139"/>
      <c r="G237" s="121"/>
      <c r="H237" s="121"/>
      <c r="I237" s="121"/>
      <c r="J237" s="121"/>
      <c r="K237" s="121"/>
      <c r="L237" s="121"/>
      <c r="M237" s="121"/>
      <c r="N237" s="121"/>
      <c r="O237" s="121"/>
      <c r="P237" s="121"/>
      <c r="Q237" s="121"/>
      <c r="R237" s="121"/>
      <c r="S237" s="121"/>
      <c r="T237" s="121"/>
      <c r="U237" s="121"/>
      <c r="V237" s="113"/>
      <c r="W237" s="113"/>
      <c r="X237" s="113"/>
      <c r="Y237" s="113"/>
      <c r="Z237" s="123"/>
      <c r="AA237" s="124"/>
      <c r="AB237" s="124"/>
      <c r="AC237" s="124"/>
      <c r="AD237" s="124"/>
      <c r="AE237" s="124"/>
      <c r="AF237" s="125"/>
      <c r="AG237" s="125"/>
      <c r="AH237" s="125"/>
      <c r="AI237" s="125"/>
      <c r="AJ237" s="125"/>
      <c r="AK237" s="113"/>
      <c r="AL237" s="113"/>
      <c r="AM237" s="113"/>
      <c r="AS237" s="265" t="s">
        <v>5</v>
      </c>
      <c r="AT237" s="265"/>
      <c r="AU237" s="265"/>
      <c r="AV237" s="275">
        <f>AV198+1</f>
        <v>8</v>
      </c>
      <c r="AW237" s="275"/>
      <c r="AX237" s="94" t="s">
        <v>6</v>
      </c>
      <c r="AY237" s="275">
        <f>$AY$1</f>
        <v>1</v>
      </c>
      <c r="AZ237" s="275"/>
      <c r="BA237" s="113"/>
    </row>
    <row r="238" spans="1:53" ht="14.85" customHeight="1">
      <c r="A238" s="109"/>
      <c r="B238" s="139"/>
      <c r="C238" s="139"/>
      <c r="D238" s="139"/>
      <c r="E238" s="139"/>
      <c r="F238" s="139"/>
      <c r="G238" s="121"/>
      <c r="H238" s="121"/>
      <c r="I238" s="121"/>
      <c r="J238" s="121"/>
      <c r="K238" s="121"/>
      <c r="L238" s="121"/>
      <c r="M238" s="121"/>
      <c r="N238" s="121"/>
      <c r="O238" s="121"/>
      <c r="P238" s="121"/>
      <c r="Q238" s="121"/>
      <c r="R238" s="121"/>
      <c r="S238" s="121"/>
      <c r="T238" s="121"/>
      <c r="U238" s="121"/>
      <c r="V238" s="113"/>
      <c r="W238" s="113"/>
      <c r="X238" s="113"/>
      <c r="Y238" s="113"/>
      <c r="Z238" s="123"/>
      <c r="AA238" s="124"/>
      <c r="AB238" s="124"/>
      <c r="AC238" s="124"/>
      <c r="AD238" s="124"/>
      <c r="AE238" s="124"/>
      <c r="AF238" s="125"/>
      <c r="AG238" s="125"/>
      <c r="AH238" s="125"/>
      <c r="AI238" s="125"/>
      <c r="AJ238" s="125"/>
      <c r="AK238" s="113"/>
      <c r="AL238" s="113"/>
      <c r="AM238" s="113"/>
      <c r="AQ238" s="98"/>
      <c r="BA238" s="113"/>
    </row>
    <row r="239" spans="1:53" ht="14.85" customHeight="1">
      <c r="A239" s="109"/>
      <c r="B239" s="139"/>
      <c r="C239" s="139"/>
      <c r="D239" s="139"/>
      <c r="E239" s="139"/>
      <c r="F239" s="139"/>
      <c r="G239" s="121"/>
      <c r="H239" s="121"/>
      <c r="I239" s="121"/>
      <c r="J239" s="121"/>
      <c r="K239" s="121"/>
      <c r="L239" s="121"/>
      <c r="M239" s="121"/>
      <c r="N239" s="121"/>
      <c r="O239" s="121"/>
      <c r="P239" s="121"/>
      <c r="Q239" s="121"/>
      <c r="R239" s="121"/>
      <c r="S239" s="121"/>
      <c r="T239" s="121"/>
      <c r="U239" s="121"/>
      <c r="V239" s="113"/>
      <c r="W239" s="113"/>
      <c r="X239" s="113"/>
      <c r="Y239" s="113"/>
      <c r="Z239" s="123"/>
      <c r="AA239" s="124"/>
      <c r="AB239" s="124"/>
      <c r="AC239" s="124"/>
      <c r="AD239" s="124"/>
      <c r="AE239" s="124"/>
      <c r="AF239" s="125"/>
      <c r="AG239" s="125"/>
      <c r="AH239" s="125"/>
      <c r="AI239" s="125"/>
      <c r="AJ239" s="125"/>
      <c r="AK239" s="113"/>
      <c r="AL239" s="113"/>
      <c r="AM239" s="113"/>
      <c r="AO239" s="272" t="s">
        <v>7</v>
      </c>
      <c r="AP239" s="272"/>
      <c r="AQ239" s="272"/>
      <c r="AR239" s="272"/>
      <c r="AS239" s="272"/>
      <c r="AT239" s="272"/>
      <c r="AU239" s="272"/>
      <c r="AV239" s="179" t="str">
        <f>$AV$161</f>
        <v xml:space="preserve"> /69 </v>
      </c>
      <c r="AW239" s="179"/>
      <c r="AX239" s="179"/>
      <c r="AY239" s="179"/>
      <c r="AZ239" s="179"/>
      <c r="BA239" s="113"/>
    </row>
    <row r="240" spans="1:53" ht="14.85" customHeight="1">
      <c r="A240" s="109"/>
      <c r="B240" s="139"/>
      <c r="C240" s="139"/>
      <c r="D240" s="139"/>
      <c r="E240" s="139"/>
      <c r="F240" s="139"/>
      <c r="G240" s="121"/>
      <c r="H240" s="121"/>
      <c r="I240" s="121"/>
      <c r="J240" s="121"/>
      <c r="K240" s="121"/>
      <c r="L240" s="121"/>
      <c r="M240" s="121"/>
      <c r="N240" s="121"/>
      <c r="O240" s="121"/>
      <c r="P240" s="121"/>
      <c r="Q240" s="121"/>
      <c r="R240" s="121"/>
      <c r="S240" s="121"/>
      <c r="T240" s="121"/>
      <c r="U240" s="121"/>
      <c r="V240" s="113"/>
      <c r="W240" s="113"/>
      <c r="X240" s="113"/>
      <c r="Y240" s="113"/>
      <c r="Z240" s="123"/>
      <c r="AA240" s="124"/>
      <c r="AB240" s="124"/>
      <c r="AC240" s="124"/>
      <c r="AD240" s="124"/>
      <c r="AE240" s="124"/>
      <c r="AF240" s="125"/>
      <c r="AG240" s="125"/>
      <c r="AH240" s="125"/>
      <c r="AI240" s="125"/>
      <c r="AJ240" s="125"/>
      <c r="AK240" s="113"/>
      <c r="AL240" s="113"/>
      <c r="AM240" s="113"/>
      <c r="AN240" s="113"/>
      <c r="AO240" s="113"/>
      <c r="AP240" s="124"/>
      <c r="AQ240" s="124"/>
      <c r="AR240" s="124"/>
      <c r="AS240" s="113"/>
      <c r="AT240" s="113"/>
      <c r="AU240" s="113"/>
      <c r="AV240" s="113"/>
      <c r="AW240" s="113"/>
      <c r="AX240" s="113"/>
      <c r="AY240" s="113"/>
      <c r="AZ240" s="113"/>
      <c r="BA240" s="113"/>
    </row>
    <row r="241" spans="1:75" ht="14.85" customHeight="1">
      <c r="A241" s="109"/>
      <c r="B241" s="110"/>
      <c r="C241" s="110"/>
      <c r="D241" s="110"/>
      <c r="E241" s="113"/>
      <c r="F241" s="113"/>
      <c r="G241" s="113"/>
      <c r="H241" s="113"/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  <c r="T241" s="113"/>
      <c r="U241" s="113"/>
      <c r="V241" s="113"/>
      <c r="W241" s="113"/>
      <c r="X241" s="113"/>
      <c r="Y241" s="113"/>
      <c r="Z241" s="113"/>
      <c r="AA241" s="113"/>
      <c r="AB241" s="113"/>
      <c r="AC241" s="113"/>
      <c r="AD241" s="113"/>
      <c r="AE241" s="113"/>
      <c r="AF241" s="113"/>
      <c r="AG241" s="113"/>
      <c r="AH241" s="113"/>
      <c r="AI241" s="113"/>
      <c r="AJ241" s="113"/>
      <c r="AK241" s="113"/>
      <c r="AL241" s="113"/>
      <c r="AM241" s="113"/>
      <c r="AN241" s="113"/>
      <c r="AO241" s="113"/>
      <c r="AP241" s="113"/>
      <c r="AQ241" s="113"/>
      <c r="AR241" s="113"/>
      <c r="AS241" s="113"/>
      <c r="AT241" s="113"/>
      <c r="AU241" s="113"/>
      <c r="AV241" s="113"/>
      <c r="AW241" s="113"/>
      <c r="AX241" s="113"/>
      <c r="AY241" s="113"/>
      <c r="AZ241" s="113"/>
      <c r="BA241" s="113"/>
    </row>
    <row r="242" spans="1:75" ht="14.85" customHeight="1">
      <c r="A242" s="109"/>
      <c r="B242" s="183" t="s">
        <v>12</v>
      </c>
      <c r="C242" s="183"/>
      <c r="D242" s="183"/>
      <c r="E242" s="183"/>
      <c r="F242" s="183"/>
      <c r="G242" s="183"/>
      <c r="H242" s="184"/>
      <c r="I242" s="184"/>
      <c r="J242" s="184"/>
      <c r="K242" s="184"/>
      <c r="L242" s="184"/>
      <c r="M242" s="184"/>
      <c r="N242" s="184"/>
      <c r="O242" s="184"/>
      <c r="P242" s="184"/>
      <c r="Q242" s="184"/>
      <c r="R242" s="184"/>
      <c r="S242" s="184"/>
      <c r="T242" s="184"/>
      <c r="U242" s="184"/>
      <c r="V242" s="184"/>
      <c r="W242" s="184"/>
      <c r="X242" s="179" t="s">
        <v>13</v>
      </c>
      <c r="Y242" s="179"/>
      <c r="Z242" s="179"/>
      <c r="AA242" s="185"/>
      <c r="AB242" s="185"/>
      <c r="AC242" s="185"/>
      <c r="AD242" s="185"/>
      <c r="AE242" s="185"/>
      <c r="AF242" s="185"/>
      <c r="AG242" s="185"/>
      <c r="AH242" s="185"/>
      <c r="AO242" s="97"/>
      <c r="AP242" s="101"/>
      <c r="AQ242" s="101"/>
      <c r="AR242" s="101"/>
      <c r="AS242" s="101"/>
      <c r="AT242" s="101"/>
      <c r="AU242" s="97"/>
      <c r="AV242" s="97"/>
      <c r="AW242" s="97"/>
      <c r="AX242" s="97"/>
      <c r="AY242" s="97"/>
      <c r="AZ242" s="97"/>
      <c r="BA242" s="97"/>
    </row>
    <row r="243" spans="1:75" s="96" customFormat="1" ht="14.85" customHeight="1">
      <c r="A243" s="109"/>
      <c r="B243" s="101" t="s">
        <v>14</v>
      </c>
      <c r="C243" s="92"/>
      <c r="D243" s="92"/>
      <c r="E243" s="92"/>
      <c r="F243" s="92"/>
      <c r="G243" s="92"/>
      <c r="H243" s="178"/>
      <c r="I243" s="178"/>
      <c r="J243" s="178"/>
      <c r="K243" s="178"/>
      <c r="L243" s="178"/>
      <c r="M243" s="178"/>
      <c r="N243" s="178"/>
      <c r="O243" s="178"/>
      <c r="P243" s="178"/>
      <c r="Q243" s="178"/>
      <c r="R243" s="178"/>
      <c r="S243" s="178"/>
      <c r="T243" s="178"/>
      <c r="U243" s="178"/>
      <c r="V243" s="178"/>
      <c r="W243" s="178"/>
      <c r="X243" s="179" t="s">
        <v>13</v>
      </c>
      <c r="Y243" s="179"/>
      <c r="Z243" s="179"/>
      <c r="AA243" s="180"/>
      <c r="AB243" s="180"/>
      <c r="AC243" s="180"/>
      <c r="AD243" s="180"/>
      <c r="AE243" s="180"/>
      <c r="AF243" s="180"/>
      <c r="AG243" s="180"/>
      <c r="AH243" s="180"/>
      <c r="AI243" s="91"/>
      <c r="AJ243" s="91"/>
      <c r="AK243" s="91"/>
      <c r="AL243" s="91"/>
      <c r="AM243" s="91"/>
      <c r="AN243" s="91"/>
      <c r="AO243" s="101"/>
      <c r="AP243" s="101"/>
      <c r="AQ243" s="101"/>
      <c r="AR243" s="101"/>
      <c r="AS243" s="101"/>
      <c r="AT243" s="101"/>
      <c r="AU243" s="100"/>
      <c r="AV243" s="100"/>
      <c r="AW243" s="100"/>
      <c r="AX243" s="100"/>
      <c r="AY243" s="100"/>
      <c r="AZ243" s="100"/>
      <c r="BA243" s="100"/>
      <c r="BS243" s="97"/>
      <c r="BT243" s="97"/>
      <c r="BU243" s="97"/>
      <c r="BV243" s="97"/>
      <c r="BW243" s="97"/>
    </row>
    <row r="244" spans="1:75" s="96" customFormat="1" ht="14.85" customHeight="1">
      <c r="A244" s="109"/>
      <c r="B244" s="101" t="s">
        <v>15</v>
      </c>
      <c r="C244" s="101"/>
      <c r="D244" s="181"/>
      <c r="E244" s="181"/>
      <c r="F244" s="181"/>
      <c r="G244" s="181"/>
      <c r="H244" s="181"/>
      <c r="I244" s="181"/>
      <c r="J244" s="181"/>
      <c r="K244" s="181"/>
      <c r="L244" s="181"/>
      <c r="M244" s="181"/>
      <c r="N244" s="181"/>
      <c r="O244" s="181"/>
      <c r="P244" s="181"/>
      <c r="Q244" s="181"/>
      <c r="R244" s="181"/>
      <c r="S244" s="181"/>
      <c r="T244" s="181"/>
      <c r="U244" s="181"/>
      <c r="V244" s="181"/>
      <c r="W244" s="181"/>
      <c r="X244" s="181"/>
      <c r="Y244" s="181"/>
      <c r="Z244" s="181"/>
      <c r="AA244" s="181"/>
      <c r="AB244" s="181"/>
      <c r="AC244" s="181"/>
      <c r="AD244" s="181"/>
      <c r="AE244" s="181"/>
      <c r="AF244" s="181"/>
      <c r="AG244" s="181"/>
      <c r="AH244" s="181"/>
      <c r="AI244" s="181"/>
      <c r="AJ244" s="181"/>
      <c r="AK244" s="181"/>
      <c r="AL244" s="181"/>
      <c r="AM244" s="181"/>
      <c r="AN244" s="181"/>
      <c r="AO244" s="181"/>
      <c r="AP244" s="181"/>
      <c r="AQ244" s="181"/>
      <c r="AR244" s="181"/>
      <c r="AS244" s="181"/>
      <c r="AT244" s="181"/>
      <c r="AU244" s="181"/>
      <c r="AV244" s="181"/>
      <c r="AW244" s="181"/>
      <c r="AX244" s="181"/>
      <c r="AY244" s="181"/>
      <c r="AZ244" s="181"/>
      <c r="BA244" s="181"/>
      <c r="BS244" s="97"/>
      <c r="BT244" s="97"/>
      <c r="BU244" s="97"/>
      <c r="BV244" s="97"/>
      <c r="BW244" s="97"/>
    </row>
    <row r="245" spans="1:75" s="96" customFormat="1" ht="14.85" customHeight="1">
      <c r="A245" s="109"/>
      <c r="B245" s="101"/>
      <c r="C245" s="101"/>
      <c r="D245" s="100"/>
      <c r="E245" s="100"/>
      <c r="F245" s="100"/>
      <c r="G245" s="100"/>
      <c r="H245" s="100"/>
      <c r="I245" s="100"/>
      <c r="J245" s="100"/>
      <c r="K245" s="100"/>
      <c r="L245" s="100"/>
      <c r="M245" s="100"/>
      <c r="N245" s="100"/>
      <c r="O245" s="100"/>
      <c r="P245" s="100"/>
      <c r="Q245" s="100"/>
      <c r="R245" s="100"/>
      <c r="S245" s="100"/>
      <c r="T245" s="100"/>
      <c r="U245" s="100"/>
      <c r="V245" s="100"/>
      <c r="W245" s="100"/>
      <c r="X245" s="100"/>
      <c r="Y245" s="100"/>
      <c r="Z245" s="100"/>
      <c r="AA245" s="100"/>
      <c r="AB245" s="100"/>
      <c r="AC245" s="100"/>
      <c r="AD245" s="100"/>
      <c r="AE245" s="100"/>
      <c r="AF245" s="100"/>
      <c r="AG245" s="100"/>
      <c r="AH245" s="100"/>
      <c r="AI245" s="100"/>
      <c r="AJ245" s="100"/>
      <c r="AK245" s="100"/>
      <c r="AL245" s="100"/>
      <c r="AM245" s="100"/>
      <c r="AN245" s="100"/>
      <c r="AO245" s="100"/>
      <c r="AP245" s="100"/>
      <c r="AQ245" s="100"/>
      <c r="AR245" s="100"/>
      <c r="AS245" s="100"/>
      <c r="AT245" s="100"/>
      <c r="AU245" s="100"/>
      <c r="AV245" s="100"/>
      <c r="AW245" s="100"/>
      <c r="AX245" s="100"/>
      <c r="AY245" s="100"/>
      <c r="AZ245" s="100"/>
      <c r="BA245" s="100"/>
      <c r="BS245" s="97"/>
      <c r="BT245" s="97"/>
      <c r="BU245" s="97"/>
      <c r="BV245" s="97"/>
      <c r="BW245" s="97"/>
    </row>
    <row r="246" spans="1:75" s="96" customFormat="1" ht="14.85" customHeight="1">
      <c r="A246" s="182"/>
      <c r="B246" s="182"/>
      <c r="C246" s="182"/>
      <c r="D246" s="182"/>
      <c r="E246" s="182"/>
      <c r="F246" s="182"/>
      <c r="G246" s="182"/>
      <c r="H246" s="182"/>
      <c r="I246" s="182"/>
      <c r="J246" s="182"/>
      <c r="K246" s="182"/>
      <c r="L246" s="182"/>
      <c r="M246" s="182"/>
      <c r="N246" s="182"/>
      <c r="O246" s="182"/>
      <c r="P246" s="182"/>
      <c r="Q246" s="182"/>
      <c r="R246" s="182"/>
      <c r="S246" s="182"/>
      <c r="T246" s="182"/>
      <c r="U246" s="182"/>
      <c r="V246" s="182"/>
      <c r="W246" s="182"/>
      <c r="X246" s="182"/>
      <c r="Y246" s="182"/>
      <c r="Z246" s="182"/>
      <c r="AA246" s="182"/>
      <c r="AB246" s="182"/>
      <c r="AC246" s="182"/>
      <c r="AD246" s="182"/>
      <c r="AE246" s="182"/>
      <c r="AF246" s="182"/>
      <c r="AG246" s="182"/>
      <c r="AH246" s="182"/>
      <c r="AI246" s="182"/>
      <c r="AJ246" s="182"/>
      <c r="AK246" s="182"/>
      <c r="AL246" s="182"/>
      <c r="AM246" s="182"/>
      <c r="AN246" s="182"/>
      <c r="AO246" s="182"/>
      <c r="AP246" s="182"/>
      <c r="AQ246" s="182"/>
      <c r="AR246" s="182"/>
      <c r="AS246" s="182"/>
      <c r="AT246" s="182"/>
      <c r="AU246" s="182"/>
      <c r="AV246" s="182"/>
      <c r="AW246" s="182"/>
      <c r="AX246" s="182"/>
      <c r="AY246" s="182"/>
      <c r="AZ246" s="182"/>
      <c r="BA246" s="182"/>
      <c r="BS246" s="97"/>
      <c r="BT246" s="97"/>
      <c r="BU246" s="97"/>
      <c r="BV246" s="97"/>
      <c r="BW246" s="97"/>
    </row>
  </sheetData>
  <sheetProtection algorithmName="SHA-512" hashValue="rj6cKzoHIFMesHkjkTfMQ2CGm2a+KUxE0QOqv0OFrqs1K0hi1IYE9uMTUopvVOm4N4svw4PZ6GKr55PX/7Yxxw==" saltValue="5nZQiE79y2G7v+XLWCVIsw==" spinCount="100000" sheet="1" objects="1" scenarios="1"/>
  <protectedRanges>
    <protectedRange sqref="AA242:AA243" name="Range8_2"/>
    <protectedRange sqref="AA242:AA243" name="Range15_2"/>
    <protectedRange sqref="J5 AB3" name="Range3_3"/>
    <protectedRange sqref="G5" name="Range3_1"/>
    <protectedRange sqref="AY1 AY42 AY81 AY120 AY159 AY198 AY237" name="ช่วง2"/>
    <protectedRange sqref="AV1 AV42 AV81 AV120 AV159 AV198 AV237" name="ช่วง1"/>
    <protectedRange sqref="J19" name="Range3_3_1"/>
    <protectedRange sqref="G19" name="Range3_1_1"/>
  </protectedRanges>
  <mergeCells count="1612">
    <mergeCell ref="BC6:BM8"/>
    <mergeCell ref="AS237:AU237"/>
    <mergeCell ref="AV237:AW237"/>
    <mergeCell ref="AY237:AZ237"/>
    <mergeCell ref="AO239:AU239"/>
    <mergeCell ref="AV239:AZ239"/>
    <mergeCell ref="S4:AA4"/>
    <mergeCell ref="AB4:AJ4"/>
    <mergeCell ref="J40:M40"/>
    <mergeCell ref="N40:Q40"/>
    <mergeCell ref="R40:U40"/>
    <mergeCell ref="V40:Y40"/>
    <mergeCell ref="Z40:AC40"/>
    <mergeCell ref="AD40:AG40"/>
    <mergeCell ref="AH40:AK40"/>
    <mergeCell ref="AL40:AO40"/>
    <mergeCell ref="AP40:AS40"/>
    <mergeCell ref="N39:Q39"/>
    <mergeCell ref="R39:U39"/>
    <mergeCell ref="V39:Y39"/>
    <mergeCell ref="Z39:AC39"/>
    <mergeCell ref="AD39:AG39"/>
    <mergeCell ref="AH39:AK39"/>
    <mergeCell ref="AL39:AO39"/>
    <mergeCell ref="AP39:AS39"/>
    <mergeCell ref="AT39:AW39"/>
    <mergeCell ref="N38:Q38"/>
    <mergeCell ref="R38:U38"/>
    <mergeCell ref="V38:Y38"/>
    <mergeCell ref="Z38:AC38"/>
    <mergeCell ref="AC235:AD235"/>
    <mergeCell ref="AE235:AG235"/>
    <mergeCell ref="F37:I37"/>
    <mergeCell ref="J37:M37"/>
    <mergeCell ref="F38:I38"/>
    <mergeCell ref="J38:M38"/>
    <mergeCell ref="J39:M39"/>
    <mergeCell ref="F34:I35"/>
    <mergeCell ref="J34:M35"/>
    <mergeCell ref="N34:Q35"/>
    <mergeCell ref="R34:U35"/>
    <mergeCell ref="V34:Y35"/>
    <mergeCell ref="AP38:AS38"/>
    <mergeCell ref="AT38:AW38"/>
    <mergeCell ref="N37:Q37"/>
    <mergeCell ref="R37:U37"/>
    <mergeCell ref="V37:Y37"/>
    <mergeCell ref="Z37:AC37"/>
    <mergeCell ref="AD37:AG37"/>
    <mergeCell ref="AH37:AK37"/>
    <mergeCell ref="AL37:AO37"/>
    <mergeCell ref="AP37:AS37"/>
    <mergeCell ref="AT37:AW37"/>
    <mergeCell ref="N36:Q36"/>
    <mergeCell ref="R36:U36"/>
    <mergeCell ref="V36:Y36"/>
    <mergeCell ref="Z36:AC36"/>
    <mergeCell ref="AD36:AG36"/>
    <mergeCell ref="AH36:AK36"/>
    <mergeCell ref="AL36:AO36"/>
    <mergeCell ref="AP36:AS36"/>
    <mergeCell ref="AT36:AW36"/>
    <mergeCell ref="AH235:AJ235"/>
    <mergeCell ref="AK235:AO235"/>
    <mergeCell ref="B233:F233"/>
    <mergeCell ref="G233:U233"/>
    <mergeCell ref="V233:Y233"/>
    <mergeCell ref="AA233:AE233"/>
    <mergeCell ref="AF233:AJ234"/>
    <mergeCell ref="AK233:AO233"/>
    <mergeCell ref="AP233:AS233"/>
    <mergeCell ref="B234:F234"/>
    <mergeCell ref="G234:U234"/>
    <mergeCell ref="V234:Y234"/>
    <mergeCell ref="AA234:AB234"/>
    <mergeCell ref="AC234:AE234"/>
    <mergeCell ref="AK234:AO234"/>
    <mergeCell ref="AP234:AS234"/>
    <mergeCell ref="V232:Y232"/>
    <mergeCell ref="AA232:AE232"/>
    <mergeCell ref="AF232:AH232"/>
    <mergeCell ref="AI232:AJ232"/>
    <mergeCell ref="AK232:AO232"/>
    <mergeCell ref="AP232:AS232"/>
    <mergeCell ref="B232:F232"/>
    <mergeCell ref="G232:U232"/>
    <mergeCell ref="B229:F229"/>
    <mergeCell ref="G229:U229"/>
    <mergeCell ref="V229:Y229"/>
    <mergeCell ref="AA229:AE229"/>
    <mergeCell ref="AF229:AH229"/>
    <mergeCell ref="AI229:AJ229"/>
    <mergeCell ref="AK229:AO229"/>
    <mergeCell ref="AP229:AS229"/>
    <mergeCell ref="B230:F230"/>
    <mergeCell ref="G230:U230"/>
    <mergeCell ref="V230:Y230"/>
    <mergeCell ref="AA230:AE230"/>
    <mergeCell ref="AF230:AH230"/>
    <mergeCell ref="AI230:AJ230"/>
    <mergeCell ref="AK230:AO230"/>
    <mergeCell ref="AP230:AS230"/>
    <mergeCell ref="B231:F231"/>
    <mergeCell ref="G231:U231"/>
    <mergeCell ref="V231:Y231"/>
    <mergeCell ref="AA231:AE231"/>
    <mergeCell ref="AF231:AH231"/>
    <mergeCell ref="AI231:AJ231"/>
    <mergeCell ref="AK231:AO231"/>
    <mergeCell ref="AP231:AS231"/>
    <mergeCell ref="G227:U227"/>
    <mergeCell ref="V227:Y227"/>
    <mergeCell ref="AA227:AE227"/>
    <mergeCell ref="AF227:AH227"/>
    <mergeCell ref="AI227:AJ227"/>
    <mergeCell ref="AK227:AO227"/>
    <mergeCell ref="AP227:AS227"/>
    <mergeCell ref="B228:F228"/>
    <mergeCell ref="G228:U228"/>
    <mergeCell ref="V228:Y228"/>
    <mergeCell ref="AA228:AE228"/>
    <mergeCell ref="AF228:AH228"/>
    <mergeCell ref="AI228:AJ228"/>
    <mergeCell ref="AK228:AO228"/>
    <mergeCell ref="AP228:AS228"/>
    <mergeCell ref="B225:F225"/>
    <mergeCell ref="G225:U225"/>
    <mergeCell ref="V225:Y225"/>
    <mergeCell ref="AA225:AE225"/>
    <mergeCell ref="AF225:AH225"/>
    <mergeCell ref="AI225:AJ225"/>
    <mergeCell ref="AK225:AO225"/>
    <mergeCell ref="AP225:AS225"/>
    <mergeCell ref="B226:F226"/>
    <mergeCell ref="G226:U226"/>
    <mergeCell ref="V226:Y226"/>
    <mergeCell ref="AA226:AE226"/>
    <mergeCell ref="AF226:AH226"/>
    <mergeCell ref="AI226:AJ226"/>
    <mergeCell ref="AK226:AO226"/>
    <mergeCell ref="AP226:AS226"/>
    <mergeCell ref="AP223:AS223"/>
    <mergeCell ref="B224:F224"/>
    <mergeCell ref="G224:U224"/>
    <mergeCell ref="V224:Y224"/>
    <mergeCell ref="AA224:AE224"/>
    <mergeCell ref="AF224:AH224"/>
    <mergeCell ref="AI224:AJ224"/>
    <mergeCell ref="AK224:AO224"/>
    <mergeCell ref="AP224:AS224"/>
    <mergeCell ref="AP219:AS220"/>
    <mergeCell ref="AT219:AV234"/>
    <mergeCell ref="B221:F221"/>
    <mergeCell ref="G221:U221"/>
    <mergeCell ref="V221:Y221"/>
    <mergeCell ref="AA221:AE221"/>
    <mergeCell ref="AF221:AH221"/>
    <mergeCell ref="AI221:AJ221"/>
    <mergeCell ref="AK221:AO221"/>
    <mergeCell ref="AP221:AS221"/>
    <mergeCell ref="B222:F222"/>
    <mergeCell ref="G222:U222"/>
    <mergeCell ref="V222:Y222"/>
    <mergeCell ref="AA222:AE222"/>
    <mergeCell ref="AF222:AH222"/>
    <mergeCell ref="AI222:AJ222"/>
    <mergeCell ref="AK222:AO222"/>
    <mergeCell ref="AP222:AS222"/>
    <mergeCell ref="B223:F223"/>
    <mergeCell ref="G223:U223"/>
    <mergeCell ref="V223:Y223"/>
    <mergeCell ref="AA223:AE223"/>
    <mergeCell ref="B227:F227"/>
    <mergeCell ref="AF223:AH223"/>
    <mergeCell ref="AI223:AJ223"/>
    <mergeCell ref="AC217:AD217"/>
    <mergeCell ref="AE217:AG217"/>
    <mergeCell ref="AH217:AJ217"/>
    <mergeCell ref="AK217:AO217"/>
    <mergeCell ref="B219:F220"/>
    <mergeCell ref="G219:U220"/>
    <mergeCell ref="V219:Z220"/>
    <mergeCell ref="AA219:AE220"/>
    <mergeCell ref="AF219:AH220"/>
    <mergeCell ref="AI219:AJ220"/>
    <mergeCell ref="AK219:AO220"/>
    <mergeCell ref="B214:F214"/>
    <mergeCell ref="G214:U214"/>
    <mergeCell ref="V214:Y214"/>
    <mergeCell ref="AA214:AE214"/>
    <mergeCell ref="AF214:AH214"/>
    <mergeCell ref="AI214:AJ214"/>
    <mergeCell ref="AK214:AO214"/>
    <mergeCell ref="AK223:AO223"/>
    <mergeCell ref="AP214:AS214"/>
    <mergeCell ref="B215:F215"/>
    <mergeCell ref="G215:U215"/>
    <mergeCell ref="V215:Y215"/>
    <mergeCell ref="AA215:AE215"/>
    <mergeCell ref="AF215:AJ216"/>
    <mergeCell ref="AK215:AO215"/>
    <mergeCell ref="AP215:AS215"/>
    <mergeCell ref="B216:F216"/>
    <mergeCell ref="G216:U216"/>
    <mergeCell ref="V216:Y216"/>
    <mergeCell ref="AA216:AB216"/>
    <mergeCell ref="AC216:AE216"/>
    <mergeCell ref="AK216:AO216"/>
    <mergeCell ref="AP216:AS216"/>
    <mergeCell ref="B212:F212"/>
    <mergeCell ref="G212:U212"/>
    <mergeCell ref="V212:Y212"/>
    <mergeCell ref="AA212:AE212"/>
    <mergeCell ref="AF212:AH212"/>
    <mergeCell ref="AI212:AJ212"/>
    <mergeCell ref="AK212:AO212"/>
    <mergeCell ref="AP212:AS212"/>
    <mergeCell ref="B213:F213"/>
    <mergeCell ref="G213:U213"/>
    <mergeCell ref="V213:Y213"/>
    <mergeCell ref="AA213:AE213"/>
    <mergeCell ref="AF213:AH213"/>
    <mergeCell ref="AI213:AJ213"/>
    <mergeCell ref="AK213:AO213"/>
    <mergeCell ref="AP213:AS213"/>
    <mergeCell ref="B210:F210"/>
    <mergeCell ref="G210:U210"/>
    <mergeCell ref="V210:Y210"/>
    <mergeCell ref="AA210:AE210"/>
    <mergeCell ref="AF210:AH210"/>
    <mergeCell ref="AI210:AJ210"/>
    <mergeCell ref="AK210:AO210"/>
    <mergeCell ref="AP210:AS210"/>
    <mergeCell ref="B211:F211"/>
    <mergeCell ref="G211:U211"/>
    <mergeCell ref="V211:Y211"/>
    <mergeCell ref="AA211:AE211"/>
    <mergeCell ref="AF211:AH211"/>
    <mergeCell ref="AI211:AJ211"/>
    <mergeCell ref="AK211:AO211"/>
    <mergeCell ref="AP211:AS211"/>
    <mergeCell ref="B208:F208"/>
    <mergeCell ref="G208:U208"/>
    <mergeCell ref="V208:Y208"/>
    <mergeCell ref="AA208:AE208"/>
    <mergeCell ref="AF208:AH208"/>
    <mergeCell ref="AI208:AJ208"/>
    <mergeCell ref="AK208:AO208"/>
    <mergeCell ref="AP208:AS208"/>
    <mergeCell ref="B209:F209"/>
    <mergeCell ref="G209:U209"/>
    <mergeCell ref="V209:Y209"/>
    <mergeCell ref="AA209:AE209"/>
    <mergeCell ref="AF209:AH209"/>
    <mergeCell ref="AI209:AJ209"/>
    <mergeCell ref="AK209:AO209"/>
    <mergeCell ref="AP209:AS209"/>
    <mergeCell ref="B207:F207"/>
    <mergeCell ref="G207:U207"/>
    <mergeCell ref="V207:Y207"/>
    <mergeCell ref="AA207:AE207"/>
    <mergeCell ref="AF207:AH207"/>
    <mergeCell ref="AI207:AJ207"/>
    <mergeCell ref="AK207:AO207"/>
    <mergeCell ref="AP207:AS207"/>
    <mergeCell ref="AP204:AS204"/>
    <mergeCell ref="B205:F205"/>
    <mergeCell ref="G205:U205"/>
    <mergeCell ref="V205:Y205"/>
    <mergeCell ref="AA205:AE205"/>
    <mergeCell ref="AF205:AH205"/>
    <mergeCell ref="AI205:AJ205"/>
    <mergeCell ref="AK205:AO205"/>
    <mergeCell ref="AP205:AS205"/>
    <mergeCell ref="B201:F202"/>
    <mergeCell ref="G201:U202"/>
    <mergeCell ref="V201:Z202"/>
    <mergeCell ref="AA201:AE202"/>
    <mergeCell ref="AF201:AH202"/>
    <mergeCell ref="AI201:AJ202"/>
    <mergeCell ref="AK201:AO202"/>
    <mergeCell ref="AP201:AS202"/>
    <mergeCell ref="AT201:AV216"/>
    <mergeCell ref="B203:F203"/>
    <mergeCell ref="G203:U203"/>
    <mergeCell ref="V203:Y203"/>
    <mergeCell ref="AA203:AE203"/>
    <mergeCell ref="AF203:AH203"/>
    <mergeCell ref="AI203:AJ203"/>
    <mergeCell ref="AK203:AO203"/>
    <mergeCell ref="AP203:AS203"/>
    <mergeCell ref="B204:F204"/>
    <mergeCell ref="G204:U204"/>
    <mergeCell ref="V204:Y204"/>
    <mergeCell ref="AA204:AE204"/>
    <mergeCell ref="AF204:AH204"/>
    <mergeCell ref="AI204:AJ204"/>
    <mergeCell ref="AK204:AO204"/>
    <mergeCell ref="B206:F206"/>
    <mergeCell ref="G206:U206"/>
    <mergeCell ref="V206:Y206"/>
    <mergeCell ref="AA206:AE206"/>
    <mergeCell ref="AF206:AH206"/>
    <mergeCell ref="AI206:AJ206"/>
    <mergeCell ref="AK206:AO206"/>
    <mergeCell ref="AP206:AS206"/>
    <mergeCell ref="AC196:AD196"/>
    <mergeCell ref="AE196:AG196"/>
    <mergeCell ref="AH196:AJ196"/>
    <mergeCell ref="AK196:AO196"/>
    <mergeCell ref="AS198:AU198"/>
    <mergeCell ref="AV198:AW198"/>
    <mergeCell ref="AY198:AZ198"/>
    <mergeCell ref="AO200:AU200"/>
    <mergeCell ref="AV200:AZ200"/>
    <mergeCell ref="B194:F194"/>
    <mergeCell ref="G194:U194"/>
    <mergeCell ref="V194:Y194"/>
    <mergeCell ref="AA194:AE194"/>
    <mergeCell ref="AF194:AJ195"/>
    <mergeCell ref="AK194:AO194"/>
    <mergeCell ref="AP194:AS194"/>
    <mergeCell ref="B195:F195"/>
    <mergeCell ref="G195:U195"/>
    <mergeCell ref="V195:Y195"/>
    <mergeCell ref="AA195:AB195"/>
    <mergeCell ref="AC195:AE195"/>
    <mergeCell ref="AK195:AO195"/>
    <mergeCell ref="AP195:AS195"/>
    <mergeCell ref="B192:F192"/>
    <mergeCell ref="G192:U192"/>
    <mergeCell ref="V192:Y192"/>
    <mergeCell ref="AA192:AE192"/>
    <mergeCell ref="AF192:AH192"/>
    <mergeCell ref="AI192:AJ192"/>
    <mergeCell ref="AK192:AO192"/>
    <mergeCell ref="AP192:AS192"/>
    <mergeCell ref="B193:F193"/>
    <mergeCell ref="G193:U193"/>
    <mergeCell ref="V193:Y193"/>
    <mergeCell ref="AA193:AE193"/>
    <mergeCell ref="AF193:AH193"/>
    <mergeCell ref="AI193:AJ193"/>
    <mergeCell ref="AK193:AO193"/>
    <mergeCell ref="AP193:AS193"/>
    <mergeCell ref="B190:F190"/>
    <mergeCell ref="G190:U190"/>
    <mergeCell ref="V190:Y190"/>
    <mergeCell ref="AA190:AE190"/>
    <mergeCell ref="AF190:AH190"/>
    <mergeCell ref="AI190:AJ190"/>
    <mergeCell ref="AK190:AO190"/>
    <mergeCell ref="AP190:AS190"/>
    <mergeCell ref="B191:F191"/>
    <mergeCell ref="G191:U191"/>
    <mergeCell ref="V191:Y191"/>
    <mergeCell ref="AA191:AE191"/>
    <mergeCell ref="AF191:AH191"/>
    <mergeCell ref="AI191:AJ191"/>
    <mergeCell ref="AK191:AO191"/>
    <mergeCell ref="AP191:AS191"/>
    <mergeCell ref="G188:U188"/>
    <mergeCell ref="V188:Y188"/>
    <mergeCell ref="AA188:AE188"/>
    <mergeCell ref="AF188:AH188"/>
    <mergeCell ref="AI188:AJ188"/>
    <mergeCell ref="AK188:AO188"/>
    <mergeCell ref="AP188:AS188"/>
    <mergeCell ref="B189:F189"/>
    <mergeCell ref="G189:U189"/>
    <mergeCell ref="V189:Y189"/>
    <mergeCell ref="AA189:AE189"/>
    <mergeCell ref="AF189:AH189"/>
    <mergeCell ref="AI189:AJ189"/>
    <mergeCell ref="AK189:AO189"/>
    <mergeCell ref="AP189:AS189"/>
    <mergeCell ref="B186:F186"/>
    <mergeCell ref="G186:U186"/>
    <mergeCell ref="V186:Y186"/>
    <mergeCell ref="AA186:AE186"/>
    <mergeCell ref="AF186:AH186"/>
    <mergeCell ref="AI186:AJ186"/>
    <mergeCell ref="AK186:AO186"/>
    <mergeCell ref="AP186:AS186"/>
    <mergeCell ref="B187:F187"/>
    <mergeCell ref="G187:U187"/>
    <mergeCell ref="V187:Y187"/>
    <mergeCell ref="AA187:AE187"/>
    <mergeCell ref="AF187:AH187"/>
    <mergeCell ref="AI187:AJ187"/>
    <mergeCell ref="AK187:AO187"/>
    <mergeCell ref="AP187:AS187"/>
    <mergeCell ref="AP184:AS184"/>
    <mergeCell ref="B185:F185"/>
    <mergeCell ref="G185:U185"/>
    <mergeCell ref="V185:Y185"/>
    <mergeCell ref="AA185:AE185"/>
    <mergeCell ref="AF185:AH185"/>
    <mergeCell ref="AI185:AJ185"/>
    <mergeCell ref="AK185:AO185"/>
    <mergeCell ref="AP185:AS185"/>
    <mergeCell ref="AP180:AS181"/>
    <mergeCell ref="AT180:AV195"/>
    <mergeCell ref="B182:F182"/>
    <mergeCell ref="G182:U182"/>
    <mergeCell ref="V182:Y182"/>
    <mergeCell ref="AA182:AE182"/>
    <mergeCell ref="AF182:AH182"/>
    <mergeCell ref="AI182:AJ182"/>
    <mergeCell ref="AK182:AO182"/>
    <mergeCell ref="AP182:AS182"/>
    <mergeCell ref="B183:F183"/>
    <mergeCell ref="G183:U183"/>
    <mergeCell ref="V183:Y183"/>
    <mergeCell ref="AA183:AE183"/>
    <mergeCell ref="AF183:AH183"/>
    <mergeCell ref="AI183:AJ183"/>
    <mergeCell ref="AK183:AO183"/>
    <mergeCell ref="AP183:AS183"/>
    <mergeCell ref="B184:F184"/>
    <mergeCell ref="G184:U184"/>
    <mergeCell ref="V184:Y184"/>
    <mergeCell ref="AA184:AE184"/>
    <mergeCell ref="B188:F188"/>
    <mergeCell ref="AF184:AH184"/>
    <mergeCell ref="AI184:AJ184"/>
    <mergeCell ref="AC178:AD178"/>
    <mergeCell ref="AE178:AG178"/>
    <mergeCell ref="AH178:AJ178"/>
    <mergeCell ref="AK178:AO178"/>
    <mergeCell ref="B180:F181"/>
    <mergeCell ref="G180:U181"/>
    <mergeCell ref="V180:Z181"/>
    <mergeCell ref="AA180:AE181"/>
    <mergeCell ref="AF180:AH181"/>
    <mergeCell ref="AI180:AJ181"/>
    <mergeCell ref="AK180:AO181"/>
    <mergeCell ref="B175:F175"/>
    <mergeCell ref="G175:U175"/>
    <mergeCell ref="V175:Y175"/>
    <mergeCell ref="AA175:AE175"/>
    <mergeCell ref="AF175:AH175"/>
    <mergeCell ref="AI175:AJ175"/>
    <mergeCell ref="AK175:AO175"/>
    <mergeCell ref="AK184:AO184"/>
    <mergeCell ref="AP175:AS175"/>
    <mergeCell ref="B176:F176"/>
    <mergeCell ref="G176:U176"/>
    <mergeCell ref="V176:Y176"/>
    <mergeCell ref="AA176:AE176"/>
    <mergeCell ref="AF176:AJ177"/>
    <mergeCell ref="AK176:AO176"/>
    <mergeCell ref="AP176:AS176"/>
    <mergeCell ref="B177:F177"/>
    <mergeCell ref="G177:U177"/>
    <mergeCell ref="V177:Y177"/>
    <mergeCell ref="AA177:AB177"/>
    <mergeCell ref="AC177:AE177"/>
    <mergeCell ref="AK177:AO177"/>
    <mergeCell ref="AP177:AS177"/>
    <mergeCell ref="B173:F173"/>
    <mergeCell ref="G173:U173"/>
    <mergeCell ref="V173:Y173"/>
    <mergeCell ref="AA173:AE173"/>
    <mergeCell ref="AF173:AH173"/>
    <mergeCell ref="AI173:AJ173"/>
    <mergeCell ref="AK173:AO173"/>
    <mergeCell ref="AP173:AS173"/>
    <mergeCell ref="B174:F174"/>
    <mergeCell ref="G174:U174"/>
    <mergeCell ref="V174:Y174"/>
    <mergeCell ref="AA174:AE174"/>
    <mergeCell ref="AF174:AH174"/>
    <mergeCell ref="AI174:AJ174"/>
    <mergeCell ref="AK174:AO174"/>
    <mergeCell ref="AP174:AS174"/>
    <mergeCell ref="B171:F171"/>
    <mergeCell ref="G171:U171"/>
    <mergeCell ref="V171:Y171"/>
    <mergeCell ref="AA171:AE171"/>
    <mergeCell ref="AF171:AH171"/>
    <mergeCell ref="AI171:AJ171"/>
    <mergeCell ref="AK171:AO171"/>
    <mergeCell ref="AP171:AS171"/>
    <mergeCell ref="B172:F172"/>
    <mergeCell ref="G172:U172"/>
    <mergeCell ref="V172:Y172"/>
    <mergeCell ref="AA172:AE172"/>
    <mergeCell ref="AF172:AH172"/>
    <mergeCell ref="AI172:AJ172"/>
    <mergeCell ref="AK172:AO172"/>
    <mergeCell ref="AP172:AS172"/>
    <mergeCell ref="B169:F169"/>
    <mergeCell ref="G169:U169"/>
    <mergeCell ref="V169:Y169"/>
    <mergeCell ref="AA169:AE169"/>
    <mergeCell ref="AF169:AH169"/>
    <mergeCell ref="AI169:AJ169"/>
    <mergeCell ref="AK169:AO169"/>
    <mergeCell ref="AP169:AS169"/>
    <mergeCell ref="B170:F170"/>
    <mergeCell ref="G170:U170"/>
    <mergeCell ref="V170:Y170"/>
    <mergeCell ref="AA170:AE170"/>
    <mergeCell ref="AF170:AH170"/>
    <mergeCell ref="AI170:AJ170"/>
    <mergeCell ref="AK170:AO170"/>
    <mergeCell ref="AP170:AS170"/>
    <mergeCell ref="B168:F168"/>
    <mergeCell ref="G168:U168"/>
    <mergeCell ref="V168:Y168"/>
    <mergeCell ref="AA168:AE168"/>
    <mergeCell ref="AF168:AH168"/>
    <mergeCell ref="AI168:AJ168"/>
    <mergeCell ref="AK168:AO168"/>
    <mergeCell ref="AP168:AS168"/>
    <mergeCell ref="AP165:AS165"/>
    <mergeCell ref="B166:F166"/>
    <mergeCell ref="G166:U166"/>
    <mergeCell ref="V166:Y166"/>
    <mergeCell ref="AA166:AE166"/>
    <mergeCell ref="AF166:AH166"/>
    <mergeCell ref="AI166:AJ166"/>
    <mergeCell ref="AK166:AO166"/>
    <mergeCell ref="AP166:AS166"/>
    <mergeCell ref="B162:F163"/>
    <mergeCell ref="G162:U163"/>
    <mergeCell ref="V162:Z163"/>
    <mergeCell ref="AA162:AE163"/>
    <mergeCell ref="AF162:AH163"/>
    <mergeCell ref="AI162:AJ163"/>
    <mergeCell ref="AK162:AO163"/>
    <mergeCell ref="AP162:AS163"/>
    <mergeCell ref="AT162:AV177"/>
    <mergeCell ref="B164:F164"/>
    <mergeCell ref="G164:U164"/>
    <mergeCell ref="V164:Y164"/>
    <mergeCell ref="AA164:AE164"/>
    <mergeCell ref="AF164:AH164"/>
    <mergeCell ref="AI164:AJ164"/>
    <mergeCell ref="AK164:AO164"/>
    <mergeCell ref="AP164:AS164"/>
    <mergeCell ref="B165:F165"/>
    <mergeCell ref="G165:U165"/>
    <mergeCell ref="V165:Y165"/>
    <mergeCell ref="AA165:AE165"/>
    <mergeCell ref="AF165:AH165"/>
    <mergeCell ref="AI165:AJ165"/>
    <mergeCell ref="AK165:AO165"/>
    <mergeCell ref="B167:F167"/>
    <mergeCell ref="G167:U167"/>
    <mergeCell ref="V167:Y167"/>
    <mergeCell ref="AA167:AE167"/>
    <mergeCell ref="AF167:AH167"/>
    <mergeCell ref="AI167:AJ167"/>
    <mergeCell ref="AK167:AO167"/>
    <mergeCell ref="AP167:AS167"/>
    <mergeCell ref="AC157:AD157"/>
    <mergeCell ref="AE157:AG157"/>
    <mergeCell ref="AH157:AJ157"/>
    <mergeCell ref="AK157:AO157"/>
    <mergeCell ref="AS159:AU159"/>
    <mergeCell ref="AV159:AW159"/>
    <mergeCell ref="AY159:AZ159"/>
    <mergeCell ref="AO161:AU161"/>
    <mergeCell ref="AV161:AZ161"/>
    <mergeCell ref="B155:F155"/>
    <mergeCell ref="G155:U155"/>
    <mergeCell ref="V155:Y155"/>
    <mergeCell ref="AA155:AE155"/>
    <mergeCell ref="AF155:AJ156"/>
    <mergeCell ref="AK155:AO155"/>
    <mergeCell ref="AP155:AS155"/>
    <mergeCell ref="B156:F156"/>
    <mergeCell ref="G156:U156"/>
    <mergeCell ref="V156:Y156"/>
    <mergeCell ref="AA156:AB156"/>
    <mergeCell ref="AC156:AE156"/>
    <mergeCell ref="AK156:AO156"/>
    <mergeCell ref="AP156:AS156"/>
    <mergeCell ref="B153:F153"/>
    <mergeCell ref="G153:U153"/>
    <mergeCell ref="V153:Y153"/>
    <mergeCell ref="AA153:AE153"/>
    <mergeCell ref="AF153:AH153"/>
    <mergeCell ref="AI153:AJ153"/>
    <mergeCell ref="AK153:AO153"/>
    <mergeCell ref="AP153:AS153"/>
    <mergeCell ref="B154:F154"/>
    <mergeCell ref="G154:U154"/>
    <mergeCell ref="V154:Y154"/>
    <mergeCell ref="AA154:AE154"/>
    <mergeCell ref="AF154:AH154"/>
    <mergeCell ref="AI154:AJ154"/>
    <mergeCell ref="AK154:AO154"/>
    <mergeCell ref="AP154:AS154"/>
    <mergeCell ref="B151:F151"/>
    <mergeCell ref="G151:U151"/>
    <mergeCell ref="V151:Y151"/>
    <mergeCell ref="AA151:AE151"/>
    <mergeCell ref="AF151:AH151"/>
    <mergeCell ref="AI151:AJ151"/>
    <mergeCell ref="AK151:AO151"/>
    <mergeCell ref="AP151:AS151"/>
    <mergeCell ref="B152:F152"/>
    <mergeCell ref="G152:U152"/>
    <mergeCell ref="V152:Y152"/>
    <mergeCell ref="AA152:AE152"/>
    <mergeCell ref="AF152:AH152"/>
    <mergeCell ref="AI152:AJ152"/>
    <mergeCell ref="AK152:AO152"/>
    <mergeCell ref="AP152:AS152"/>
    <mergeCell ref="G149:U149"/>
    <mergeCell ref="V149:Y149"/>
    <mergeCell ref="AA149:AE149"/>
    <mergeCell ref="AF149:AH149"/>
    <mergeCell ref="AI149:AJ149"/>
    <mergeCell ref="AK149:AO149"/>
    <mergeCell ref="AP149:AS149"/>
    <mergeCell ref="B150:F150"/>
    <mergeCell ref="G150:U150"/>
    <mergeCell ref="V150:Y150"/>
    <mergeCell ref="AA150:AE150"/>
    <mergeCell ref="AF150:AH150"/>
    <mergeCell ref="AI150:AJ150"/>
    <mergeCell ref="AK150:AO150"/>
    <mergeCell ref="AP150:AS150"/>
    <mergeCell ref="B147:F147"/>
    <mergeCell ref="G147:U147"/>
    <mergeCell ref="V147:Y147"/>
    <mergeCell ref="AA147:AE147"/>
    <mergeCell ref="AF147:AH147"/>
    <mergeCell ref="AI147:AJ147"/>
    <mergeCell ref="AK147:AO147"/>
    <mergeCell ref="AP147:AS147"/>
    <mergeCell ref="B148:F148"/>
    <mergeCell ref="G148:U148"/>
    <mergeCell ref="V148:Y148"/>
    <mergeCell ref="AA148:AE148"/>
    <mergeCell ref="AF148:AH148"/>
    <mergeCell ref="AI148:AJ148"/>
    <mergeCell ref="AK148:AO148"/>
    <mergeCell ref="AP148:AS148"/>
    <mergeCell ref="AP145:AS145"/>
    <mergeCell ref="B146:F146"/>
    <mergeCell ref="G146:U146"/>
    <mergeCell ref="V146:Y146"/>
    <mergeCell ref="AA146:AE146"/>
    <mergeCell ref="AF146:AH146"/>
    <mergeCell ref="AI146:AJ146"/>
    <mergeCell ref="AK146:AO146"/>
    <mergeCell ref="AP146:AS146"/>
    <mergeCell ref="AP141:AS142"/>
    <mergeCell ref="AT141:AV156"/>
    <mergeCell ref="B143:F143"/>
    <mergeCell ref="G143:U143"/>
    <mergeCell ref="V143:Y143"/>
    <mergeCell ref="AA143:AE143"/>
    <mergeCell ref="AF143:AH143"/>
    <mergeCell ref="AI143:AJ143"/>
    <mergeCell ref="AK143:AO143"/>
    <mergeCell ref="AP143:AS143"/>
    <mergeCell ref="B144:F144"/>
    <mergeCell ref="G144:U144"/>
    <mergeCell ref="V144:Y144"/>
    <mergeCell ref="AA144:AE144"/>
    <mergeCell ref="AF144:AH144"/>
    <mergeCell ref="AI144:AJ144"/>
    <mergeCell ref="AK144:AO144"/>
    <mergeCell ref="AP144:AS144"/>
    <mergeCell ref="B145:F145"/>
    <mergeCell ref="G145:U145"/>
    <mergeCell ref="V145:Y145"/>
    <mergeCell ref="AA145:AE145"/>
    <mergeCell ref="B149:F149"/>
    <mergeCell ref="AF145:AH145"/>
    <mergeCell ref="AI145:AJ145"/>
    <mergeCell ref="AC139:AD139"/>
    <mergeCell ref="AE139:AG139"/>
    <mergeCell ref="AH139:AJ139"/>
    <mergeCell ref="AK139:AO139"/>
    <mergeCell ref="B141:F142"/>
    <mergeCell ref="G141:U142"/>
    <mergeCell ref="V141:Z142"/>
    <mergeCell ref="AA141:AE142"/>
    <mergeCell ref="AF141:AH142"/>
    <mergeCell ref="AI141:AJ142"/>
    <mergeCell ref="AK141:AO142"/>
    <mergeCell ref="B136:F136"/>
    <mergeCell ref="G136:U136"/>
    <mergeCell ref="V136:Y136"/>
    <mergeCell ref="AA136:AE136"/>
    <mergeCell ref="AF136:AH136"/>
    <mergeCell ref="AI136:AJ136"/>
    <mergeCell ref="AK136:AO136"/>
    <mergeCell ref="AK145:AO145"/>
    <mergeCell ref="AP136:AS136"/>
    <mergeCell ref="B137:F137"/>
    <mergeCell ref="G137:U137"/>
    <mergeCell ref="V137:Y137"/>
    <mergeCell ref="AA137:AE137"/>
    <mergeCell ref="AF137:AJ138"/>
    <mergeCell ref="AK137:AO137"/>
    <mergeCell ref="AP137:AS137"/>
    <mergeCell ref="B138:F138"/>
    <mergeCell ref="G138:U138"/>
    <mergeCell ref="V138:Y138"/>
    <mergeCell ref="AA138:AB138"/>
    <mergeCell ref="AC138:AE138"/>
    <mergeCell ref="AK138:AO138"/>
    <mergeCell ref="AP138:AS138"/>
    <mergeCell ref="B134:F134"/>
    <mergeCell ref="G134:U134"/>
    <mergeCell ref="V134:Y134"/>
    <mergeCell ref="AA134:AE134"/>
    <mergeCell ref="AF134:AH134"/>
    <mergeCell ref="AI134:AJ134"/>
    <mergeCell ref="AK134:AO134"/>
    <mergeCell ref="AP134:AS134"/>
    <mergeCell ref="B135:F135"/>
    <mergeCell ref="G135:U135"/>
    <mergeCell ref="V135:Y135"/>
    <mergeCell ref="AA135:AE135"/>
    <mergeCell ref="AF135:AH135"/>
    <mergeCell ref="AI135:AJ135"/>
    <mergeCell ref="AK135:AO135"/>
    <mergeCell ref="AP135:AS135"/>
    <mergeCell ref="B132:F132"/>
    <mergeCell ref="G132:U132"/>
    <mergeCell ref="V132:Y132"/>
    <mergeCell ref="AA132:AE132"/>
    <mergeCell ref="AF132:AH132"/>
    <mergeCell ref="AI132:AJ132"/>
    <mergeCell ref="AK132:AO132"/>
    <mergeCell ref="AP132:AS132"/>
    <mergeCell ref="B133:F133"/>
    <mergeCell ref="G133:U133"/>
    <mergeCell ref="V133:Y133"/>
    <mergeCell ref="AA133:AE133"/>
    <mergeCell ref="AF133:AH133"/>
    <mergeCell ref="AI133:AJ133"/>
    <mergeCell ref="AK133:AO133"/>
    <mergeCell ref="AP133:AS133"/>
    <mergeCell ref="B130:F130"/>
    <mergeCell ref="G130:U130"/>
    <mergeCell ref="V130:Y130"/>
    <mergeCell ref="AA130:AE130"/>
    <mergeCell ref="AF130:AH130"/>
    <mergeCell ref="AI130:AJ130"/>
    <mergeCell ref="AK130:AO130"/>
    <mergeCell ref="AP130:AS130"/>
    <mergeCell ref="B131:F131"/>
    <mergeCell ref="G131:U131"/>
    <mergeCell ref="V131:Y131"/>
    <mergeCell ref="AA131:AE131"/>
    <mergeCell ref="AF131:AH131"/>
    <mergeCell ref="AI131:AJ131"/>
    <mergeCell ref="AK131:AO131"/>
    <mergeCell ref="AP131:AS131"/>
    <mergeCell ref="B129:F129"/>
    <mergeCell ref="G129:U129"/>
    <mergeCell ref="V129:Y129"/>
    <mergeCell ref="AA129:AE129"/>
    <mergeCell ref="AF129:AH129"/>
    <mergeCell ref="AI129:AJ129"/>
    <mergeCell ref="AK129:AO129"/>
    <mergeCell ref="AP129:AS129"/>
    <mergeCell ref="AP126:AS126"/>
    <mergeCell ref="B127:F127"/>
    <mergeCell ref="G127:U127"/>
    <mergeCell ref="V127:Y127"/>
    <mergeCell ref="AA127:AE127"/>
    <mergeCell ref="AF127:AH127"/>
    <mergeCell ref="AI127:AJ127"/>
    <mergeCell ref="AK127:AO127"/>
    <mergeCell ref="AP127:AS127"/>
    <mergeCell ref="B123:F124"/>
    <mergeCell ref="G123:U124"/>
    <mergeCell ref="V123:Z124"/>
    <mergeCell ref="AA123:AE124"/>
    <mergeCell ref="AF123:AH124"/>
    <mergeCell ref="AI123:AJ124"/>
    <mergeCell ref="AK123:AO124"/>
    <mergeCell ref="AP123:AS124"/>
    <mergeCell ref="AT123:AV138"/>
    <mergeCell ref="B125:F125"/>
    <mergeCell ref="G125:U125"/>
    <mergeCell ref="V125:Y125"/>
    <mergeCell ref="AA125:AE125"/>
    <mergeCell ref="AF125:AH125"/>
    <mergeCell ref="AI125:AJ125"/>
    <mergeCell ref="AK125:AO125"/>
    <mergeCell ref="AP125:AS125"/>
    <mergeCell ref="B126:F126"/>
    <mergeCell ref="G126:U126"/>
    <mergeCell ref="V126:Y126"/>
    <mergeCell ref="AA126:AE126"/>
    <mergeCell ref="AF126:AH126"/>
    <mergeCell ref="AI126:AJ126"/>
    <mergeCell ref="AK126:AO126"/>
    <mergeCell ref="B128:F128"/>
    <mergeCell ref="G128:U128"/>
    <mergeCell ref="V128:Y128"/>
    <mergeCell ref="AA128:AE128"/>
    <mergeCell ref="AF128:AH128"/>
    <mergeCell ref="AI128:AJ128"/>
    <mergeCell ref="AK128:AO128"/>
    <mergeCell ref="AP128:AS128"/>
    <mergeCell ref="AC118:AD118"/>
    <mergeCell ref="AE118:AG118"/>
    <mergeCell ref="AH118:AJ118"/>
    <mergeCell ref="AK118:AO118"/>
    <mergeCell ref="AS120:AU120"/>
    <mergeCell ref="AV120:AW120"/>
    <mergeCell ref="AY120:AZ120"/>
    <mergeCell ref="AO122:AU122"/>
    <mergeCell ref="AV122:AZ122"/>
    <mergeCell ref="B116:F116"/>
    <mergeCell ref="G116:U116"/>
    <mergeCell ref="V116:Y116"/>
    <mergeCell ref="AA116:AE116"/>
    <mergeCell ref="AF116:AJ117"/>
    <mergeCell ref="AK116:AO116"/>
    <mergeCell ref="AP116:AS116"/>
    <mergeCell ref="B117:F117"/>
    <mergeCell ref="G117:U117"/>
    <mergeCell ref="V117:Y117"/>
    <mergeCell ref="AA117:AB117"/>
    <mergeCell ref="AC117:AE117"/>
    <mergeCell ref="AK117:AO117"/>
    <mergeCell ref="AP117:AS117"/>
    <mergeCell ref="B114:F114"/>
    <mergeCell ref="G114:U114"/>
    <mergeCell ref="V114:Y114"/>
    <mergeCell ref="AA114:AE114"/>
    <mergeCell ref="AF114:AH114"/>
    <mergeCell ref="AI114:AJ114"/>
    <mergeCell ref="AK114:AO114"/>
    <mergeCell ref="AP114:AS114"/>
    <mergeCell ref="B115:F115"/>
    <mergeCell ref="G115:U115"/>
    <mergeCell ref="V115:Y115"/>
    <mergeCell ref="AA115:AE115"/>
    <mergeCell ref="AF115:AH115"/>
    <mergeCell ref="AI115:AJ115"/>
    <mergeCell ref="AK115:AO115"/>
    <mergeCell ref="AP115:AS115"/>
    <mergeCell ref="B112:F112"/>
    <mergeCell ref="G112:U112"/>
    <mergeCell ref="V112:Y112"/>
    <mergeCell ref="AA112:AE112"/>
    <mergeCell ref="AF112:AH112"/>
    <mergeCell ref="AI112:AJ112"/>
    <mergeCell ref="AK112:AO112"/>
    <mergeCell ref="AP112:AS112"/>
    <mergeCell ref="B113:F113"/>
    <mergeCell ref="G113:U113"/>
    <mergeCell ref="V113:Y113"/>
    <mergeCell ref="AA113:AE113"/>
    <mergeCell ref="AF113:AH113"/>
    <mergeCell ref="AI113:AJ113"/>
    <mergeCell ref="AK113:AO113"/>
    <mergeCell ref="AP113:AS113"/>
    <mergeCell ref="G110:U110"/>
    <mergeCell ref="V110:Y110"/>
    <mergeCell ref="AA110:AE110"/>
    <mergeCell ref="AF110:AH110"/>
    <mergeCell ref="AI110:AJ110"/>
    <mergeCell ref="AK110:AO110"/>
    <mergeCell ref="AP110:AS110"/>
    <mergeCell ref="B111:F111"/>
    <mergeCell ref="G111:U111"/>
    <mergeCell ref="V111:Y111"/>
    <mergeCell ref="AA111:AE111"/>
    <mergeCell ref="AF111:AH111"/>
    <mergeCell ref="AI111:AJ111"/>
    <mergeCell ref="AK111:AO111"/>
    <mergeCell ref="AP111:AS111"/>
    <mergeCell ref="B108:F108"/>
    <mergeCell ref="G108:U108"/>
    <mergeCell ref="V108:Y108"/>
    <mergeCell ref="AA108:AE108"/>
    <mergeCell ref="AF108:AH108"/>
    <mergeCell ref="AI108:AJ108"/>
    <mergeCell ref="AK108:AO108"/>
    <mergeCell ref="AP108:AS108"/>
    <mergeCell ref="B109:F109"/>
    <mergeCell ref="G109:U109"/>
    <mergeCell ref="V109:Y109"/>
    <mergeCell ref="AA109:AE109"/>
    <mergeCell ref="AF109:AH109"/>
    <mergeCell ref="AI109:AJ109"/>
    <mergeCell ref="AK109:AO109"/>
    <mergeCell ref="AP109:AS109"/>
    <mergeCell ref="AP106:AS106"/>
    <mergeCell ref="B107:F107"/>
    <mergeCell ref="G107:U107"/>
    <mergeCell ref="V107:Y107"/>
    <mergeCell ref="AA107:AE107"/>
    <mergeCell ref="AF107:AH107"/>
    <mergeCell ref="AI107:AJ107"/>
    <mergeCell ref="AK107:AO107"/>
    <mergeCell ref="AP107:AS107"/>
    <mergeCell ref="AP102:AS103"/>
    <mergeCell ref="AT102:AV117"/>
    <mergeCell ref="B104:F104"/>
    <mergeCell ref="G104:U104"/>
    <mergeCell ref="V104:Y104"/>
    <mergeCell ref="AA104:AE104"/>
    <mergeCell ref="AF104:AH104"/>
    <mergeCell ref="AI104:AJ104"/>
    <mergeCell ref="AK104:AO104"/>
    <mergeCell ref="AP104:AS104"/>
    <mergeCell ref="B105:F105"/>
    <mergeCell ref="G105:U105"/>
    <mergeCell ref="V105:Y105"/>
    <mergeCell ref="AA105:AE105"/>
    <mergeCell ref="AF105:AH105"/>
    <mergeCell ref="AI105:AJ105"/>
    <mergeCell ref="AK105:AO105"/>
    <mergeCell ref="AP105:AS105"/>
    <mergeCell ref="B106:F106"/>
    <mergeCell ref="G106:U106"/>
    <mergeCell ref="V106:Y106"/>
    <mergeCell ref="AA106:AE106"/>
    <mergeCell ref="B110:F110"/>
    <mergeCell ref="AF106:AH106"/>
    <mergeCell ref="AI106:AJ106"/>
    <mergeCell ref="AC100:AD100"/>
    <mergeCell ref="AE100:AG100"/>
    <mergeCell ref="AH100:AJ100"/>
    <mergeCell ref="AK100:AO100"/>
    <mergeCell ref="B102:F103"/>
    <mergeCell ref="G102:U103"/>
    <mergeCell ref="V102:Z103"/>
    <mergeCell ref="AA102:AE103"/>
    <mergeCell ref="AF102:AH103"/>
    <mergeCell ref="AI102:AJ103"/>
    <mergeCell ref="AK102:AO103"/>
    <mergeCell ref="B97:F97"/>
    <mergeCell ref="G97:U97"/>
    <mergeCell ref="V97:Y97"/>
    <mergeCell ref="AA97:AE97"/>
    <mergeCell ref="AF97:AH97"/>
    <mergeCell ref="AI97:AJ97"/>
    <mergeCell ref="AK97:AO97"/>
    <mergeCell ref="AK106:AO106"/>
    <mergeCell ref="AP97:AS97"/>
    <mergeCell ref="B98:F98"/>
    <mergeCell ref="G98:U98"/>
    <mergeCell ref="V98:Y98"/>
    <mergeCell ref="AA98:AE98"/>
    <mergeCell ref="AF98:AJ99"/>
    <mergeCell ref="AK98:AO98"/>
    <mergeCell ref="AP98:AS98"/>
    <mergeCell ref="B99:F99"/>
    <mergeCell ref="G99:U99"/>
    <mergeCell ref="V99:Y99"/>
    <mergeCell ref="AA99:AB99"/>
    <mergeCell ref="AC99:AE99"/>
    <mergeCell ref="AK99:AO99"/>
    <mergeCell ref="AP99:AS99"/>
    <mergeCell ref="B95:F95"/>
    <mergeCell ref="G95:U95"/>
    <mergeCell ref="V95:Y95"/>
    <mergeCell ref="AA95:AE95"/>
    <mergeCell ref="AF95:AH95"/>
    <mergeCell ref="AI95:AJ95"/>
    <mergeCell ref="AK95:AO95"/>
    <mergeCell ref="AP95:AS95"/>
    <mergeCell ref="B96:F96"/>
    <mergeCell ref="G96:U96"/>
    <mergeCell ref="V96:Y96"/>
    <mergeCell ref="AA96:AE96"/>
    <mergeCell ref="AF96:AH96"/>
    <mergeCell ref="AI96:AJ96"/>
    <mergeCell ref="AK96:AO96"/>
    <mergeCell ref="AP96:AS96"/>
    <mergeCell ref="B93:F93"/>
    <mergeCell ref="G93:U93"/>
    <mergeCell ref="V93:Y93"/>
    <mergeCell ref="AA93:AE93"/>
    <mergeCell ref="AF93:AH93"/>
    <mergeCell ref="AI93:AJ93"/>
    <mergeCell ref="AK93:AO93"/>
    <mergeCell ref="AP93:AS93"/>
    <mergeCell ref="B94:F94"/>
    <mergeCell ref="G94:U94"/>
    <mergeCell ref="V94:Y94"/>
    <mergeCell ref="AA94:AE94"/>
    <mergeCell ref="AF94:AH94"/>
    <mergeCell ref="AI94:AJ94"/>
    <mergeCell ref="AK94:AO94"/>
    <mergeCell ref="AP94:AS94"/>
    <mergeCell ref="B91:F91"/>
    <mergeCell ref="G91:U91"/>
    <mergeCell ref="V91:Y91"/>
    <mergeCell ref="AA91:AE91"/>
    <mergeCell ref="AF91:AH91"/>
    <mergeCell ref="AI91:AJ91"/>
    <mergeCell ref="AK91:AO91"/>
    <mergeCell ref="AP91:AS91"/>
    <mergeCell ref="B92:F92"/>
    <mergeCell ref="G92:U92"/>
    <mergeCell ref="V92:Y92"/>
    <mergeCell ref="AA92:AE92"/>
    <mergeCell ref="AF92:AH92"/>
    <mergeCell ref="AI92:AJ92"/>
    <mergeCell ref="AK92:AO92"/>
    <mergeCell ref="AP92:AS92"/>
    <mergeCell ref="AF89:AH89"/>
    <mergeCell ref="AI89:AJ89"/>
    <mergeCell ref="AK89:AO89"/>
    <mergeCell ref="AP89:AS89"/>
    <mergeCell ref="B90:F90"/>
    <mergeCell ref="G90:U90"/>
    <mergeCell ref="V90:Y90"/>
    <mergeCell ref="AA90:AE90"/>
    <mergeCell ref="AF90:AH90"/>
    <mergeCell ref="AI90:AJ90"/>
    <mergeCell ref="AK90:AO90"/>
    <mergeCell ref="AP90:AS90"/>
    <mergeCell ref="V87:Y87"/>
    <mergeCell ref="AA87:AE87"/>
    <mergeCell ref="AF87:AH87"/>
    <mergeCell ref="AI87:AJ87"/>
    <mergeCell ref="AK87:AO87"/>
    <mergeCell ref="AP87:AS87"/>
    <mergeCell ref="B88:F88"/>
    <mergeCell ref="G88:U88"/>
    <mergeCell ref="V88:Y88"/>
    <mergeCell ref="AA88:AE88"/>
    <mergeCell ref="AF88:AH88"/>
    <mergeCell ref="AI88:AJ88"/>
    <mergeCell ref="AK88:AO88"/>
    <mergeCell ref="AP88:AS88"/>
    <mergeCell ref="AC78:AE78"/>
    <mergeCell ref="AK78:AO78"/>
    <mergeCell ref="AP78:AS78"/>
    <mergeCell ref="B74:F74"/>
    <mergeCell ref="AS81:AU81"/>
    <mergeCell ref="AV81:AW81"/>
    <mergeCell ref="AY81:AZ81"/>
    <mergeCell ref="AO83:AU83"/>
    <mergeCell ref="AV83:AZ83"/>
    <mergeCell ref="B84:F85"/>
    <mergeCell ref="G84:U85"/>
    <mergeCell ref="V84:Z85"/>
    <mergeCell ref="AA84:AE85"/>
    <mergeCell ref="AF84:AH85"/>
    <mergeCell ref="AI84:AJ85"/>
    <mergeCell ref="AK84:AO85"/>
    <mergeCell ref="AP84:AS85"/>
    <mergeCell ref="AT84:AV99"/>
    <mergeCell ref="B86:F86"/>
    <mergeCell ref="G86:U86"/>
    <mergeCell ref="V86:Y86"/>
    <mergeCell ref="AA86:AE86"/>
    <mergeCell ref="AF86:AH86"/>
    <mergeCell ref="AI86:AJ86"/>
    <mergeCell ref="AK86:AO86"/>
    <mergeCell ref="AP86:AS86"/>
    <mergeCell ref="B87:F87"/>
    <mergeCell ref="G87:U87"/>
    <mergeCell ref="B89:F89"/>
    <mergeCell ref="G89:U89"/>
    <mergeCell ref="V89:Y89"/>
    <mergeCell ref="AA89:AE89"/>
    <mergeCell ref="AF73:AH73"/>
    <mergeCell ref="AI73:AJ73"/>
    <mergeCell ref="AK73:AO73"/>
    <mergeCell ref="AP73:AS73"/>
    <mergeCell ref="AC79:AD79"/>
    <mergeCell ref="AE79:AG79"/>
    <mergeCell ref="AH79:AJ79"/>
    <mergeCell ref="AK79:AO79"/>
    <mergeCell ref="AS42:AU42"/>
    <mergeCell ref="AV42:AW42"/>
    <mergeCell ref="AY42:AZ42"/>
    <mergeCell ref="AO44:AU44"/>
    <mergeCell ref="AV44:AZ44"/>
    <mergeCell ref="B76:F76"/>
    <mergeCell ref="G76:U76"/>
    <mergeCell ref="V76:Y76"/>
    <mergeCell ref="AA76:AE76"/>
    <mergeCell ref="AF76:AH76"/>
    <mergeCell ref="AI76:AJ76"/>
    <mergeCell ref="AK76:AO76"/>
    <mergeCell ref="AP76:AS76"/>
    <mergeCell ref="B77:F77"/>
    <mergeCell ref="G77:U77"/>
    <mergeCell ref="V77:Y77"/>
    <mergeCell ref="AA77:AE77"/>
    <mergeCell ref="AF77:AJ78"/>
    <mergeCell ref="AK77:AO77"/>
    <mergeCell ref="AP77:AS77"/>
    <mergeCell ref="B78:F78"/>
    <mergeCell ref="G78:U78"/>
    <mergeCell ref="V78:Y78"/>
    <mergeCell ref="AA78:AB78"/>
    <mergeCell ref="AA69:AE69"/>
    <mergeCell ref="AF69:AH69"/>
    <mergeCell ref="AI69:AJ69"/>
    <mergeCell ref="AK69:AO69"/>
    <mergeCell ref="AP69:AS69"/>
    <mergeCell ref="G74:U74"/>
    <mergeCell ref="V74:Y74"/>
    <mergeCell ref="AA74:AE74"/>
    <mergeCell ref="AF74:AH74"/>
    <mergeCell ref="AI74:AJ74"/>
    <mergeCell ref="AK74:AO74"/>
    <mergeCell ref="AP74:AS74"/>
    <mergeCell ref="B75:F75"/>
    <mergeCell ref="G75:U75"/>
    <mergeCell ref="V75:Y75"/>
    <mergeCell ref="AA75:AE75"/>
    <mergeCell ref="AF75:AH75"/>
    <mergeCell ref="AI75:AJ75"/>
    <mergeCell ref="AK75:AO75"/>
    <mergeCell ref="AP75:AS75"/>
    <mergeCell ref="B72:F72"/>
    <mergeCell ref="G72:U72"/>
    <mergeCell ref="V72:Y72"/>
    <mergeCell ref="AA72:AE72"/>
    <mergeCell ref="AF72:AH72"/>
    <mergeCell ref="AI72:AJ72"/>
    <mergeCell ref="AK72:AO72"/>
    <mergeCell ref="AP72:AS72"/>
    <mergeCell ref="B73:F73"/>
    <mergeCell ref="G73:U73"/>
    <mergeCell ref="V73:Y73"/>
    <mergeCell ref="AA73:AE73"/>
    <mergeCell ref="AA63:AE64"/>
    <mergeCell ref="AF63:AH64"/>
    <mergeCell ref="AI63:AJ64"/>
    <mergeCell ref="AK63:AO64"/>
    <mergeCell ref="AP63:AS64"/>
    <mergeCell ref="B70:F70"/>
    <mergeCell ref="G70:U70"/>
    <mergeCell ref="V70:Y70"/>
    <mergeCell ref="AA70:AE70"/>
    <mergeCell ref="AF70:AH70"/>
    <mergeCell ref="AI70:AJ70"/>
    <mergeCell ref="AK70:AO70"/>
    <mergeCell ref="AP70:AS70"/>
    <mergeCell ref="B71:F71"/>
    <mergeCell ref="G71:U71"/>
    <mergeCell ref="V71:Y71"/>
    <mergeCell ref="AA71:AE71"/>
    <mergeCell ref="AF71:AH71"/>
    <mergeCell ref="AI71:AJ71"/>
    <mergeCell ref="AK71:AO71"/>
    <mergeCell ref="AP71:AS71"/>
    <mergeCell ref="B68:F68"/>
    <mergeCell ref="G68:U68"/>
    <mergeCell ref="V68:Y68"/>
    <mergeCell ref="AA68:AE68"/>
    <mergeCell ref="AF68:AH68"/>
    <mergeCell ref="AI68:AJ68"/>
    <mergeCell ref="AK68:AO68"/>
    <mergeCell ref="AP68:AS68"/>
    <mergeCell ref="B69:F69"/>
    <mergeCell ref="G69:U69"/>
    <mergeCell ref="V69:Y69"/>
    <mergeCell ref="AT63:AV78"/>
    <mergeCell ref="B65:F65"/>
    <mergeCell ref="G65:U65"/>
    <mergeCell ref="V65:Y65"/>
    <mergeCell ref="AA65:AE65"/>
    <mergeCell ref="AF65:AH65"/>
    <mergeCell ref="AI65:AJ65"/>
    <mergeCell ref="AK65:AO65"/>
    <mergeCell ref="AP65:AS65"/>
    <mergeCell ref="B66:F66"/>
    <mergeCell ref="G66:U66"/>
    <mergeCell ref="V66:Y66"/>
    <mergeCell ref="AA66:AE66"/>
    <mergeCell ref="AF66:AH66"/>
    <mergeCell ref="AI66:AJ66"/>
    <mergeCell ref="AK66:AO66"/>
    <mergeCell ref="AE61:AG61"/>
    <mergeCell ref="AH61:AJ61"/>
    <mergeCell ref="AK61:AO61"/>
    <mergeCell ref="AC61:AD61"/>
    <mergeCell ref="AP66:AS66"/>
    <mergeCell ref="B67:F67"/>
    <mergeCell ref="G67:U67"/>
    <mergeCell ref="V67:Y67"/>
    <mergeCell ref="AA67:AE67"/>
    <mergeCell ref="AF67:AH67"/>
    <mergeCell ref="AI67:AJ67"/>
    <mergeCell ref="AK67:AO67"/>
    <mergeCell ref="AP67:AS67"/>
    <mergeCell ref="B63:F64"/>
    <mergeCell ref="G63:U64"/>
    <mergeCell ref="V63:Z64"/>
    <mergeCell ref="AP59:AS59"/>
    <mergeCell ref="AP60:AS60"/>
    <mergeCell ref="AT45:AV60"/>
    <mergeCell ref="AP34:AS35"/>
    <mergeCell ref="AT34:AW35"/>
    <mergeCell ref="AT40:AW40"/>
    <mergeCell ref="B60:F60"/>
    <mergeCell ref="G60:U60"/>
    <mergeCell ref="V60:Y60"/>
    <mergeCell ref="AK60:AO60"/>
    <mergeCell ref="AA60:AB60"/>
    <mergeCell ref="AC60:AE60"/>
    <mergeCell ref="AF59:AJ60"/>
    <mergeCell ref="G58:U58"/>
    <mergeCell ref="B45:F46"/>
    <mergeCell ref="AK59:AO59"/>
    <mergeCell ref="B59:F59"/>
    <mergeCell ref="G59:U59"/>
    <mergeCell ref="V59:Y59"/>
    <mergeCell ref="AA59:AE59"/>
    <mergeCell ref="AP45:AS46"/>
    <mergeCell ref="AP47:AS47"/>
    <mergeCell ref="AP48:AS48"/>
    <mergeCell ref="AP49:AS49"/>
    <mergeCell ref="AP50:AS50"/>
    <mergeCell ref="AP51:AS51"/>
    <mergeCell ref="AP52:AS52"/>
    <mergeCell ref="AP53:AS53"/>
    <mergeCell ref="AP54:AS54"/>
    <mergeCell ref="AP55:AS55"/>
    <mergeCell ref="AP56:AS56"/>
    <mergeCell ref="AP57:AS57"/>
    <mergeCell ref="AP58:AS58"/>
    <mergeCell ref="B58:F58"/>
    <mergeCell ref="AA58:AE58"/>
    <mergeCell ref="AF58:AH58"/>
    <mergeCell ref="AI58:AJ58"/>
    <mergeCell ref="AK58:AO58"/>
    <mergeCell ref="G45:U46"/>
    <mergeCell ref="V47:Y47"/>
    <mergeCell ref="V48:Y48"/>
    <mergeCell ref="V49:Y49"/>
    <mergeCell ref="V50:Y50"/>
    <mergeCell ref="V51:Y51"/>
    <mergeCell ref="V52:Y52"/>
    <mergeCell ref="V53:Y53"/>
    <mergeCell ref="V54:Y54"/>
    <mergeCell ref="V55:Y55"/>
    <mergeCell ref="V56:Y56"/>
    <mergeCell ref="V57:Y57"/>
    <mergeCell ref="V58:Y58"/>
    <mergeCell ref="G47:U47"/>
    <mergeCell ref="G48:U48"/>
    <mergeCell ref="G49:U49"/>
    <mergeCell ref="G50:U50"/>
    <mergeCell ref="G51:U51"/>
    <mergeCell ref="AF56:AH56"/>
    <mergeCell ref="AI56:AJ56"/>
    <mergeCell ref="AK56:AO56"/>
    <mergeCell ref="B57:F57"/>
    <mergeCell ref="AA57:AE57"/>
    <mergeCell ref="AF51:AH51"/>
    <mergeCell ref="AI51:AJ51"/>
    <mergeCell ref="G56:U56"/>
    <mergeCell ref="G57:U57"/>
    <mergeCell ref="AF54:AH54"/>
    <mergeCell ref="AI54:AJ54"/>
    <mergeCell ref="AK54:AO54"/>
    <mergeCell ref="AA55:AE55"/>
    <mergeCell ref="AF55:AH55"/>
    <mergeCell ref="AI55:AJ55"/>
    <mergeCell ref="AK55:AO55"/>
    <mergeCell ref="AK51:AO51"/>
    <mergeCell ref="AA52:AE52"/>
    <mergeCell ref="AF52:AH52"/>
    <mergeCell ref="AI52:AJ52"/>
    <mergeCell ref="AK52:AO52"/>
    <mergeCell ref="AA53:AE53"/>
    <mergeCell ref="AF53:AH53"/>
    <mergeCell ref="AI53:AJ53"/>
    <mergeCell ref="AK53:AO53"/>
    <mergeCell ref="AF57:AH57"/>
    <mergeCell ref="AI57:AJ57"/>
    <mergeCell ref="AK57:AO57"/>
    <mergeCell ref="E10:H10"/>
    <mergeCell ref="AF47:AH47"/>
    <mergeCell ref="AI47:AJ47"/>
    <mergeCell ref="AK47:AO47"/>
    <mergeCell ref="AA48:AE48"/>
    <mergeCell ref="AF48:AH48"/>
    <mergeCell ref="AI48:AJ48"/>
    <mergeCell ref="AK48:AO48"/>
    <mergeCell ref="AA49:AE49"/>
    <mergeCell ref="AF49:AH49"/>
    <mergeCell ref="AI49:AJ49"/>
    <mergeCell ref="AK49:AO49"/>
    <mergeCell ref="Z34:AC35"/>
    <mergeCell ref="AD34:AG35"/>
    <mergeCell ref="AH34:AK35"/>
    <mergeCell ref="AL34:AO35"/>
    <mergeCell ref="AL38:AO38"/>
    <mergeCell ref="AD38:AG38"/>
    <mergeCell ref="AH38:AK38"/>
    <mergeCell ref="V45:Z46"/>
    <mergeCell ref="AA45:AE46"/>
    <mergeCell ref="AF45:AH46"/>
    <mergeCell ref="AI45:AJ46"/>
    <mergeCell ref="B40:I40"/>
    <mergeCell ref="B14:D14"/>
    <mergeCell ref="B34:E35"/>
    <mergeCell ref="B36:E36"/>
    <mergeCell ref="B37:E37"/>
    <mergeCell ref="B38:E38"/>
    <mergeCell ref="B39:I39"/>
    <mergeCell ref="F36:I36"/>
    <mergeCell ref="J36:M36"/>
    <mergeCell ref="BA6:BA14"/>
    <mergeCell ref="BB6:BB8"/>
    <mergeCell ref="BO6:BO8"/>
    <mergeCell ref="BP6:BR8"/>
    <mergeCell ref="B7:D7"/>
    <mergeCell ref="E7:H8"/>
    <mergeCell ref="I7:L8"/>
    <mergeCell ref="M7:P8"/>
    <mergeCell ref="Q7:T8"/>
    <mergeCell ref="AC9:AF9"/>
    <mergeCell ref="AG9:AJ9"/>
    <mergeCell ref="AK9:AN9"/>
    <mergeCell ref="AO9:AR9"/>
    <mergeCell ref="AS9:AV9"/>
    <mergeCell ref="AW9:AZ9"/>
    <mergeCell ref="AS7:AV8"/>
    <mergeCell ref="AW7:AZ8"/>
    <mergeCell ref="B8:D8"/>
    <mergeCell ref="B9:D9"/>
    <mergeCell ref="E9:H9"/>
    <mergeCell ref="I9:L9"/>
    <mergeCell ref="M9:P9"/>
    <mergeCell ref="Q9:T9"/>
    <mergeCell ref="E14:H14"/>
    <mergeCell ref="I14:L14"/>
    <mergeCell ref="M14:P14"/>
    <mergeCell ref="Q14:T14"/>
    <mergeCell ref="U14:X14"/>
    <mergeCell ref="I10:L10"/>
    <mergeCell ref="M10:P10"/>
    <mergeCell ref="Q10:T10"/>
    <mergeCell ref="U10:X10"/>
    <mergeCell ref="AS1:AU1"/>
    <mergeCell ref="AV1:AW1"/>
    <mergeCell ref="B5:I5"/>
    <mergeCell ref="J5:L5"/>
    <mergeCell ref="M5:N5"/>
    <mergeCell ref="B6:D6"/>
    <mergeCell ref="E6:AZ6"/>
    <mergeCell ref="U9:X9"/>
    <mergeCell ref="Y9:AB9"/>
    <mergeCell ref="U7:X8"/>
    <mergeCell ref="Y7:AB8"/>
    <mergeCell ref="AC7:AF8"/>
    <mergeCell ref="AG7:AJ8"/>
    <mergeCell ref="AK7:AN8"/>
    <mergeCell ref="AO7:AR8"/>
    <mergeCell ref="AW10:AZ10"/>
    <mergeCell ref="B11:D11"/>
    <mergeCell ref="AW11:AZ11"/>
    <mergeCell ref="AY1:AZ1"/>
    <mergeCell ref="T3:AA3"/>
    <mergeCell ref="AB3:AD3"/>
    <mergeCell ref="AE3:AF3"/>
    <mergeCell ref="AO3:AU3"/>
    <mergeCell ref="E11:H11"/>
    <mergeCell ref="AV3:AZ3"/>
    <mergeCell ref="AO4:AU4"/>
    <mergeCell ref="AV4:AZ4"/>
    <mergeCell ref="Y10:AB10"/>
    <mergeCell ref="I11:L11"/>
    <mergeCell ref="M11:P11"/>
    <mergeCell ref="Q11:T11"/>
    <mergeCell ref="B10:D10"/>
    <mergeCell ref="Y12:AB12"/>
    <mergeCell ref="AC12:AF12"/>
    <mergeCell ref="AG12:AJ12"/>
    <mergeCell ref="AK12:AN12"/>
    <mergeCell ref="AO12:AR12"/>
    <mergeCell ref="AS12:AV12"/>
    <mergeCell ref="AK13:AN13"/>
    <mergeCell ref="AO13:AR13"/>
    <mergeCell ref="AS13:AV13"/>
    <mergeCell ref="AW13:AZ13"/>
    <mergeCell ref="AC10:AF10"/>
    <mergeCell ref="AG10:AJ10"/>
    <mergeCell ref="AK10:AN10"/>
    <mergeCell ref="AO10:AR10"/>
    <mergeCell ref="AS10:AV10"/>
    <mergeCell ref="U11:X11"/>
    <mergeCell ref="Y11:AB11"/>
    <mergeCell ref="AC11:AF11"/>
    <mergeCell ref="AG11:AJ11"/>
    <mergeCell ref="AK11:AN11"/>
    <mergeCell ref="AO11:AR11"/>
    <mergeCell ref="AS11:AV11"/>
    <mergeCell ref="AW14:AZ14"/>
    <mergeCell ref="B15:D15"/>
    <mergeCell ref="E15:H15"/>
    <mergeCell ref="I15:L15"/>
    <mergeCell ref="M15:P15"/>
    <mergeCell ref="Q15:T15"/>
    <mergeCell ref="U15:X15"/>
    <mergeCell ref="Y15:AB15"/>
    <mergeCell ref="AC15:AF15"/>
    <mergeCell ref="AG15:AJ15"/>
    <mergeCell ref="Y14:AB14"/>
    <mergeCell ref="AC14:AF14"/>
    <mergeCell ref="AG14:AJ14"/>
    <mergeCell ref="AK14:AN14"/>
    <mergeCell ref="AO14:AR14"/>
    <mergeCell ref="AS14:AV14"/>
    <mergeCell ref="B12:D12"/>
    <mergeCell ref="E12:H12"/>
    <mergeCell ref="I12:L12"/>
    <mergeCell ref="M12:P12"/>
    <mergeCell ref="Q12:T12"/>
    <mergeCell ref="U12:X12"/>
    <mergeCell ref="AW12:AZ12"/>
    <mergeCell ref="B13:D13"/>
    <mergeCell ref="E13:H13"/>
    <mergeCell ref="I13:L13"/>
    <mergeCell ref="M13:P13"/>
    <mergeCell ref="Q13:T13"/>
    <mergeCell ref="U13:X13"/>
    <mergeCell ref="Y13:AB13"/>
    <mergeCell ref="AC13:AF13"/>
    <mergeCell ref="AG13:AJ13"/>
    <mergeCell ref="AC16:AF16"/>
    <mergeCell ref="AG16:AJ16"/>
    <mergeCell ref="AK16:AN16"/>
    <mergeCell ref="AO16:AR16"/>
    <mergeCell ref="AS16:AV16"/>
    <mergeCell ref="AK15:AN15"/>
    <mergeCell ref="AO15:AR15"/>
    <mergeCell ref="AS15:AV15"/>
    <mergeCell ref="B16:D16"/>
    <mergeCell ref="E16:H16"/>
    <mergeCell ref="I16:L16"/>
    <mergeCell ref="M16:P16"/>
    <mergeCell ref="Q16:T16"/>
    <mergeCell ref="U16:X16"/>
    <mergeCell ref="Y16:AB16"/>
    <mergeCell ref="M19:N19"/>
    <mergeCell ref="B20:D20"/>
    <mergeCell ref="E20:AZ20"/>
    <mergeCell ref="B19:I19"/>
    <mergeCell ref="J19:L19"/>
    <mergeCell ref="BA20:BA28"/>
    <mergeCell ref="AG21:AJ22"/>
    <mergeCell ref="AK21:AN22"/>
    <mergeCell ref="AO21:AR22"/>
    <mergeCell ref="AS21:AV22"/>
    <mergeCell ref="BB20:BM22"/>
    <mergeCell ref="BO20:BR22"/>
    <mergeCell ref="B21:D21"/>
    <mergeCell ref="E21:H22"/>
    <mergeCell ref="I21:L22"/>
    <mergeCell ref="M21:P22"/>
    <mergeCell ref="Q21:T22"/>
    <mergeCell ref="U21:X22"/>
    <mergeCell ref="Y21:AB22"/>
    <mergeCell ref="AC21:AF22"/>
    <mergeCell ref="AW21:AZ22"/>
    <mergeCell ref="B22:D22"/>
    <mergeCell ref="B23:D23"/>
    <mergeCell ref="E23:H23"/>
    <mergeCell ref="I23:L23"/>
    <mergeCell ref="M23:P23"/>
    <mergeCell ref="Q23:T23"/>
    <mergeCell ref="U23:X23"/>
    <mergeCell ref="Y23:AB23"/>
    <mergeCell ref="AC23:AF23"/>
    <mergeCell ref="AG23:AJ23"/>
    <mergeCell ref="AK23:AN23"/>
    <mergeCell ref="AO23:AR23"/>
    <mergeCell ref="AS23:AV23"/>
    <mergeCell ref="AW23:AZ23"/>
    <mergeCell ref="B24:D24"/>
    <mergeCell ref="E24:H24"/>
    <mergeCell ref="I24:L24"/>
    <mergeCell ref="M24:P24"/>
    <mergeCell ref="Q24:T24"/>
    <mergeCell ref="AS24:AV24"/>
    <mergeCell ref="AW24:AZ24"/>
    <mergeCell ref="B25:D25"/>
    <mergeCell ref="E25:H25"/>
    <mergeCell ref="I25:L25"/>
    <mergeCell ref="M25:P25"/>
    <mergeCell ref="Q25:T25"/>
    <mergeCell ref="U25:X25"/>
    <mergeCell ref="Y25:AB25"/>
    <mergeCell ref="AC25:AF25"/>
    <mergeCell ref="U24:X24"/>
    <mergeCell ref="Y24:AB24"/>
    <mergeCell ref="AC24:AF24"/>
    <mergeCell ref="AG24:AJ24"/>
    <mergeCell ref="AK24:AN24"/>
    <mergeCell ref="AO24:AR24"/>
    <mergeCell ref="AG25:AJ25"/>
    <mergeCell ref="AK25:AN25"/>
    <mergeCell ref="AO25:AR25"/>
    <mergeCell ref="AS25:AV25"/>
    <mergeCell ref="AW25:AZ25"/>
    <mergeCell ref="B26:D26"/>
    <mergeCell ref="E26:H26"/>
    <mergeCell ref="I26:L26"/>
    <mergeCell ref="M26:P26"/>
    <mergeCell ref="Q26:T26"/>
    <mergeCell ref="AS26:AV26"/>
    <mergeCell ref="AW26:AZ26"/>
    <mergeCell ref="B27:D27"/>
    <mergeCell ref="E27:H27"/>
    <mergeCell ref="I27:L27"/>
    <mergeCell ref="M27:P27"/>
    <mergeCell ref="Q27:T27"/>
    <mergeCell ref="U27:X27"/>
    <mergeCell ref="Y27:AB27"/>
    <mergeCell ref="AC27:AF27"/>
    <mergeCell ref="U26:X26"/>
    <mergeCell ref="Y26:AB26"/>
    <mergeCell ref="AC26:AF26"/>
    <mergeCell ref="AG26:AJ26"/>
    <mergeCell ref="AK26:AN26"/>
    <mergeCell ref="AO26:AR26"/>
    <mergeCell ref="AG27:AJ27"/>
    <mergeCell ref="AK27:AN27"/>
    <mergeCell ref="AO27:AR27"/>
    <mergeCell ref="AS27:AV27"/>
    <mergeCell ref="AW27:AZ27"/>
    <mergeCell ref="B28:D28"/>
    <mergeCell ref="E28:H28"/>
    <mergeCell ref="I28:L28"/>
    <mergeCell ref="M28:P28"/>
    <mergeCell ref="Q28:T28"/>
    <mergeCell ref="AS28:AV28"/>
    <mergeCell ref="AW28:AZ28"/>
    <mergeCell ref="B29:D29"/>
    <mergeCell ref="E29:H29"/>
    <mergeCell ref="I29:L29"/>
    <mergeCell ref="M29:P29"/>
    <mergeCell ref="Q29:T29"/>
    <mergeCell ref="U29:X29"/>
    <mergeCell ref="Y29:AB29"/>
    <mergeCell ref="AC29:AF29"/>
    <mergeCell ref="U28:X28"/>
    <mergeCell ref="Y28:AB28"/>
    <mergeCell ref="AC28:AF28"/>
    <mergeCell ref="AG28:AJ28"/>
    <mergeCell ref="AK28:AN28"/>
    <mergeCell ref="AO28:AR28"/>
    <mergeCell ref="AK30:AN30"/>
    <mergeCell ref="AO30:AR30"/>
    <mergeCell ref="AS30:AV30"/>
    <mergeCell ref="AG29:AJ29"/>
    <mergeCell ref="AK29:AN29"/>
    <mergeCell ref="AO29:AR29"/>
    <mergeCell ref="AS29:AV29"/>
    <mergeCell ref="B30:D30"/>
    <mergeCell ref="E30:H30"/>
    <mergeCell ref="I30:L30"/>
    <mergeCell ref="M30:P30"/>
    <mergeCell ref="Q30:T30"/>
    <mergeCell ref="U30:X30"/>
    <mergeCell ref="B31:H31"/>
    <mergeCell ref="I31:L31"/>
    <mergeCell ref="M31:P31"/>
    <mergeCell ref="Q31:T31"/>
    <mergeCell ref="U31:X31"/>
    <mergeCell ref="Y31:AB31"/>
    <mergeCell ref="Y30:AB30"/>
    <mergeCell ref="AC30:AF30"/>
    <mergeCell ref="AG30:AJ30"/>
    <mergeCell ref="AC31:AF31"/>
    <mergeCell ref="AG31:AJ31"/>
    <mergeCell ref="AK31:AN31"/>
    <mergeCell ref="AO31:AR31"/>
    <mergeCell ref="AS31:AV31"/>
    <mergeCell ref="H243:W243"/>
    <mergeCell ref="X243:Z243"/>
    <mergeCell ref="AA243:AH243"/>
    <mergeCell ref="D244:BA244"/>
    <mergeCell ref="A246:BA246"/>
    <mergeCell ref="B242:G242"/>
    <mergeCell ref="H242:W242"/>
    <mergeCell ref="X242:Z242"/>
    <mergeCell ref="AA242:AH242"/>
    <mergeCell ref="AK45:AO46"/>
    <mergeCell ref="B47:F47"/>
    <mergeCell ref="B48:F48"/>
    <mergeCell ref="B49:F49"/>
    <mergeCell ref="B50:F50"/>
    <mergeCell ref="B51:F51"/>
    <mergeCell ref="B52:F52"/>
    <mergeCell ref="B53:F53"/>
    <mergeCell ref="B54:F54"/>
    <mergeCell ref="B55:F55"/>
    <mergeCell ref="B56:F56"/>
    <mergeCell ref="AA47:AE47"/>
    <mergeCell ref="AA54:AE54"/>
    <mergeCell ref="AA56:AE56"/>
    <mergeCell ref="G52:U52"/>
    <mergeCell ref="G53:U53"/>
    <mergeCell ref="G54:U54"/>
    <mergeCell ref="G55:U55"/>
    <mergeCell ref="AA51:AE51"/>
    <mergeCell ref="AA50:AE50"/>
    <mergeCell ref="AF50:AH50"/>
    <mergeCell ref="AI50:AJ50"/>
    <mergeCell ref="AK50:AO50"/>
  </mergeCells>
  <conditionalFormatting sqref="I32:I33 M32:M33 Q32:Q33 U32:U33 Y32:Y33 AC32:AC33 AG32:AG33 AK32:AK33 AO32:AO33 AS32:AS33 AS41 AO41 AK41:AK43 AG41:AG43 AC41:AC43 Y41:Y43 U41:U43 Q41:Q43 M41:M43 I41:I43">
    <cfRule type="cellIs" dxfId="113" priority="38" operator="equal">
      <formula>0</formula>
    </cfRule>
  </conditionalFormatting>
  <conditionalFormatting sqref="I81:I82 M81:M82 Q81:Q82 U81:U82 Y81:Y82 AC81:AC82 AG81:AG82 AK81:AK82">
    <cfRule type="cellIs" dxfId="112" priority="35" operator="equal">
      <formula>0</formula>
    </cfRule>
  </conditionalFormatting>
  <conditionalFormatting sqref="I120:I121 M120:M121 Q120:Q121 U120:U121 Y120:Y121 AC120:AC121 AG120:AG121 AK120:AK121">
    <cfRule type="cellIs" dxfId="111" priority="34" operator="equal">
      <formula>0</formula>
    </cfRule>
  </conditionalFormatting>
  <conditionalFormatting sqref="I159:I160 M159:M160 Q159:Q160 U159:U160 Y159:Y160 AC159:AC160 AG159:AG160 AK159:AK160">
    <cfRule type="cellIs" dxfId="110" priority="33" operator="equal">
      <formula>0</formula>
    </cfRule>
  </conditionalFormatting>
  <conditionalFormatting sqref="I198:I199 M198:M199 Q198:Q199 U198:U199 Y198:Y199 AC198:AC199 AG198:AG199 AK198:AK199">
    <cfRule type="cellIs" dxfId="109" priority="32" operator="equal">
      <formula>0</formula>
    </cfRule>
  </conditionalFormatting>
  <conditionalFormatting sqref="E10:E17 AW10:AW14 Q10:Q17 U10:U17 Y10:Y17 AC10:AC17 AG10:AG17 AK10:AK17 AO10:AO17 AS10:AS17 I10:I17 M10:M17">
    <cfRule type="cellIs" dxfId="108" priority="29" operator="equal">
      <formula>0</formula>
    </cfRule>
  </conditionalFormatting>
  <conditionalFormatting sqref="I31 M31 Q31 U31 Y31 AC31 AG31 AK31 AO31 AS31">
    <cfRule type="cellIs" dxfId="107" priority="28" operator="equal">
      <formula>0</formula>
    </cfRule>
  </conditionalFormatting>
  <conditionalFormatting sqref="E24:E30 AW24:AW28 Q24:Q30 U24:U30 Y24:Y30 AC24:AC30 AG24:AG30 AK24:AK30 AO24:AO30 AS24:AS30 I24:I30 M24:M30">
    <cfRule type="cellIs" dxfId="106" priority="27" operator="equal">
      <formula>0</formula>
    </cfRule>
  </conditionalFormatting>
  <conditionalFormatting sqref="BC10:BL14">
    <cfRule type="expression" dxfId="105" priority="21">
      <formula>$AB$3=1</formula>
    </cfRule>
    <cfRule type="expression" dxfId="104" priority="22">
      <formula>$AB$3=0.001</formula>
    </cfRule>
    <cfRule type="expression" dxfId="103" priority="23">
      <formula>$AB$3=0.01</formula>
    </cfRule>
    <cfRule type="expression" dxfId="102" priority="24">
      <formula>($AB$3=0.1)</formula>
    </cfRule>
  </conditionalFormatting>
  <conditionalFormatting sqref="BP10:BQ14">
    <cfRule type="expression" dxfId="101" priority="9">
      <formula>$AB$3=1</formula>
    </cfRule>
    <cfRule type="expression" dxfId="100" priority="10">
      <formula>$AB$3=0.001</formula>
    </cfRule>
    <cfRule type="expression" dxfId="99" priority="11">
      <formula>$AB$3=0.01</formula>
    </cfRule>
    <cfRule type="expression" dxfId="98" priority="12">
      <formula>($AB$3=0.1)</formula>
    </cfRule>
  </conditionalFormatting>
  <conditionalFormatting sqref="BP24:BQ28">
    <cfRule type="expression" dxfId="97" priority="5">
      <formula>$AB$3=1</formula>
    </cfRule>
    <cfRule type="expression" dxfId="96" priority="6">
      <formula>$AB$3=0.001</formula>
    </cfRule>
    <cfRule type="expression" dxfId="95" priority="7">
      <formula>$AB$3=0.01</formula>
    </cfRule>
    <cfRule type="expression" dxfId="94" priority="8">
      <formula>($AB$3=0.1)</formula>
    </cfRule>
  </conditionalFormatting>
  <conditionalFormatting sqref="BC24:BL28">
    <cfRule type="expression" dxfId="93" priority="1">
      <formula>$AB$3=1</formula>
    </cfRule>
    <cfRule type="expression" dxfId="92" priority="2">
      <formula>$AB$3=0.001</formula>
    </cfRule>
    <cfRule type="expression" dxfId="91" priority="3">
      <formula>$AB$3=0.01</formula>
    </cfRule>
    <cfRule type="expression" dxfId="90" priority="4">
      <formula>($AB$3=0.1)</formula>
    </cfRule>
  </conditionalFormatting>
  <pageMargins left="0.19685039370078741" right="0.19685039370078741" top="0.19685039370078741" bottom="0.19685039370078741" header="0.31496062992125984" footer="0.31496062992125984"/>
  <pageSetup paperSize="9" scale="80" fitToWidth="0" orientation="portrait" r:id="rId1"/>
  <headerFooter>
    <oddFooter>&amp;L&amp;"Times New Roman,Regular"P-WI-09-TEM-003-1 R03 (19/08/68) P&amp;P/&amp;N</oddFooter>
  </headerFooter>
  <ignoredErrors>
    <ignoredError sqref="AK4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locked="0" defaultSize="0" autoFill="0" autoLine="0" autoPict="0">
                <anchor moveWithCells="1">
                  <from>
                    <xdr:col>6</xdr:col>
                    <xdr:colOff>133350</xdr:colOff>
                    <xdr:row>1</xdr:row>
                    <xdr:rowOff>104775</xdr:rowOff>
                  </from>
                  <to>
                    <xdr:col>13</xdr:col>
                    <xdr:colOff>76200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locked="0" defaultSize="0" autoFill="0" autoLine="0" autoPict="0">
                <anchor moveWithCells="1">
                  <from>
                    <xdr:col>13</xdr:col>
                    <xdr:colOff>142875</xdr:colOff>
                    <xdr:row>1</xdr:row>
                    <xdr:rowOff>123825</xdr:rowOff>
                  </from>
                  <to>
                    <xdr:col>15</xdr:col>
                    <xdr:colOff>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BW245"/>
  <sheetViews>
    <sheetView tabSelected="1" zoomScale="106" zoomScaleNormal="106" workbookViewId="0">
      <selection activeCell="B21" sqref="B21:E21"/>
    </sheetView>
  </sheetViews>
  <sheetFormatPr defaultColWidth="9.140625" defaultRowHeight="14.85" customHeight="1"/>
  <cols>
    <col min="1" max="4" width="2.85546875" style="91" customWidth="1"/>
    <col min="5" max="7" width="2.42578125" style="91" customWidth="1"/>
    <col min="8" max="8" width="3.28515625" style="91" customWidth="1"/>
    <col min="9" max="26" width="2.42578125" style="91" customWidth="1"/>
    <col min="27" max="29" width="2.85546875" style="91" customWidth="1"/>
    <col min="30" max="51" width="2.42578125" style="91" customWidth="1"/>
    <col min="52" max="52" width="3.28515625" style="91" customWidth="1"/>
    <col min="53" max="53" width="5.42578125" style="91" customWidth="1"/>
    <col min="54" max="54" width="11" style="96" customWidth="1"/>
    <col min="55" max="64" width="10.28515625" style="96" customWidth="1"/>
    <col min="65" max="65" width="11" style="96" customWidth="1"/>
    <col min="66" max="66" width="1.7109375" style="96" customWidth="1"/>
    <col min="67" max="70" width="11" style="96" customWidth="1"/>
    <col min="71" max="71" width="9.140625" style="97"/>
    <col min="72" max="72" width="16.28515625" style="97" bestFit="1" customWidth="1"/>
    <col min="73" max="16384" width="9.140625" style="97"/>
  </cols>
  <sheetData>
    <row r="1" spans="1:72" ht="14.85" customHeight="1">
      <c r="B1" s="92"/>
      <c r="C1" s="92"/>
      <c r="D1" s="92"/>
      <c r="E1" s="92"/>
      <c r="F1" s="92"/>
      <c r="G1" s="92"/>
      <c r="H1" s="93"/>
      <c r="J1" s="92"/>
      <c r="K1" s="92"/>
      <c r="AS1" s="265" t="s">
        <v>5</v>
      </c>
      <c r="AT1" s="265"/>
      <c r="AU1" s="265"/>
      <c r="AV1" s="275">
        <f>'Cal Ref'!$AV$198:$AW$198</f>
        <v>7</v>
      </c>
      <c r="AW1" s="275"/>
      <c r="AX1" s="94" t="s">
        <v>6</v>
      </c>
      <c r="AY1" s="275">
        <f>Page1!AR1</f>
        <v>1</v>
      </c>
      <c r="AZ1" s="275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5"/>
      <c r="BN1" s="95"/>
      <c r="BO1" s="95"/>
      <c r="BP1" s="95"/>
      <c r="BQ1" s="95"/>
      <c r="BS1" s="96"/>
      <c r="BT1" s="96"/>
    </row>
    <row r="2" spans="1:72" ht="12.75" customHeight="1">
      <c r="AQ2" s="98"/>
      <c r="BB2" s="91"/>
      <c r="BC2" s="91"/>
      <c r="BD2" s="91"/>
      <c r="BE2" s="91"/>
      <c r="BF2" s="91"/>
      <c r="BG2" s="91"/>
      <c r="BH2" s="91"/>
      <c r="BI2" s="91"/>
      <c r="BJ2" s="91"/>
      <c r="BK2" s="91"/>
      <c r="BL2" s="91"/>
      <c r="BM2" s="99"/>
      <c r="BN2" s="99"/>
      <c r="BO2" s="99"/>
      <c r="BP2" s="99"/>
      <c r="BQ2" s="99"/>
      <c r="BS2" s="96"/>
      <c r="BT2" s="96"/>
    </row>
    <row r="3" spans="1:72" ht="12.75" customHeight="1">
      <c r="A3" s="100"/>
      <c r="B3" s="97"/>
      <c r="C3" s="101"/>
      <c r="D3" s="101"/>
      <c r="F3" s="102"/>
      <c r="G3" s="103"/>
      <c r="H3" s="142"/>
      <c r="T3" s="272" t="s">
        <v>337</v>
      </c>
      <c r="U3" s="272"/>
      <c r="V3" s="272"/>
      <c r="W3" s="272"/>
      <c r="X3" s="272"/>
      <c r="Y3" s="272"/>
      <c r="Z3" s="272"/>
      <c r="AA3" s="272"/>
      <c r="AB3" s="514" t="str">
        <f>IF('Cal Ref'!$AB$3="","",'Cal Ref'!$AB$3)</f>
        <v/>
      </c>
      <c r="AC3" s="514"/>
      <c r="AD3" s="514"/>
      <c r="AE3" s="265" t="s">
        <v>90</v>
      </c>
      <c r="AF3" s="265"/>
      <c r="AO3" s="272" t="s">
        <v>7</v>
      </c>
      <c r="AP3" s="272"/>
      <c r="AQ3" s="272"/>
      <c r="AR3" s="272"/>
      <c r="AS3" s="272"/>
      <c r="AT3" s="272"/>
      <c r="AU3" s="272"/>
      <c r="AV3" s="179" t="str">
        <f>IF(Page1!AO6=""," "&amp;Page1!AO4&amp;Page1!AR4&amp;" "&amp;Page1!AT4," "&amp;Page1!AO4&amp;Page1!AR4&amp;" "&amp;"R"&amp;Page1!AO6)</f>
        <v xml:space="preserve"> /69 </v>
      </c>
      <c r="AW3" s="179"/>
      <c r="AX3" s="179"/>
      <c r="AY3" s="179"/>
      <c r="AZ3" s="179"/>
      <c r="BB3" s="91"/>
      <c r="BC3" s="91"/>
      <c r="BD3" s="91"/>
      <c r="BE3" s="91"/>
      <c r="BF3" s="91"/>
      <c r="BG3" s="91"/>
      <c r="BH3" s="91"/>
      <c r="BI3" s="91"/>
      <c r="BJ3" s="91"/>
      <c r="BK3" s="91"/>
      <c r="BL3" s="91"/>
      <c r="BM3" s="99"/>
      <c r="BN3" s="99"/>
      <c r="BO3" s="99"/>
      <c r="BP3" s="99"/>
      <c r="BQ3" s="99"/>
      <c r="BS3" s="96"/>
      <c r="BT3" s="96"/>
    </row>
    <row r="4" spans="1:72" ht="14.85" customHeight="1">
      <c r="A4" s="100"/>
      <c r="AO4" s="272" t="s">
        <v>2</v>
      </c>
      <c r="AP4" s="272"/>
      <c r="AQ4" s="272"/>
      <c r="AR4" s="272"/>
      <c r="AS4" s="272"/>
      <c r="AT4" s="272"/>
      <c r="AU4" s="272"/>
      <c r="AV4" s="279">
        <f>Page1!AO5</f>
        <v>0</v>
      </c>
      <c r="AW4" s="279"/>
      <c r="AX4" s="279"/>
      <c r="AY4" s="279"/>
      <c r="AZ4" s="279"/>
      <c r="BN4" s="99"/>
      <c r="BO4" s="99"/>
      <c r="BP4" s="99"/>
      <c r="BQ4" s="99"/>
      <c r="BS4" s="96"/>
      <c r="BT4" s="96"/>
    </row>
    <row r="5" spans="1:72" ht="14.85" customHeight="1" thickBot="1">
      <c r="A5" s="104"/>
      <c r="B5" s="272" t="s">
        <v>8</v>
      </c>
      <c r="C5" s="272"/>
      <c r="D5" s="272"/>
      <c r="E5" s="272"/>
      <c r="F5" s="272"/>
      <c r="G5" s="272"/>
      <c r="H5" s="272"/>
      <c r="I5" s="272"/>
      <c r="J5" s="276"/>
      <c r="K5" s="276"/>
      <c r="L5" s="276"/>
      <c r="M5" s="265" t="s">
        <v>90</v>
      </c>
      <c r="N5" s="265"/>
      <c r="O5" s="105"/>
      <c r="P5" s="105"/>
      <c r="Q5" s="105"/>
      <c r="R5" s="105"/>
      <c r="S5" s="105"/>
      <c r="U5" s="101"/>
      <c r="V5" s="101"/>
      <c r="W5" s="101"/>
      <c r="X5" s="101"/>
      <c r="Y5" s="101"/>
      <c r="Z5" s="101"/>
      <c r="AA5" s="97"/>
      <c r="AB5" s="97"/>
      <c r="AC5" s="97"/>
      <c r="AD5" s="97"/>
      <c r="AE5" s="97"/>
      <c r="AF5" s="97"/>
      <c r="AG5" s="97"/>
      <c r="AH5" s="97"/>
      <c r="AI5" s="97"/>
      <c r="AJ5" s="97"/>
      <c r="AK5" s="97"/>
      <c r="AL5" s="97"/>
      <c r="AM5" s="97"/>
      <c r="AN5" s="97"/>
      <c r="AO5" s="97"/>
      <c r="AP5" s="97"/>
      <c r="AQ5" s="97"/>
      <c r="AR5" s="97"/>
      <c r="AS5" s="97"/>
      <c r="AT5" s="97"/>
      <c r="AU5" s="97"/>
      <c r="AV5" s="97"/>
      <c r="AW5" s="97"/>
      <c r="AX5" s="97"/>
      <c r="AY5" s="97"/>
      <c r="AZ5" s="97"/>
      <c r="BA5" s="97"/>
    </row>
    <row r="6" spans="1:72" ht="11.25" customHeight="1" thickTop="1" thickBot="1">
      <c r="A6" s="106"/>
      <c r="B6" s="266" t="s">
        <v>9</v>
      </c>
      <c r="C6" s="267"/>
      <c r="D6" s="268"/>
      <c r="E6" s="269" t="s">
        <v>35</v>
      </c>
      <c r="F6" s="270"/>
      <c r="G6" s="270"/>
      <c r="H6" s="270"/>
      <c r="I6" s="270"/>
      <c r="J6" s="270"/>
      <c r="K6" s="270"/>
      <c r="L6" s="270"/>
      <c r="M6" s="270"/>
      <c r="N6" s="270"/>
      <c r="O6" s="270"/>
      <c r="P6" s="270"/>
      <c r="Q6" s="270"/>
      <c r="R6" s="270"/>
      <c r="S6" s="270"/>
      <c r="T6" s="270"/>
      <c r="U6" s="270"/>
      <c r="V6" s="270"/>
      <c r="W6" s="270"/>
      <c r="X6" s="270"/>
      <c r="Y6" s="270"/>
      <c r="Z6" s="270"/>
      <c r="AA6" s="270"/>
      <c r="AB6" s="270"/>
      <c r="AC6" s="270"/>
      <c r="AD6" s="270"/>
      <c r="AE6" s="270"/>
      <c r="AF6" s="270"/>
      <c r="AG6" s="270"/>
      <c r="AH6" s="270"/>
      <c r="AI6" s="270"/>
      <c r="AJ6" s="270"/>
      <c r="AK6" s="270"/>
      <c r="AL6" s="270"/>
      <c r="AM6" s="270"/>
      <c r="AN6" s="270"/>
      <c r="AO6" s="270"/>
      <c r="AP6" s="270"/>
      <c r="AQ6" s="270"/>
      <c r="AR6" s="270"/>
      <c r="AS6" s="270"/>
      <c r="AT6" s="270"/>
      <c r="AU6" s="270"/>
      <c r="AV6" s="270"/>
      <c r="AW6" s="270"/>
      <c r="AX6" s="270"/>
      <c r="AY6" s="270"/>
      <c r="AZ6" s="270"/>
      <c r="BA6" s="280" t="s">
        <v>339</v>
      </c>
      <c r="BB6" s="283" t="b">
        <f>'Cal Ref'!BB6:BB8</f>
        <v>0</v>
      </c>
      <c r="BC6" s="233" t="s">
        <v>340</v>
      </c>
      <c r="BD6" s="233"/>
      <c r="BE6" s="233"/>
      <c r="BF6" s="233"/>
      <c r="BG6" s="233"/>
      <c r="BH6" s="233"/>
      <c r="BI6" s="233"/>
      <c r="BJ6" s="233"/>
      <c r="BK6" s="233"/>
      <c r="BL6" s="233"/>
      <c r="BM6" s="234"/>
      <c r="BN6" s="97"/>
      <c r="BO6" s="286" t="b">
        <f>'Cal Ref'!BO6:BO8</f>
        <v>0</v>
      </c>
      <c r="BP6" s="233" t="s">
        <v>341</v>
      </c>
      <c r="BQ6" s="233"/>
      <c r="BR6" s="234"/>
    </row>
    <row r="7" spans="1:72" ht="11.25" customHeight="1" thickTop="1">
      <c r="A7" s="106"/>
      <c r="B7" s="242" t="s">
        <v>6</v>
      </c>
      <c r="C7" s="243"/>
      <c r="D7" s="244"/>
      <c r="E7" s="245" t="s">
        <v>342</v>
      </c>
      <c r="F7" s="246"/>
      <c r="G7" s="246"/>
      <c r="H7" s="246"/>
      <c r="I7" s="229" t="str">
        <f>IF($BB$6=TRUE,IF($BO$6=TRUE,"","P1"),IF($BO$6=TRUE,"CH1","P1"))</f>
        <v>P1</v>
      </c>
      <c r="J7" s="230"/>
      <c r="K7" s="230"/>
      <c r="L7" s="230"/>
      <c r="M7" s="229" t="str">
        <f>IF($BB$6=TRUE,IF($BO$6=TRUE,"","P2"),IF($BO$6=TRUE,"CH1","P2"))</f>
        <v>P2</v>
      </c>
      <c r="N7" s="230"/>
      <c r="O7" s="230"/>
      <c r="P7" s="230"/>
      <c r="Q7" s="229" t="str">
        <f>IF($BB$6=TRUE,IF($BO$6=TRUE,"","P3"),IF($BO$6=TRUE,"","P3"))</f>
        <v>P3</v>
      </c>
      <c r="R7" s="230"/>
      <c r="S7" s="230"/>
      <c r="T7" s="230"/>
      <c r="U7" s="229" t="str">
        <f>IF($BB$6=TRUE,IF($BO$6=TRUE,"","P4"),IF($BO$6=TRUE,"","P4"))</f>
        <v>P4</v>
      </c>
      <c r="V7" s="230"/>
      <c r="W7" s="230"/>
      <c r="X7" s="230"/>
      <c r="Y7" s="229" t="str">
        <f>IF($BB$6=TRUE,IF($BO$6=TRUE,"","P5"),IF($BO$6=TRUE,"","P5"))</f>
        <v>P5</v>
      </c>
      <c r="Z7" s="230"/>
      <c r="AA7" s="230"/>
      <c r="AB7" s="230"/>
      <c r="AC7" s="229" t="str">
        <f>IF($BB$6=TRUE,IF($BO$6=TRUE,"","P6"),IF($BO$6=TRUE,"","P6"))</f>
        <v>P6</v>
      </c>
      <c r="AD7" s="230"/>
      <c r="AE7" s="230"/>
      <c r="AF7" s="230"/>
      <c r="AG7" s="229" t="str">
        <f>IF($BB$6=TRUE,IF($BO$6=TRUE,"","P7"),IF($BO$6=TRUE,"","P7"))</f>
        <v>P7</v>
      </c>
      <c r="AH7" s="230"/>
      <c r="AI7" s="230"/>
      <c r="AJ7" s="230"/>
      <c r="AK7" s="229" t="str">
        <f>IF($BB$6=TRUE,IF($BO$6=TRUE,"","P8"),IF($BO$6=TRUE,"","P8"))</f>
        <v>P8</v>
      </c>
      <c r="AL7" s="230"/>
      <c r="AM7" s="230"/>
      <c r="AN7" s="230"/>
      <c r="AO7" s="229" t="str">
        <f>IF($BB$6=TRUE,IF($BO$6=TRUE,"","P9"),IF($BO$6=TRUE,"","P9"))</f>
        <v>P9</v>
      </c>
      <c r="AP7" s="230"/>
      <c r="AQ7" s="230"/>
      <c r="AR7" s="230"/>
      <c r="AS7" s="229" t="str">
        <f>IF($BB$6=TRUE,IF($BO$6=TRUE,"","P10"),IF($BO$6=TRUE,"","P10"))</f>
        <v>P10</v>
      </c>
      <c r="AT7" s="230"/>
      <c r="AU7" s="230"/>
      <c r="AV7" s="230"/>
      <c r="AW7" s="245" t="s">
        <v>342</v>
      </c>
      <c r="AX7" s="246"/>
      <c r="AY7" s="246"/>
      <c r="AZ7" s="246"/>
      <c r="BA7" s="281"/>
      <c r="BB7" s="284"/>
      <c r="BC7" s="235"/>
      <c r="BD7" s="235"/>
      <c r="BE7" s="235"/>
      <c r="BF7" s="235"/>
      <c r="BG7" s="235"/>
      <c r="BH7" s="235"/>
      <c r="BI7" s="235"/>
      <c r="BJ7" s="235"/>
      <c r="BK7" s="235"/>
      <c r="BL7" s="235"/>
      <c r="BM7" s="236"/>
      <c r="BN7" s="97"/>
      <c r="BO7" s="287"/>
      <c r="BP7" s="235"/>
      <c r="BQ7" s="235"/>
      <c r="BR7" s="236"/>
    </row>
    <row r="8" spans="1:72" ht="11.25" customHeight="1" thickBot="1">
      <c r="A8" s="107"/>
      <c r="B8" s="251" t="s">
        <v>0</v>
      </c>
      <c r="C8" s="252"/>
      <c r="D8" s="253"/>
      <c r="E8" s="247"/>
      <c r="F8" s="248"/>
      <c r="G8" s="248"/>
      <c r="H8" s="248"/>
      <c r="I8" s="231"/>
      <c r="J8" s="232"/>
      <c r="K8" s="232"/>
      <c r="L8" s="232"/>
      <c r="M8" s="231"/>
      <c r="N8" s="232"/>
      <c r="O8" s="232"/>
      <c r="P8" s="232"/>
      <c r="Q8" s="231"/>
      <c r="R8" s="232"/>
      <c r="S8" s="232"/>
      <c r="T8" s="232"/>
      <c r="U8" s="231"/>
      <c r="V8" s="232"/>
      <c r="W8" s="232"/>
      <c r="X8" s="232"/>
      <c r="Y8" s="231"/>
      <c r="Z8" s="232"/>
      <c r="AA8" s="232"/>
      <c r="AB8" s="232"/>
      <c r="AC8" s="231"/>
      <c r="AD8" s="232"/>
      <c r="AE8" s="232"/>
      <c r="AF8" s="232"/>
      <c r="AG8" s="231"/>
      <c r="AH8" s="232"/>
      <c r="AI8" s="232"/>
      <c r="AJ8" s="232"/>
      <c r="AK8" s="231"/>
      <c r="AL8" s="232"/>
      <c r="AM8" s="232"/>
      <c r="AN8" s="232"/>
      <c r="AO8" s="231"/>
      <c r="AP8" s="232"/>
      <c r="AQ8" s="232"/>
      <c r="AR8" s="232"/>
      <c r="AS8" s="231"/>
      <c r="AT8" s="232"/>
      <c r="AU8" s="232"/>
      <c r="AV8" s="232"/>
      <c r="AW8" s="247"/>
      <c r="AX8" s="248"/>
      <c r="AY8" s="248"/>
      <c r="AZ8" s="248"/>
      <c r="BA8" s="281"/>
      <c r="BB8" s="285"/>
      <c r="BC8" s="237"/>
      <c r="BD8" s="237"/>
      <c r="BE8" s="237"/>
      <c r="BF8" s="237"/>
      <c r="BG8" s="237"/>
      <c r="BH8" s="237"/>
      <c r="BI8" s="237"/>
      <c r="BJ8" s="237"/>
      <c r="BK8" s="237"/>
      <c r="BL8" s="237"/>
      <c r="BM8" s="238"/>
      <c r="BN8" s="97"/>
      <c r="BO8" s="288"/>
      <c r="BP8" s="237"/>
      <c r="BQ8" s="237"/>
      <c r="BR8" s="238"/>
    </row>
    <row r="9" spans="1:72" ht="14.85" customHeight="1" thickTop="1" thickBot="1">
      <c r="A9" s="107"/>
      <c r="B9" s="254" t="s">
        <v>11</v>
      </c>
      <c r="C9" s="255"/>
      <c r="D9" s="256"/>
      <c r="E9" s="257" t="s">
        <v>91</v>
      </c>
      <c r="F9" s="258"/>
      <c r="G9" s="258"/>
      <c r="H9" s="259"/>
      <c r="I9" s="257" t="s">
        <v>91</v>
      </c>
      <c r="J9" s="258"/>
      <c r="K9" s="258"/>
      <c r="L9" s="259"/>
      <c r="M9" s="257" t="s">
        <v>91</v>
      </c>
      <c r="N9" s="258"/>
      <c r="O9" s="258"/>
      <c r="P9" s="259"/>
      <c r="Q9" s="257" t="s">
        <v>91</v>
      </c>
      <c r="R9" s="258"/>
      <c r="S9" s="258"/>
      <c r="T9" s="259"/>
      <c r="U9" s="257" t="s">
        <v>91</v>
      </c>
      <c r="V9" s="258"/>
      <c r="W9" s="258"/>
      <c r="X9" s="259"/>
      <c r="Y9" s="257" t="s">
        <v>91</v>
      </c>
      <c r="Z9" s="258"/>
      <c r="AA9" s="258"/>
      <c r="AB9" s="259"/>
      <c r="AC9" s="257" t="s">
        <v>91</v>
      </c>
      <c r="AD9" s="258"/>
      <c r="AE9" s="258"/>
      <c r="AF9" s="259"/>
      <c r="AG9" s="257" t="s">
        <v>91</v>
      </c>
      <c r="AH9" s="258"/>
      <c r="AI9" s="258"/>
      <c r="AJ9" s="259"/>
      <c r="AK9" s="257" t="s">
        <v>91</v>
      </c>
      <c r="AL9" s="258"/>
      <c r="AM9" s="258"/>
      <c r="AN9" s="259"/>
      <c r="AO9" s="257" t="s">
        <v>91</v>
      </c>
      <c r="AP9" s="258"/>
      <c r="AQ9" s="258"/>
      <c r="AR9" s="259"/>
      <c r="AS9" s="257" t="s">
        <v>91</v>
      </c>
      <c r="AT9" s="258"/>
      <c r="AU9" s="258"/>
      <c r="AV9" s="259"/>
      <c r="AW9" s="257" t="s">
        <v>91</v>
      </c>
      <c r="AX9" s="258"/>
      <c r="AY9" s="258"/>
      <c r="AZ9" s="258"/>
      <c r="BA9" s="281"/>
      <c r="BB9" s="158" t="s">
        <v>342</v>
      </c>
      <c r="BC9" s="158" t="s">
        <v>180</v>
      </c>
      <c r="BD9" s="158" t="s">
        <v>181</v>
      </c>
      <c r="BE9" s="158" t="s">
        <v>182</v>
      </c>
      <c r="BF9" s="158" t="s">
        <v>183</v>
      </c>
      <c r="BG9" s="158" t="s">
        <v>184</v>
      </c>
      <c r="BH9" s="158" t="s">
        <v>185</v>
      </c>
      <c r="BI9" s="158" t="s">
        <v>186</v>
      </c>
      <c r="BJ9" s="158" t="s">
        <v>187</v>
      </c>
      <c r="BK9" s="158" t="s">
        <v>188</v>
      </c>
      <c r="BL9" s="158" t="s">
        <v>189</v>
      </c>
      <c r="BM9" s="158" t="s">
        <v>342</v>
      </c>
      <c r="BN9" s="159"/>
      <c r="BO9" s="158" t="s">
        <v>342</v>
      </c>
      <c r="BP9" s="158" t="s">
        <v>10</v>
      </c>
      <c r="BQ9" s="158" t="s">
        <v>10</v>
      </c>
      <c r="BR9" s="158" t="s">
        <v>342</v>
      </c>
    </row>
    <row r="10" spans="1:72" ht="14.1" customHeight="1" thickTop="1">
      <c r="A10" s="108"/>
      <c r="B10" s="260" t="s">
        <v>92</v>
      </c>
      <c r="C10" s="261"/>
      <c r="D10" s="262"/>
      <c r="E10" s="225" t="str">
        <f>IF($BB$6=TRUE,IF($BO$6=TRUE,"",BB10),IF($BO$6=TRUE,BO10,""))</f>
        <v/>
      </c>
      <c r="F10" s="225"/>
      <c r="G10" s="225"/>
      <c r="H10" s="225"/>
      <c r="I10" s="224" t="str">
        <f>IF($BB$6=TRUE,IF($BO$6=TRUE,"",BC10),IF($BO$6=TRUE,BP10,""))</f>
        <v/>
      </c>
      <c r="J10" s="224"/>
      <c r="K10" s="224"/>
      <c r="L10" s="224"/>
      <c r="M10" s="224" t="str">
        <f>IF($BB$6=TRUE,IF($BO$6=TRUE,"",BD10),IF($BO$6=TRUE,BQ10,""))</f>
        <v/>
      </c>
      <c r="N10" s="224"/>
      <c r="O10" s="224"/>
      <c r="P10" s="224"/>
      <c r="Q10" s="224" t="str">
        <f>IF($BB$6=TRUE,IF($BO$6=TRUE,"",BE10),IF($BO$6=TRUE,"",""))</f>
        <v/>
      </c>
      <c r="R10" s="224"/>
      <c r="S10" s="224"/>
      <c r="T10" s="224"/>
      <c r="U10" s="224" t="str">
        <f>IF($BB$6=TRUE,IF($BO$6=TRUE,"",BF10),IF($BO$6=TRUE,"",""))</f>
        <v/>
      </c>
      <c r="V10" s="224"/>
      <c r="W10" s="224"/>
      <c r="X10" s="224"/>
      <c r="Y10" s="224" t="str">
        <f>IF($BB$6=TRUE,IF($BO$6=TRUE,"",BG10),IF($BO$6=TRUE,"",""))</f>
        <v/>
      </c>
      <c r="Z10" s="224"/>
      <c r="AA10" s="224"/>
      <c r="AB10" s="224"/>
      <c r="AC10" s="224" t="str">
        <f>IF($BB$6=TRUE,IF($BO$6=TRUE,"",BH10),IF($BO$6=TRUE,"",""))</f>
        <v/>
      </c>
      <c r="AD10" s="224"/>
      <c r="AE10" s="224"/>
      <c r="AF10" s="224"/>
      <c r="AG10" s="224" t="str">
        <f>IF($BB$6=TRUE,IF($BO$6=TRUE,"",BI10),IF($BO$6=TRUE,"",""))</f>
        <v/>
      </c>
      <c r="AH10" s="224"/>
      <c r="AI10" s="224"/>
      <c r="AJ10" s="224"/>
      <c r="AK10" s="224" t="str">
        <f>IF($BB$6=TRUE,IF($BO$6=TRUE,"",BJ10),IF($BO$6=TRUE,"",""))</f>
        <v/>
      </c>
      <c r="AL10" s="224"/>
      <c r="AM10" s="224"/>
      <c r="AN10" s="224"/>
      <c r="AO10" s="224" t="str">
        <f>IF($BB$6=TRUE,IF($BO$6=TRUE,"",BK10),IF($BO$6=TRUE,"",""))</f>
        <v/>
      </c>
      <c r="AP10" s="224"/>
      <c r="AQ10" s="224"/>
      <c r="AR10" s="224"/>
      <c r="AS10" s="224" t="str">
        <f>IF($BB$6=TRUE,IF($BO$6=TRUE,"",BL10),IF($BO$6=TRUE,"",""))</f>
        <v/>
      </c>
      <c r="AT10" s="224"/>
      <c r="AU10" s="224"/>
      <c r="AV10" s="224"/>
      <c r="AW10" s="225" t="str">
        <f>IF($BB$6=TRUE,IF($BO$6=TRUE,"",BM10),IF($BO$6=TRUE,BR10,""))</f>
        <v/>
      </c>
      <c r="AX10" s="225"/>
      <c r="AY10" s="225"/>
      <c r="AZ10" s="277"/>
      <c r="BA10" s="281"/>
      <c r="BB10" s="174"/>
      <c r="BC10" s="175"/>
      <c r="BD10" s="175"/>
      <c r="BE10" s="175"/>
      <c r="BF10" s="175"/>
      <c r="BG10" s="175"/>
      <c r="BH10" s="175"/>
      <c r="BI10" s="175"/>
      <c r="BJ10" s="175"/>
      <c r="BK10" s="175"/>
      <c r="BL10" s="175"/>
      <c r="BM10" s="174"/>
      <c r="BN10" s="168"/>
      <c r="BO10" s="174"/>
      <c r="BP10" s="175"/>
      <c r="BQ10" s="175"/>
      <c r="BR10" s="174"/>
    </row>
    <row r="11" spans="1:72" ht="14.1" customHeight="1">
      <c r="A11" s="108"/>
      <c r="B11" s="216" t="s">
        <v>93</v>
      </c>
      <c r="C11" s="217"/>
      <c r="D11" s="218"/>
      <c r="E11" s="219" t="str">
        <f t="shared" ref="E11:E13" si="0">IF($BB$6=TRUE,IF($BO$6=TRUE,"",BB11),IF($BO$6=TRUE,BO11,""))</f>
        <v/>
      </c>
      <c r="F11" s="219"/>
      <c r="G11" s="219"/>
      <c r="H11" s="219"/>
      <c r="I11" s="220" t="str">
        <f t="shared" ref="I11:I14" si="1">IF($BB$6=TRUE,IF($BO$6=TRUE,"",BC11),IF($BO$6=TRUE,BP11,""))</f>
        <v/>
      </c>
      <c r="J11" s="220"/>
      <c r="K11" s="220"/>
      <c r="L11" s="220"/>
      <c r="M11" s="220" t="str">
        <f>IF($BB$6=TRUE,IF($BO$6=TRUE,"",BD11),IF($BO$6=TRUE,BQ11,""))</f>
        <v/>
      </c>
      <c r="N11" s="220"/>
      <c r="O11" s="220"/>
      <c r="P11" s="220"/>
      <c r="Q11" s="220" t="str">
        <f>IF($BB$6=TRUE,IF($BO$6=TRUE,"",BE11),IF($BO$6=TRUE,"",""))</f>
        <v/>
      </c>
      <c r="R11" s="220"/>
      <c r="S11" s="220"/>
      <c r="T11" s="220"/>
      <c r="U11" s="220" t="str">
        <f>IF($BB$6=TRUE,IF($BO$6=TRUE,"",BF11),IF($BO$6=TRUE,"",""))</f>
        <v/>
      </c>
      <c r="V11" s="220"/>
      <c r="W11" s="220"/>
      <c r="X11" s="220"/>
      <c r="Y11" s="220" t="str">
        <f>IF($BB$6=TRUE,IF($BO$6=TRUE,"",BG11),IF($BO$6=TRUE,"",""))</f>
        <v/>
      </c>
      <c r="Z11" s="220"/>
      <c r="AA11" s="220"/>
      <c r="AB11" s="220"/>
      <c r="AC11" s="220" t="str">
        <f>IF($BB$6=TRUE,IF($BO$6=TRUE,"",BH11),IF($BO$6=TRUE,"",""))</f>
        <v/>
      </c>
      <c r="AD11" s="220"/>
      <c r="AE11" s="220"/>
      <c r="AF11" s="220"/>
      <c r="AG11" s="220" t="str">
        <f>IF($BB$6=TRUE,IF($BO$6=TRUE,"",BI11),IF($BO$6=TRUE,"",""))</f>
        <v/>
      </c>
      <c r="AH11" s="220"/>
      <c r="AI11" s="220"/>
      <c r="AJ11" s="220"/>
      <c r="AK11" s="220" t="str">
        <f>IF($BB$6=TRUE,IF($BO$6=TRUE,"",BJ11),IF($BO$6=TRUE,"",""))</f>
        <v/>
      </c>
      <c r="AL11" s="220"/>
      <c r="AM11" s="220"/>
      <c r="AN11" s="220"/>
      <c r="AO11" s="220" t="str">
        <f>IF($BB$6=TRUE,IF($BO$6=TRUE,"",BK11),IF($BO$6=TRUE,"",""))</f>
        <v/>
      </c>
      <c r="AP11" s="220"/>
      <c r="AQ11" s="220"/>
      <c r="AR11" s="220"/>
      <c r="AS11" s="220" t="str">
        <f>IF($BB$6=TRUE,IF($BO$6=TRUE,"",BL11),IF($BO$6=TRUE,"",""))</f>
        <v/>
      </c>
      <c r="AT11" s="220"/>
      <c r="AU11" s="220"/>
      <c r="AV11" s="220"/>
      <c r="AW11" s="221" t="str">
        <f>IF($BB$6=TRUE,IF($BO$6=TRUE,"",BM11),IF($BO$6=TRUE,BR11,""))</f>
        <v/>
      </c>
      <c r="AX11" s="222"/>
      <c r="AY11" s="222"/>
      <c r="AZ11" s="222"/>
      <c r="BA11" s="281"/>
      <c r="BB11" s="174"/>
      <c r="BC11" s="175"/>
      <c r="BD11" s="175"/>
      <c r="BE11" s="175"/>
      <c r="BF11" s="175"/>
      <c r="BG11" s="175"/>
      <c r="BH11" s="175"/>
      <c r="BI11" s="175"/>
      <c r="BJ11" s="175"/>
      <c r="BK11" s="175"/>
      <c r="BL11" s="175"/>
      <c r="BM11" s="174"/>
      <c r="BN11" s="168"/>
      <c r="BO11" s="174"/>
      <c r="BP11" s="175"/>
      <c r="BQ11" s="175"/>
      <c r="BR11" s="174"/>
    </row>
    <row r="12" spans="1:72" ht="14.1" customHeight="1">
      <c r="A12" s="108"/>
      <c r="B12" s="216" t="s">
        <v>94</v>
      </c>
      <c r="C12" s="217"/>
      <c r="D12" s="218"/>
      <c r="E12" s="219" t="str">
        <f t="shared" si="0"/>
        <v/>
      </c>
      <c r="F12" s="219"/>
      <c r="G12" s="219"/>
      <c r="H12" s="219"/>
      <c r="I12" s="220" t="str">
        <f t="shared" si="1"/>
        <v/>
      </c>
      <c r="J12" s="220"/>
      <c r="K12" s="220"/>
      <c r="L12" s="220"/>
      <c r="M12" s="220" t="str">
        <f>IF($BB$6=TRUE,IF($BO$6=TRUE,"",BD12),IF($BO$6=TRUE,BQ12,""))</f>
        <v/>
      </c>
      <c r="N12" s="220"/>
      <c r="O12" s="220"/>
      <c r="P12" s="220"/>
      <c r="Q12" s="220" t="str">
        <f>IF($BB$6=TRUE,IF($BO$6=TRUE,"",BE12),IF($BO$6=TRUE,"",""))</f>
        <v/>
      </c>
      <c r="R12" s="220"/>
      <c r="S12" s="220"/>
      <c r="T12" s="220"/>
      <c r="U12" s="220" t="str">
        <f>IF($BB$6=TRUE,IF($BO$6=TRUE,"",BF12),IF($BO$6=TRUE,"",""))</f>
        <v/>
      </c>
      <c r="V12" s="220"/>
      <c r="W12" s="220"/>
      <c r="X12" s="220"/>
      <c r="Y12" s="220" t="str">
        <f>IF($BB$6=TRUE,IF($BO$6=TRUE,"",BG12),IF($BO$6=TRUE,"",""))</f>
        <v/>
      </c>
      <c r="Z12" s="220"/>
      <c r="AA12" s="220"/>
      <c r="AB12" s="220"/>
      <c r="AC12" s="220" t="str">
        <f>IF($BB$6=TRUE,IF($BO$6=TRUE,"",BH12),IF($BO$6=TRUE,"",""))</f>
        <v/>
      </c>
      <c r="AD12" s="220"/>
      <c r="AE12" s="220"/>
      <c r="AF12" s="220"/>
      <c r="AG12" s="220" t="str">
        <f>IF($BB$6=TRUE,IF($BO$6=TRUE,"",BI12),IF($BO$6=TRUE,"",""))</f>
        <v/>
      </c>
      <c r="AH12" s="220"/>
      <c r="AI12" s="220"/>
      <c r="AJ12" s="220"/>
      <c r="AK12" s="220" t="str">
        <f>IF($BB$6=TRUE,IF($BO$6=TRUE,"",BJ12),IF($BO$6=TRUE,"",""))</f>
        <v/>
      </c>
      <c r="AL12" s="220"/>
      <c r="AM12" s="220"/>
      <c r="AN12" s="220"/>
      <c r="AO12" s="220" t="str">
        <f>IF($BB$6=TRUE,IF($BO$6=TRUE,"",BK12),IF($BO$6=TRUE,"",""))</f>
        <v/>
      </c>
      <c r="AP12" s="220"/>
      <c r="AQ12" s="220"/>
      <c r="AR12" s="220"/>
      <c r="AS12" s="220" t="str">
        <f>IF($BB$6=TRUE,IF($BO$6=TRUE,"",BL12),IF($BO$6=TRUE,"",""))</f>
        <v/>
      </c>
      <c r="AT12" s="220"/>
      <c r="AU12" s="220"/>
      <c r="AV12" s="220"/>
      <c r="AW12" s="221" t="str">
        <f t="shared" ref="AW12:AW14" si="2">IF($BB$6=TRUE,IF($BO$6=TRUE,"",BM12),IF($BO$6=TRUE,BR12,""))</f>
        <v/>
      </c>
      <c r="AX12" s="222"/>
      <c r="AY12" s="222"/>
      <c r="AZ12" s="222"/>
      <c r="BA12" s="281"/>
      <c r="BB12" s="174"/>
      <c r="BC12" s="175"/>
      <c r="BD12" s="175"/>
      <c r="BE12" s="175"/>
      <c r="BF12" s="175"/>
      <c r="BG12" s="175"/>
      <c r="BH12" s="175"/>
      <c r="BI12" s="175"/>
      <c r="BJ12" s="175"/>
      <c r="BK12" s="175"/>
      <c r="BL12" s="175"/>
      <c r="BM12" s="174"/>
      <c r="BN12" s="168"/>
      <c r="BO12" s="174"/>
      <c r="BP12" s="175"/>
      <c r="BQ12" s="175"/>
      <c r="BR12" s="174"/>
    </row>
    <row r="13" spans="1:72" ht="14.1" customHeight="1">
      <c r="A13" s="108"/>
      <c r="B13" s="216" t="s">
        <v>95</v>
      </c>
      <c r="C13" s="217"/>
      <c r="D13" s="218"/>
      <c r="E13" s="219" t="str">
        <f t="shared" si="0"/>
        <v/>
      </c>
      <c r="F13" s="219"/>
      <c r="G13" s="219"/>
      <c r="H13" s="219"/>
      <c r="I13" s="220" t="str">
        <f t="shared" si="1"/>
        <v/>
      </c>
      <c r="J13" s="220"/>
      <c r="K13" s="220"/>
      <c r="L13" s="220"/>
      <c r="M13" s="220" t="str">
        <f>IF($BB$6=TRUE,IF($BO$6=TRUE,"",BD13),IF($BO$6=TRUE,BQ13,""))</f>
        <v/>
      </c>
      <c r="N13" s="220"/>
      <c r="O13" s="220"/>
      <c r="P13" s="220"/>
      <c r="Q13" s="220" t="str">
        <f>IF($BB$6=TRUE,IF($BO$6=TRUE,"",BE13),IF($BO$6=TRUE,"",""))</f>
        <v/>
      </c>
      <c r="R13" s="220"/>
      <c r="S13" s="220"/>
      <c r="T13" s="220"/>
      <c r="U13" s="220" t="str">
        <f>IF($BB$6=TRUE,IF($BO$6=TRUE,"",BF13),IF($BO$6=TRUE,"",""))</f>
        <v/>
      </c>
      <c r="V13" s="220"/>
      <c r="W13" s="220"/>
      <c r="X13" s="220"/>
      <c r="Y13" s="220" t="str">
        <f>IF($BB$6=TRUE,IF($BO$6=TRUE,"",BG13),IF($BO$6=TRUE,"",""))</f>
        <v/>
      </c>
      <c r="Z13" s="220"/>
      <c r="AA13" s="220"/>
      <c r="AB13" s="220"/>
      <c r="AC13" s="220" t="str">
        <f>IF($BB$6=TRUE,IF($BO$6=TRUE,"",BH13),IF($BO$6=TRUE,"",""))</f>
        <v/>
      </c>
      <c r="AD13" s="220"/>
      <c r="AE13" s="220"/>
      <c r="AF13" s="220"/>
      <c r="AG13" s="220" t="str">
        <f>IF($BB$6=TRUE,IF($BO$6=TRUE,"",BI13),IF($BO$6=TRUE,"",""))</f>
        <v/>
      </c>
      <c r="AH13" s="220"/>
      <c r="AI13" s="220"/>
      <c r="AJ13" s="220"/>
      <c r="AK13" s="220" t="str">
        <f>IF($BB$6=TRUE,IF($BO$6=TRUE,"",BJ13),IF($BO$6=TRUE,"",""))</f>
        <v/>
      </c>
      <c r="AL13" s="220"/>
      <c r="AM13" s="220"/>
      <c r="AN13" s="220"/>
      <c r="AO13" s="220" t="str">
        <f>IF($BB$6=TRUE,IF($BO$6=TRUE,"",BK13),IF($BO$6=TRUE,"",""))</f>
        <v/>
      </c>
      <c r="AP13" s="220"/>
      <c r="AQ13" s="220"/>
      <c r="AR13" s="220"/>
      <c r="AS13" s="220" t="str">
        <f>IF($BB$6=TRUE,IF($BO$6=TRUE,"",BL13),IF($BO$6=TRUE,"",""))</f>
        <v/>
      </c>
      <c r="AT13" s="220"/>
      <c r="AU13" s="220"/>
      <c r="AV13" s="220"/>
      <c r="AW13" s="221" t="str">
        <f t="shared" si="2"/>
        <v/>
      </c>
      <c r="AX13" s="222"/>
      <c r="AY13" s="222"/>
      <c r="AZ13" s="222"/>
      <c r="BA13" s="281"/>
      <c r="BB13" s="174"/>
      <c r="BC13" s="175"/>
      <c r="BD13" s="175"/>
      <c r="BE13" s="175"/>
      <c r="BF13" s="175"/>
      <c r="BG13" s="175"/>
      <c r="BH13" s="175"/>
      <c r="BI13" s="175"/>
      <c r="BJ13" s="175"/>
      <c r="BK13" s="175"/>
      <c r="BL13" s="175"/>
      <c r="BM13" s="174"/>
      <c r="BN13" s="168"/>
      <c r="BO13" s="174"/>
      <c r="BP13" s="175"/>
      <c r="BQ13" s="175"/>
      <c r="BR13" s="174"/>
    </row>
    <row r="14" spans="1:72" ht="14.1" customHeight="1" thickBot="1">
      <c r="A14" s="108"/>
      <c r="B14" s="206" t="s">
        <v>96</v>
      </c>
      <c r="C14" s="207"/>
      <c r="D14" s="208"/>
      <c r="E14" s="209" t="str">
        <f>IF($BB$6=TRUE,IF($BO$6=TRUE,"",BB14),IF($BO$6=TRUE,BO14,""))</f>
        <v/>
      </c>
      <c r="F14" s="209"/>
      <c r="G14" s="209"/>
      <c r="H14" s="209"/>
      <c r="I14" s="210" t="str">
        <f t="shared" si="1"/>
        <v/>
      </c>
      <c r="J14" s="210"/>
      <c r="K14" s="210"/>
      <c r="L14" s="210"/>
      <c r="M14" s="210" t="str">
        <f>IF($BB$6=TRUE,IF($BO$6=TRUE,"",BD14),IF($BO$6=TRUE,BQ14,""))</f>
        <v/>
      </c>
      <c r="N14" s="210"/>
      <c r="O14" s="210"/>
      <c r="P14" s="210"/>
      <c r="Q14" s="210" t="str">
        <f>IF($BB$6=TRUE,IF($BO$6=TRUE,"",BE14),IF($BO$6=TRUE,"",""))</f>
        <v/>
      </c>
      <c r="R14" s="210"/>
      <c r="S14" s="210"/>
      <c r="T14" s="210"/>
      <c r="U14" s="210" t="str">
        <f>IF($BB$6=TRUE,IF($BO$6=TRUE,"",BF14),IF($BO$6=TRUE,"",""))</f>
        <v/>
      </c>
      <c r="V14" s="210"/>
      <c r="W14" s="210"/>
      <c r="X14" s="210"/>
      <c r="Y14" s="210" t="str">
        <f>IF($BB$6=TRUE,IF($BO$6=TRUE,"",BG14),IF($BO$6=TRUE,"",""))</f>
        <v/>
      </c>
      <c r="Z14" s="210"/>
      <c r="AA14" s="210"/>
      <c r="AB14" s="210"/>
      <c r="AC14" s="210" t="str">
        <f>IF($BB$6=TRUE,IF($BO$6=TRUE,"",BH14),IF($BO$6=TRUE,"",""))</f>
        <v/>
      </c>
      <c r="AD14" s="210"/>
      <c r="AE14" s="210"/>
      <c r="AF14" s="210"/>
      <c r="AG14" s="210" t="str">
        <f>IF($BB$6=TRUE,IF($BO$6=TRUE,"",BI14),IF($BO$6=TRUE,"",""))</f>
        <v/>
      </c>
      <c r="AH14" s="210"/>
      <c r="AI14" s="210"/>
      <c r="AJ14" s="210"/>
      <c r="AK14" s="210" t="str">
        <f>IF($BB$6=TRUE,IF($BO$6=TRUE,"",BJ14),IF($BO$6=TRUE,"",""))</f>
        <v/>
      </c>
      <c r="AL14" s="210"/>
      <c r="AM14" s="210"/>
      <c r="AN14" s="210"/>
      <c r="AO14" s="210" t="str">
        <f>IF($BB$6=TRUE,IF($BO$6=TRUE,"",BK14),IF($BO$6=TRUE,"",""))</f>
        <v/>
      </c>
      <c r="AP14" s="210"/>
      <c r="AQ14" s="210"/>
      <c r="AR14" s="210"/>
      <c r="AS14" s="210" t="str">
        <f>IF($BB$6=TRUE,IF($BO$6=TRUE,"",BL14),IF($BO$6=TRUE,"",""))</f>
        <v/>
      </c>
      <c r="AT14" s="210"/>
      <c r="AU14" s="210"/>
      <c r="AV14" s="210"/>
      <c r="AW14" s="211" t="str">
        <f t="shared" si="2"/>
        <v/>
      </c>
      <c r="AX14" s="212"/>
      <c r="AY14" s="212"/>
      <c r="AZ14" s="212"/>
      <c r="BA14" s="282"/>
      <c r="BB14" s="174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4"/>
      <c r="BN14" s="168"/>
      <c r="BO14" s="174"/>
      <c r="BP14" s="175"/>
      <c r="BQ14" s="175"/>
      <c r="BR14" s="174"/>
    </row>
    <row r="15" spans="1:72" ht="14.85" customHeight="1" thickTop="1">
      <c r="A15" s="109"/>
      <c r="B15" s="274" t="s">
        <v>48</v>
      </c>
      <c r="C15" s="274"/>
      <c r="D15" s="274"/>
      <c r="E15" s="215" t="str">
        <f>IF(E10="","",AVERAGE(E10:H14,AW10:AZ14))</f>
        <v/>
      </c>
      <c r="F15" s="215"/>
      <c r="G15" s="215"/>
      <c r="H15" s="215"/>
      <c r="I15" s="199" t="str">
        <f>IF(I10="","",IF(BO6=TRUE,AVERAGE(I10:P14),AVERAGE(I10:L14)))</f>
        <v/>
      </c>
      <c r="J15" s="199"/>
      <c r="K15" s="199"/>
      <c r="L15" s="199"/>
      <c r="M15" s="199" t="str">
        <f>IF(M10="","",IF(BO6=TRUE,"",AVERAGE(M10:P14)))</f>
        <v/>
      </c>
      <c r="N15" s="199"/>
      <c r="O15" s="199"/>
      <c r="P15" s="199"/>
      <c r="Q15" s="199" t="str">
        <f>IF(Q10="","",AVERAGE(Q10:T14))</f>
        <v/>
      </c>
      <c r="R15" s="199"/>
      <c r="S15" s="199"/>
      <c r="T15" s="199"/>
      <c r="U15" s="199" t="str">
        <f>IF(U10="","",AVERAGE(U10:X14))</f>
        <v/>
      </c>
      <c r="V15" s="199"/>
      <c r="W15" s="199"/>
      <c r="X15" s="199"/>
      <c r="Y15" s="199" t="str">
        <f t="shared" ref="Y15" si="3">IF(Y10="","",AVERAGE(Y10:AB14))</f>
        <v/>
      </c>
      <c r="Z15" s="199"/>
      <c r="AA15" s="199"/>
      <c r="AB15" s="199"/>
      <c r="AC15" s="199" t="str">
        <f t="shared" ref="AC15" si="4">IF(AC10="","",AVERAGE(AC10:AF14))</f>
        <v/>
      </c>
      <c r="AD15" s="199"/>
      <c r="AE15" s="199"/>
      <c r="AF15" s="199"/>
      <c r="AG15" s="199" t="str">
        <f t="shared" ref="AG15" si="5">IF(AG10="","",AVERAGE(AG10:AJ14))</f>
        <v/>
      </c>
      <c r="AH15" s="199"/>
      <c r="AI15" s="199"/>
      <c r="AJ15" s="199"/>
      <c r="AK15" s="199" t="str">
        <f t="shared" ref="AK15" si="6">IF(AK10="","",AVERAGE(AK10:AN14))</f>
        <v/>
      </c>
      <c r="AL15" s="199"/>
      <c r="AM15" s="199"/>
      <c r="AN15" s="199"/>
      <c r="AO15" s="199" t="str">
        <f t="shared" ref="AO15" si="7">IF(AO10="","",AVERAGE(AO10:AR14))</f>
        <v/>
      </c>
      <c r="AP15" s="199"/>
      <c r="AQ15" s="199"/>
      <c r="AR15" s="199"/>
      <c r="AS15" s="199" t="str">
        <f t="shared" ref="AS15" si="8">IF(AS10="","",AVERAGE(AS10:AV14))</f>
        <v/>
      </c>
      <c r="AT15" s="199"/>
      <c r="AU15" s="199"/>
      <c r="AV15" s="199"/>
      <c r="AW15" s="97"/>
      <c r="AX15" s="97"/>
      <c r="AY15" s="97"/>
      <c r="AZ15" s="97"/>
      <c r="BA15" s="97"/>
    </row>
    <row r="16" spans="1:72" ht="14.85" customHeight="1" thickBot="1">
      <c r="A16" s="109"/>
      <c r="B16" s="263" t="s">
        <v>49</v>
      </c>
      <c r="C16" s="263"/>
      <c r="D16" s="263"/>
      <c r="E16" s="201" t="str">
        <f>IF(E10="","",STDEV(AW10:AZ14,E10:H14))</f>
        <v/>
      </c>
      <c r="F16" s="201"/>
      <c r="G16" s="201"/>
      <c r="H16" s="201"/>
      <c r="I16" s="198" t="str">
        <f>IF(I10="","",IF($BO$6=TRUE,STDEV(I10:P14),STDEV(I10:L14)))</f>
        <v/>
      </c>
      <c r="J16" s="198"/>
      <c r="K16" s="198"/>
      <c r="L16" s="198"/>
      <c r="M16" s="198" t="str">
        <f>IF(M10="","",IF($BO$6=TRUE,"",STDEV(M10:P14)))</f>
        <v/>
      </c>
      <c r="N16" s="198"/>
      <c r="O16" s="198"/>
      <c r="P16" s="198"/>
      <c r="Q16" s="198" t="str">
        <f t="shared" ref="Q16" si="9">IF(Q10="","",STDEV(Q10:T14))</f>
        <v/>
      </c>
      <c r="R16" s="198"/>
      <c r="S16" s="198"/>
      <c r="T16" s="198"/>
      <c r="U16" s="198" t="str">
        <f t="shared" ref="U16" si="10">IF(U10="","",STDEV(U10:X14))</f>
        <v/>
      </c>
      <c r="V16" s="198"/>
      <c r="W16" s="198"/>
      <c r="X16" s="198"/>
      <c r="Y16" s="198" t="str">
        <f t="shared" ref="Y16" si="11">IF(Y10="","",STDEV(Y10:AB14))</f>
        <v/>
      </c>
      <c r="Z16" s="198"/>
      <c r="AA16" s="198"/>
      <c r="AB16" s="198"/>
      <c r="AC16" s="198" t="str">
        <f t="shared" ref="AC16" si="12">IF(AC10="","",STDEV(AC10:AF14))</f>
        <v/>
      </c>
      <c r="AD16" s="198"/>
      <c r="AE16" s="198"/>
      <c r="AF16" s="198"/>
      <c r="AG16" s="198" t="str">
        <f t="shared" ref="AG16" si="13">IF(AG10="","",STDEV(AG10:AJ14))</f>
        <v/>
      </c>
      <c r="AH16" s="198"/>
      <c r="AI16" s="198"/>
      <c r="AJ16" s="198"/>
      <c r="AK16" s="198" t="str">
        <f t="shared" ref="AK16" si="14">IF(AK10="","",STDEV(AK10:AN14))</f>
        <v/>
      </c>
      <c r="AL16" s="198"/>
      <c r="AM16" s="198"/>
      <c r="AN16" s="198"/>
      <c r="AO16" s="198" t="str">
        <f t="shared" ref="AO16" si="15">IF(AO10="","",STDEV(AO10:AR14))</f>
        <v/>
      </c>
      <c r="AP16" s="198"/>
      <c r="AQ16" s="198"/>
      <c r="AR16" s="198"/>
      <c r="AS16" s="198" t="str">
        <f>IF(AS10="","",STDEV(AS10:AV14))</f>
        <v/>
      </c>
      <c r="AT16" s="198"/>
      <c r="AU16" s="198"/>
      <c r="AV16" s="198"/>
      <c r="AW16" s="97"/>
      <c r="AX16" s="97"/>
      <c r="AY16" s="97"/>
      <c r="AZ16" s="97"/>
      <c r="BA16" s="97"/>
    </row>
    <row r="17" spans="1:74" ht="14.85" customHeight="1" thickTop="1">
      <c r="A17" s="109"/>
      <c r="B17" s="110"/>
      <c r="C17" s="110"/>
      <c r="D17" s="110"/>
      <c r="E17" s="119"/>
      <c r="F17" s="119"/>
      <c r="G17" s="119"/>
      <c r="H17" s="119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120"/>
      <c r="AB17" s="120"/>
      <c r="AC17" s="120"/>
      <c r="AD17" s="120"/>
      <c r="AE17" s="120"/>
      <c r="AF17" s="120"/>
      <c r="AG17" s="120"/>
      <c r="AH17" s="120"/>
      <c r="AI17" s="120"/>
      <c r="AJ17" s="120"/>
      <c r="AK17" s="120"/>
      <c r="AL17" s="120"/>
      <c r="AM17" s="120"/>
      <c r="AN17" s="120"/>
      <c r="AO17" s="120"/>
      <c r="AP17" s="120"/>
      <c r="AQ17" s="120"/>
      <c r="AR17" s="120"/>
      <c r="AS17" s="120"/>
      <c r="AT17" s="120"/>
      <c r="AU17" s="120"/>
      <c r="AV17" s="120"/>
      <c r="AW17" s="97"/>
      <c r="AX17" s="97"/>
      <c r="AY17" s="97"/>
      <c r="AZ17" s="97"/>
      <c r="BA17" s="97"/>
    </row>
    <row r="18" spans="1:74" ht="14.85" customHeight="1" thickBot="1">
      <c r="A18" s="101"/>
      <c r="B18" s="143" t="s">
        <v>435</v>
      </c>
      <c r="C18" s="135"/>
      <c r="D18" s="135"/>
      <c r="E18" s="135"/>
      <c r="F18" s="135"/>
      <c r="G18" s="135"/>
      <c r="H18" s="135"/>
      <c r="I18" s="136"/>
      <c r="J18" s="136"/>
      <c r="K18" s="136"/>
      <c r="L18" s="136"/>
      <c r="M18" s="136"/>
      <c r="N18" s="136"/>
      <c r="O18" s="136"/>
      <c r="P18" s="136"/>
      <c r="Q18" s="136"/>
      <c r="R18" s="136"/>
      <c r="S18" s="136"/>
      <c r="T18" s="136"/>
      <c r="U18" s="136"/>
      <c r="V18" s="136"/>
      <c r="W18" s="136"/>
      <c r="X18" s="136"/>
      <c r="Y18" s="136"/>
      <c r="Z18" s="136"/>
      <c r="AA18" s="136"/>
      <c r="AB18" s="136"/>
      <c r="AC18" s="136"/>
      <c r="AD18" s="136"/>
      <c r="AE18" s="136"/>
      <c r="AF18" s="136"/>
      <c r="AG18" s="136"/>
      <c r="AH18" s="136"/>
      <c r="AI18" s="136"/>
      <c r="AJ18" s="136"/>
      <c r="AK18" s="136"/>
      <c r="AL18" s="136"/>
      <c r="AM18" s="136"/>
      <c r="AN18" s="136"/>
      <c r="AO18" s="136"/>
      <c r="AP18" s="136"/>
      <c r="AQ18" s="136"/>
      <c r="AR18" s="136"/>
      <c r="AS18" s="136"/>
      <c r="AT18" s="136"/>
      <c r="AU18" s="136"/>
      <c r="AV18" s="136"/>
      <c r="AW18" s="101"/>
      <c r="AX18" s="101"/>
      <c r="AY18" s="101"/>
      <c r="AZ18" s="101"/>
      <c r="BA18" s="101"/>
      <c r="BU18" s="112"/>
      <c r="BV18" s="112"/>
    </row>
    <row r="19" spans="1:74" ht="14.85" customHeight="1" thickTop="1">
      <c r="A19" s="101"/>
      <c r="B19" s="294" t="str">
        <f>J5&amp;" °C"</f>
        <v xml:space="preserve"> °C</v>
      </c>
      <c r="C19" s="295"/>
      <c r="D19" s="295"/>
      <c r="E19" s="296"/>
      <c r="F19" s="245" t="s">
        <v>342</v>
      </c>
      <c r="G19" s="246"/>
      <c r="H19" s="246"/>
      <c r="I19" s="246"/>
      <c r="J19" s="229" t="str">
        <f>IF($BB$6=TRUE,IF($BO$6=TRUE,"","P1"),IF($BO$6=TRUE,"CH101","P1"))</f>
        <v>P1</v>
      </c>
      <c r="K19" s="230"/>
      <c r="L19" s="230"/>
      <c r="M19" s="230"/>
      <c r="N19" s="229" t="str">
        <f>IF($BB$6=TRUE,IF($BO$6=TRUE,"","P2"),IF($BO$6=TRUE,"CH1","P2"))</f>
        <v>P2</v>
      </c>
      <c r="O19" s="230"/>
      <c r="P19" s="230"/>
      <c r="Q19" s="230"/>
      <c r="R19" s="229" t="str">
        <f>IF($BB$6=TRUE,IF($BO$6=TRUE,"","P3"),IF($BO$6=TRUE,"","P3"))</f>
        <v>P3</v>
      </c>
      <c r="S19" s="230"/>
      <c r="T19" s="230"/>
      <c r="U19" s="230"/>
      <c r="V19" s="229" t="str">
        <f>IF($BB$6=TRUE,IF($BO$6=TRUE,"","P4"),IF($BO$6=TRUE,"","P4"))</f>
        <v>P4</v>
      </c>
      <c r="W19" s="230"/>
      <c r="X19" s="230"/>
      <c r="Y19" s="230"/>
      <c r="Z19" s="229" t="str">
        <f>IF($BB$6=TRUE,IF($BO$6=TRUE,"","P5"),IF($BO$6=TRUE,"","P5"))</f>
        <v>P5</v>
      </c>
      <c r="AA19" s="230"/>
      <c r="AB19" s="230"/>
      <c r="AC19" s="230"/>
      <c r="AD19" s="229" t="str">
        <f>IF($BB$6=TRUE,IF($BO$6=TRUE,"","P6"),IF($BO$6=TRUE,"","P6"))</f>
        <v>P6</v>
      </c>
      <c r="AE19" s="230"/>
      <c r="AF19" s="230"/>
      <c r="AG19" s="230"/>
      <c r="AH19" s="229" t="str">
        <f>IF($BB$6=TRUE,IF($BO$6=TRUE,"","P7"),IF($BO$6=TRUE,"","P7"))</f>
        <v>P7</v>
      </c>
      <c r="AI19" s="230"/>
      <c r="AJ19" s="230"/>
      <c r="AK19" s="230"/>
      <c r="AL19" s="229" t="str">
        <f>IF($BB$6=TRUE,IF($BO$6=TRUE,"","P8"),IF($BO$6=TRUE,"","P8"))</f>
        <v>P8</v>
      </c>
      <c r="AM19" s="230"/>
      <c r="AN19" s="230"/>
      <c r="AO19" s="230"/>
      <c r="AP19" s="229" t="str">
        <f>IF($BB$6=TRUE,IF($BO$6=TRUE,"","P9"),IF($BO$6=TRUE,"","P9"))</f>
        <v>P9</v>
      </c>
      <c r="AQ19" s="230"/>
      <c r="AR19" s="230"/>
      <c r="AS19" s="230"/>
      <c r="AT19" s="229" t="str">
        <f>IF($BB$6=TRUE,IF($BO$6=TRUE,"","P10"),IF($BO$6=TRUE,"","P10"))</f>
        <v>P10</v>
      </c>
      <c r="AU19" s="230"/>
      <c r="AV19" s="230"/>
      <c r="AW19" s="335"/>
      <c r="AX19" s="101"/>
      <c r="AY19" s="101"/>
      <c r="AZ19" s="101"/>
      <c r="BA19" s="101"/>
      <c r="BU19" s="112"/>
      <c r="BV19" s="112"/>
    </row>
    <row r="20" spans="1:74" ht="14.85" customHeight="1" thickBot="1">
      <c r="A20" s="101"/>
      <c r="B20" s="297"/>
      <c r="C20" s="298"/>
      <c r="D20" s="298"/>
      <c r="E20" s="299"/>
      <c r="F20" s="247"/>
      <c r="G20" s="248"/>
      <c r="H20" s="248"/>
      <c r="I20" s="248"/>
      <c r="J20" s="231"/>
      <c r="K20" s="232"/>
      <c r="L20" s="232"/>
      <c r="M20" s="232"/>
      <c r="N20" s="231"/>
      <c r="O20" s="232"/>
      <c r="P20" s="232"/>
      <c r="Q20" s="232"/>
      <c r="R20" s="231"/>
      <c r="S20" s="232"/>
      <c r="T20" s="232"/>
      <c r="U20" s="232"/>
      <c r="V20" s="231"/>
      <c r="W20" s="232"/>
      <c r="X20" s="232"/>
      <c r="Y20" s="232"/>
      <c r="Z20" s="231"/>
      <c r="AA20" s="232"/>
      <c r="AB20" s="232"/>
      <c r="AC20" s="232"/>
      <c r="AD20" s="231"/>
      <c r="AE20" s="232"/>
      <c r="AF20" s="232"/>
      <c r="AG20" s="232"/>
      <c r="AH20" s="231"/>
      <c r="AI20" s="232"/>
      <c r="AJ20" s="232"/>
      <c r="AK20" s="232"/>
      <c r="AL20" s="231"/>
      <c r="AM20" s="232"/>
      <c r="AN20" s="232"/>
      <c r="AO20" s="232"/>
      <c r="AP20" s="231"/>
      <c r="AQ20" s="232"/>
      <c r="AR20" s="232"/>
      <c r="AS20" s="232"/>
      <c r="AT20" s="231"/>
      <c r="AU20" s="232"/>
      <c r="AV20" s="232"/>
      <c r="AW20" s="336"/>
      <c r="AX20" s="101"/>
      <c r="AY20" s="101"/>
      <c r="AZ20" s="101"/>
      <c r="BA20" s="101"/>
      <c r="BU20" s="112"/>
      <c r="BV20" s="112"/>
    </row>
    <row r="21" spans="1:74" ht="14.85" customHeight="1" thickTop="1">
      <c r="A21" s="101"/>
      <c r="B21" s="300" t="s">
        <v>436</v>
      </c>
      <c r="C21" s="300"/>
      <c r="D21" s="300"/>
      <c r="E21" s="300"/>
      <c r="F21" s="302" t="str">
        <f>$E$15</f>
        <v/>
      </c>
      <c r="G21" s="302"/>
      <c r="H21" s="302"/>
      <c r="I21" s="302"/>
      <c r="J21" s="515" t="str">
        <f>IF(I15="","",_xlfn.CEILING.MATH(I$15,$AB$3))</f>
        <v/>
      </c>
      <c r="K21" s="516"/>
      <c r="L21" s="516"/>
      <c r="M21" s="517"/>
      <c r="N21" s="515" t="str">
        <f t="shared" ref="N21" si="16">IF(M15="","",_xlfn.CEILING.MATH(M$15,$AB$3))</f>
        <v/>
      </c>
      <c r="O21" s="516"/>
      <c r="P21" s="516"/>
      <c r="Q21" s="517"/>
      <c r="R21" s="515" t="str">
        <f t="shared" ref="R21" si="17">IF(Q15="","",_xlfn.CEILING.MATH(Q$15,$AB$3))</f>
        <v/>
      </c>
      <c r="S21" s="516"/>
      <c r="T21" s="516"/>
      <c r="U21" s="517"/>
      <c r="V21" s="515" t="str">
        <f t="shared" ref="V21" si="18">IF(U15="","",_xlfn.CEILING.MATH(U$15,$AB$3))</f>
        <v/>
      </c>
      <c r="W21" s="516"/>
      <c r="X21" s="516"/>
      <c r="Y21" s="517"/>
      <c r="Z21" s="515" t="str">
        <f t="shared" ref="Z21" si="19">IF(Y15="","",_xlfn.CEILING.MATH(Y$15,$AB$3))</f>
        <v/>
      </c>
      <c r="AA21" s="516"/>
      <c r="AB21" s="516"/>
      <c r="AC21" s="517"/>
      <c r="AD21" s="515" t="str">
        <f t="shared" ref="AD21" si="20">IF(AC15="","",_xlfn.CEILING.MATH(AC$15,$AB$3))</f>
        <v/>
      </c>
      <c r="AE21" s="516"/>
      <c r="AF21" s="516"/>
      <c r="AG21" s="517"/>
      <c r="AH21" s="515" t="str">
        <f t="shared" ref="AH21" si="21">IF(AG15="","",_xlfn.CEILING.MATH(AG$15,$AB$3))</f>
        <v/>
      </c>
      <c r="AI21" s="516"/>
      <c r="AJ21" s="516"/>
      <c r="AK21" s="517"/>
      <c r="AL21" s="515" t="str">
        <f t="shared" ref="AL21" si="22">IF(AK15="","",_xlfn.CEILING.MATH(AK$15,$AB$3))</f>
        <v/>
      </c>
      <c r="AM21" s="516"/>
      <c r="AN21" s="516"/>
      <c r="AO21" s="517"/>
      <c r="AP21" s="515" t="str">
        <f t="shared" ref="AP21" si="23">IF(AO15="","",_xlfn.CEILING.MATH(AO$15,$AB$3))</f>
        <v/>
      </c>
      <c r="AQ21" s="516"/>
      <c r="AR21" s="516"/>
      <c r="AS21" s="517"/>
      <c r="AT21" s="515" t="str">
        <f>IF(AS15="","",_xlfn.CEILING.MATH(AS$15,$AB$3))</f>
        <v/>
      </c>
      <c r="AU21" s="516"/>
      <c r="AV21" s="516"/>
      <c r="AW21" s="517"/>
      <c r="AX21" s="101"/>
      <c r="AY21" s="101"/>
      <c r="AZ21" s="101"/>
      <c r="BA21" s="101"/>
      <c r="BU21" s="112"/>
      <c r="BV21" s="112"/>
    </row>
    <row r="22" spans="1:74" ht="14.85" customHeight="1">
      <c r="A22" s="101"/>
      <c r="B22" s="301" t="s">
        <v>437</v>
      </c>
      <c r="C22" s="301"/>
      <c r="D22" s="301"/>
      <c r="E22" s="301"/>
      <c r="F22" s="378" t="str">
        <f>$E$16</f>
        <v/>
      </c>
      <c r="G22" s="378"/>
      <c r="H22" s="378"/>
      <c r="I22" s="378"/>
      <c r="J22" s="379" t="str">
        <f>$I$16</f>
        <v/>
      </c>
      <c r="K22" s="379"/>
      <c r="L22" s="379"/>
      <c r="M22" s="379"/>
      <c r="N22" s="379" t="str">
        <f>$M$16</f>
        <v/>
      </c>
      <c r="O22" s="379"/>
      <c r="P22" s="379"/>
      <c r="Q22" s="379"/>
      <c r="R22" s="379" t="str">
        <f>$Q$16</f>
        <v/>
      </c>
      <c r="S22" s="379"/>
      <c r="T22" s="379"/>
      <c r="U22" s="379"/>
      <c r="V22" s="379" t="str">
        <f>$U$16</f>
        <v/>
      </c>
      <c r="W22" s="379"/>
      <c r="X22" s="379"/>
      <c r="Y22" s="379"/>
      <c r="Z22" s="379" t="str">
        <f>$Y$16</f>
        <v/>
      </c>
      <c r="AA22" s="379"/>
      <c r="AB22" s="379"/>
      <c r="AC22" s="379"/>
      <c r="AD22" s="379" t="str">
        <f>$AC$16</f>
        <v/>
      </c>
      <c r="AE22" s="379"/>
      <c r="AF22" s="379"/>
      <c r="AG22" s="379"/>
      <c r="AH22" s="379" t="str">
        <f>$AG$16</f>
        <v/>
      </c>
      <c r="AI22" s="379"/>
      <c r="AJ22" s="379"/>
      <c r="AK22" s="379"/>
      <c r="AL22" s="379" t="str">
        <f>$AK$16</f>
        <v/>
      </c>
      <c r="AM22" s="379"/>
      <c r="AN22" s="379"/>
      <c r="AO22" s="379"/>
      <c r="AP22" s="379" t="str">
        <f>$AO$16</f>
        <v/>
      </c>
      <c r="AQ22" s="379"/>
      <c r="AR22" s="379"/>
      <c r="AS22" s="379"/>
      <c r="AT22" s="379" t="str">
        <f>$AS$16</f>
        <v/>
      </c>
      <c r="AU22" s="379"/>
      <c r="AV22" s="379"/>
      <c r="AW22" s="379"/>
      <c r="AX22" s="101"/>
      <c r="AY22" s="101"/>
      <c r="AZ22" s="101"/>
      <c r="BA22" s="101"/>
      <c r="BU22" s="112"/>
      <c r="BV22" s="112"/>
    </row>
    <row r="23" spans="1:74" ht="14.85" customHeight="1">
      <c r="A23" s="101"/>
      <c r="B23" s="301" t="s">
        <v>381</v>
      </c>
      <c r="C23" s="301"/>
      <c r="D23" s="301"/>
      <c r="E23" s="301"/>
      <c r="F23" s="380" t="s">
        <v>396</v>
      </c>
      <c r="G23" s="380"/>
      <c r="H23" s="380"/>
      <c r="I23" s="380"/>
      <c r="J23" s="292" t="str">
        <f>IFERROR($F$21-J21,"")</f>
        <v/>
      </c>
      <c r="K23" s="292"/>
      <c r="L23" s="292"/>
      <c r="M23" s="292"/>
      <c r="N23" s="292" t="str">
        <f t="shared" ref="N23" si="24">IFERROR($F$21-N21,"")</f>
        <v/>
      </c>
      <c r="O23" s="292"/>
      <c r="P23" s="292"/>
      <c r="Q23" s="292"/>
      <c r="R23" s="292" t="str">
        <f>IFERROR($F$21-R21,"")</f>
        <v/>
      </c>
      <c r="S23" s="292"/>
      <c r="T23" s="292"/>
      <c r="U23" s="292"/>
      <c r="V23" s="292" t="str">
        <f>IFERROR($F$21-V21,"")</f>
        <v/>
      </c>
      <c r="W23" s="292"/>
      <c r="X23" s="292"/>
      <c r="Y23" s="292"/>
      <c r="Z23" s="292" t="str">
        <f>IFERROR($F$21-Z21,"")</f>
        <v/>
      </c>
      <c r="AA23" s="292"/>
      <c r="AB23" s="292"/>
      <c r="AC23" s="292"/>
      <c r="AD23" s="292" t="str">
        <f>IFERROR($F$21-AD21,"")</f>
        <v/>
      </c>
      <c r="AE23" s="292"/>
      <c r="AF23" s="292"/>
      <c r="AG23" s="292"/>
      <c r="AH23" s="292" t="str">
        <f>IFERROR($F$21-AH21,"")</f>
        <v/>
      </c>
      <c r="AI23" s="292"/>
      <c r="AJ23" s="292"/>
      <c r="AK23" s="292"/>
      <c r="AL23" s="292" t="str">
        <f>IFERROR($F$21-AL21,"")</f>
        <v/>
      </c>
      <c r="AM23" s="292"/>
      <c r="AN23" s="292"/>
      <c r="AO23" s="292"/>
      <c r="AP23" s="292" t="str">
        <f>IFERROR($F$21-AP21,"")</f>
        <v/>
      </c>
      <c r="AQ23" s="292"/>
      <c r="AR23" s="292"/>
      <c r="AS23" s="292"/>
      <c r="AT23" s="292" t="str">
        <f>IFERROR($F$21-AT21,"")</f>
        <v/>
      </c>
      <c r="AU23" s="292"/>
      <c r="AV23" s="292"/>
      <c r="AW23" s="292"/>
      <c r="AX23" s="101"/>
      <c r="AY23" s="101"/>
      <c r="AZ23" s="101"/>
      <c r="BA23" s="101"/>
      <c r="BU23" s="112"/>
      <c r="BV23" s="112"/>
    </row>
    <row r="24" spans="1:74" ht="14.85" customHeight="1">
      <c r="A24" s="101"/>
      <c r="B24" s="301" t="s">
        <v>344</v>
      </c>
      <c r="C24" s="301"/>
      <c r="D24" s="301"/>
      <c r="E24" s="301"/>
      <c r="F24" s="301"/>
      <c r="G24" s="301"/>
      <c r="H24" s="301"/>
      <c r="I24" s="301"/>
      <c r="J24" s="292" t="str">
        <f>'Cal Ref'!$J39:$M$39</f>
        <v/>
      </c>
      <c r="K24" s="292"/>
      <c r="L24" s="292"/>
      <c r="M24" s="292"/>
      <c r="N24" s="292" t="str">
        <f>'Cal Ref'!$N$39:$Q$39</f>
        <v/>
      </c>
      <c r="O24" s="292"/>
      <c r="P24" s="292"/>
      <c r="Q24" s="292"/>
      <c r="R24" s="292" t="str">
        <f>'Cal Ref'!$R$39:$U$39</f>
        <v/>
      </c>
      <c r="S24" s="292"/>
      <c r="T24" s="292"/>
      <c r="U24" s="292"/>
      <c r="V24" s="292" t="str">
        <f>'Cal Ref'!$V$39:$Y$39</f>
        <v/>
      </c>
      <c r="W24" s="292"/>
      <c r="X24" s="292"/>
      <c r="Y24" s="292"/>
      <c r="Z24" s="292" t="str">
        <f>'Cal Ref'!$Z$39:$AC$39</f>
        <v/>
      </c>
      <c r="AA24" s="292"/>
      <c r="AB24" s="292"/>
      <c r="AC24" s="292"/>
      <c r="AD24" s="292" t="str">
        <f>'Cal Ref'!$AD$39:$AG$39</f>
        <v/>
      </c>
      <c r="AE24" s="292"/>
      <c r="AF24" s="292"/>
      <c r="AG24" s="292"/>
      <c r="AH24" s="292" t="str">
        <f>'Cal Ref'!$AH$39:$AK$39</f>
        <v/>
      </c>
      <c r="AI24" s="292"/>
      <c r="AJ24" s="292"/>
      <c r="AK24" s="292"/>
      <c r="AL24" s="292" t="str">
        <f>'Cal Ref'!$AL$39:$AO$39</f>
        <v/>
      </c>
      <c r="AM24" s="292"/>
      <c r="AN24" s="292"/>
      <c r="AO24" s="292"/>
      <c r="AP24" s="292" t="str">
        <f>'Cal Ref'!$AP$39:$AS$39</f>
        <v/>
      </c>
      <c r="AQ24" s="292"/>
      <c r="AR24" s="292"/>
      <c r="AS24" s="292"/>
      <c r="AT24" s="292" t="str">
        <f>'Cal Ref'!$AT$39:$AW$39</f>
        <v/>
      </c>
      <c r="AU24" s="292"/>
      <c r="AV24" s="292"/>
      <c r="AW24" s="292"/>
      <c r="AX24" s="101"/>
      <c r="AY24" s="101"/>
      <c r="AZ24" s="101"/>
      <c r="BA24" s="101"/>
      <c r="BU24" s="112"/>
      <c r="BV24" s="112"/>
    </row>
    <row r="25" spans="1:74" ht="14.85" customHeight="1" thickBot="1">
      <c r="A25" s="101"/>
      <c r="B25" s="293" t="s">
        <v>369</v>
      </c>
      <c r="C25" s="293"/>
      <c r="D25" s="293"/>
      <c r="E25" s="293"/>
      <c r="F25" s="293"/>
      <c r="G25" s="293"/>
      <c r="H25" s="293"/>
      <c r="I25" s="293"/>
      <c r="J25" s="337" t="str">
        <f>IFERROR($AK$60,"-")</f>
        <v>-</v>
      </c>
      <c r="K25" s="337"/>
      <c r="L25" s="337"/>
      <c r="M25" s="337"/>
      <c r="N25" s="337" t="str">
        <f>IFERROR($AK$78,"-")</f>
        <v>-</v>
      </c>
      <c r="O25" s="337"/>
      <c r="P25" s="337"/>
      <c r="Q25" s="337"/>
      <c r="R25" s="337" t="str">
        <f>IFERROR($AK$99,"-")</f>
        <v>-</v>
      </c>
      <c r="S25" s="337"/>
      <c r="T25" s="337"/>
      <c r="U25" s="337"/>
      <c r="V25" s="337" t="str">
        <f>IFERROR($AK$117,"-")</f>
        <v>-</v>
      </c>
      <c r="W25" s="337"/>
      <c r="X25" s="337"/>
      <c r="Y25" s="337"/>
      <c r="Z25" s="337" t="str">
        <f>IFERROR($AK$138,"-")</f>
        <v>-</v>
      </c>
      <c r="AA25" s="337"/>
      <c r="AB25" s="337"/>
      <c r="AC25" s="337"/>
      <c r="AD25" s="337" t="str">
        <f>IFERROR($AK$156,"-")</f>
        <v>-</v>
      </c>
      <c r="AE25" s="337"/>
      <c r="AF25" s="337"/>
      <c r="AG25" s="337"/>
      <c r="AH25" s="337" t="str">
        <f>IFERROR($AK$177,"-")</f>
        <v>-</v>
      </c>
      <c r="AI25" s="337"/>
      <c r="AJ25" s="337"/>
      <c r="AK25" s="337"/>
      <c r="AL25" s="337" t="str">
        <f>IFERROR($AK$195,"-")</f>
        <v>-</v>
      </c>
      <c r="AM25" s="337"/>
      <c r="AN25" s="337"/>
      <c r="AO25" s="337"/>
      <c r="AP25" s="337" t="str">
        <f>IFERROR($AK$216,"-")</f>
        <v>-</v>
      </c>
      <c r="AQ25" s="337"/>
      <c r="AR25" s="337"/>
      <c r="AS25" s="337"/>
      <c r="AT25" s="337" t="str">
        <f>IFERROR($AK$234,"-")</f>
        <v>-</v>
      </c>
      <c r="AU25" s="337"/>
      <c r="AV25" s="337"/>
      <c r="AW25" s="337"/>
      <c r="AX25" s="101"/>
      <c r="AY25" s="101"/>
      <c r="AZ25" s="101"/>
      <c r="BA25" s="101"/>
      <c r="BU25" s="112"/>
      <c r="BV25" s="112"/>
    </row>
    <row r="26" spans="1:74" ht="14.85" customHeight="1" thickTop="1">
      <c r="A26" s="101"/>
      <c r="B26" s="135"/>
      <c r="C26" s="135"/>
      <c r="D26" s="135"/>
      <c r="E26" s="135"/>
      <c r="F26" s="135"/>
      <c r="G26" s="135"/>
      <c r="H26" s="135"/>
      <c r="I26" s="136"/>
      <c r="J26" s="136"/>
      <c r="K26" s="136"/>
      <c r="L26" s="136"/>
      <c r="M26" s="136"/>
      <c r="N26" s="136"/>
      <c r="O26" s="136"/>
      <c r="P26" s="136"/>
      <c r="Q26" s="136"/>
      <c r="R26" s="136"/>
      <c r="S26" s="136"/>
      <c r="T26" s="136"/>
      <c r="U26" s="136"/>
      <c r="V26" s="136"/>
      <c r="W26" s="136"/>
      <c r="X26" s="136"/>
      <c r="Y26" s="136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36"/>
      <c r="AV26" s="136"/>
      <c r="AW26" s="101"/>
      <c r="AX26" s="101"/>
      <c r="AY26" s="101"/>
      <c r="AZ26" s="101"/>
      <c r="BA26" s="101"/>
      <c r="BU26" s="112"/>
      <c r="BV26" s="112"/>
    </row>
    <row r="27" spans="1:74" ht="14.85" customHeight="1">
      <c r="A27" s="101"/>
      <c r="B27" s="135"/>
      <c r="C27" s="135"/>
      <c r="D27" s="135"/>
      <c r="E27" s="135"/>
      <c r="F27" s="135"/>
      <c r="G27" s="135"/>
      <c r="H27" s="135"/>
      <c r="I27" s="136"/>
      <c r="J27" s="136"/>
      <c r="K27" s="136"/>
      <c r="L27" s="136"/>
      <c r="M27" s="136"/>
      <c r="N27" s="136"/>
      <c r="O27" s="136"/>
      <c r="P27" s="136"/>
      <c r="Q27" s="136"/>
      <c r="R27" s="136"/>
      <c r="S27" s="136"/>
      <c r="T27" s="136"/>
      <c r="U27" s="136"/>
      <c r="V27" s="136"/>
      <c r="W27" s="136"/>
      <c r="X27" s="136"/>
      <c r="Y27" s="136"/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36"/>
      <c r="AV27" s="136"/>
      <c r="AW27" s="101"/>
      <c r="AX27" s="101"/>
      <c r="AY27" s="101"/>
      <c r="AZ27" s="101"/>
      <c r="BA27" s="101"/>
      <c r="BU27" s="112"/>
      <c r="BV27" s="112"/>
    </row>
    <row r="28" spans="1:74" ht="14.85" customHeight="1">
      <c r="A28" s="101"/>
      <c r="B28" s="135"/>
      <c r="C28" s="135"/>
      <c r="D28" s="135"/>
      <c r="E28" s="135"/>
      <c r="F28" s="135"/>
      <c r="G28" s="135"/>
      <c r="H28" s="135"/>
      <c r="I28" s="136"/>
      <c r="J28" s="136"/>
      <c r="K28" s="136"/>
      <c r="L28" s="136"/>
      <c r="M28" s="136"/>
      <c r="N28" s="136"/>
      <c r="O28" s="136"/>
      <c r="P28" s="136"/>
      <c r="Q28" s="136"/>
      <c r="R28" s="136"/>
      <c r="S28" s="136"/>
      <c r="T28" s="136"/>
      <c r="U28" s="136"/>
      <c r="V28" s="136"/>
      <c r="W28" s="136"/>
      <c r="X28" s="136"/>
      <c r="Y28" s="136"/>
      <c r="Z28" s="136"/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36"/>
      <c r="AV28" s="136"/>
      <c r="AW28" s="101"/>
      <c r="AX28" s="101"/>
      <c r="AY28" s="101"/>
      <c r="AZ28" s="101"/>
      <c r="BA28" s="101"/>
      <c r="BU28" s="112"/>
      <c r="BV28" s="112"/>
    </row>
    <row r="29" spans="1:74" ht="14.85" customHeight="1">
      <c r="A29" s="101"/>
      <c r="B29" s="135"/>
      <c r="C29" s="135"/>
      <c r="D29" s="135"/>
      <c r="E29" s="135"/>
      <c r="F29" s="135"/>
      <c r="G29" s="135"/>
      <c r="H29" s="135"/>
      <c r="I29" s="136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01"/>
      <c r="AX29" s="101"/>
      <c r="AY29" s="101"/>
      <c r="AZ29" s="101"/>
      <c r="BA29" s="101"/>
      <c r="BU29" s="112"/>
      <c r="BV29" s="112"/>
    </row>
    <row r="30" spans="1:74" ht="14.85" customHeight="1">
      <c r="A30" s="101"/>
      <c r="B30" s="135"/>
      <c r="C30" s="135"/>
      <c r="D30" s="135"/>
      <c r="E30" s="135"/>
      <c r="F30" s="135"/>
      <c r="G30" s="135"/>
      <c r="H30" s="135"/>
      <c r="I30" s="136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01"/>
      <c r="AX30" s="101"/>
      <c r="AY30" s="101"/>
      <c r="AZ30" s="101"/>
      <c r="BA30" s="101"/>
      <c r="BU30" s="112"/>
      <c r="BV30" s="112"/>
    </row>
    <row r="31" spans="1:74" ht="14.85" customHeight="1">
      <c r="A31" s="101"/>
      <c r="B31" s="135"/>
      <c r="C31" s="135"/>
      <c r="D31" s="135"/>
      <c r="E31" s="135"/>
      <c r="F31" s="135"/>
      <c r="G31" s="135"/>
      <c r="H31" s="135"/>
      <c r="I31" s="136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01"/>
      <c r="AX31" s="101"/>
      <c r="AY31" s="101"/>
      <c r="AZ31" s="101"/>
      <c r="BA31" s="101"/>
      <c r="BU31" s="112"/>
      <c r="BV31" s="112"/>
    </row>
    <row r="32" spans="1:74" ht="14.85" customHeight="1">
      <c r="A32" s="101"/>
      <c r="B32" s="135"/>
      <c r="C32" s="135"/>
      <c r="D32" s="135"/>
      <c r="E32" s="135"/>
      <c r="F32" s="135"/>
      <c r="G32" s="135"/>
      <c r="H32" s="135"/>
      <c r="I32" s="136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/>
      <c r="AW32" s="101"/>
      <c r="AX32" s="101"/>
      <c r="AY32" s="101"/>
      <c r="AZ32" s="101"/>
      <c r="BA32" s="101"/>
      <c r="BU32" s="112"/>
      <c r="BV32" s="112"/>
    </row>
    <row r="33" spans="1:75" ht="14.85" customHeight="1">
      <c r="A33" s="101"/>
      <c r="B33" s="135"/>
      <c r="C33" s="135"/>
      <c r="D33" s="135"/>
      <c r="E33" s="135"/>
      <c r="F33" s="135"/>
      <c r="G33" s="135"/>
      <c r="H33" s="135"/>
      <c r="I33" s="136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/>
      <c r="AE33" s="136"/>
      <c r="AF33" s="136"/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01"/>
      <c r="AX33" s="101"/>
      <c r="AY33" s="101"/>
      <c r="AZ33" s="101"/>
      <c r="BA33" s="101"/>
      <c r="BU33" s="112"/>
      <c r="BV33" s="112"/>
    </row>
    <row r="34" spans="1:75" ht="14.85" customHeight="1">
      <c r="A34" s="101"/>
      <c r="B34" s="135"/>
      <c r="C34" s="135"/>
      <c r="D34" s="135"/>
      <c r="E34" s="135"/>
      <c r="F34" s="135"/>
      <c r="G34" s="135"/>
      <c r="H34" s="135"/>
      <c r="I34" s="136"/>
      <c r="J34" s="136"/>
      <c r="K34" s="136"/>
      <c r="L34" s="136"/>
      <c r="M34" s="136"/>
      <c r="N34" s="136"/>
      <c r="O34" s="136"/>
      <c r="P34" s="136"/>
      <c r="Q34" s="136"/>
      <c r="R34" s="136"/>
      <c r="S34" s="136"/>
      <c r="T34" s="136"/>
      <c r="U34" s="136"/>
      <c r="V34" s="136"/>
      <c r="W34" s="136"/>
      <c r="X34" s="136"/>
      <c r="Y34" s="136"/>
      <c r="Z34" s="136"/>
      <c r="AA34" s="136"/>
      <c r="AB34" s="136"/>
      <c r="AC34" s="136"/>
      <c r="AD34" s="136"/>
      <c r="AE34" s="136"/>
      <c r="AF34" s="136"/>
      <c r="AG34" s="136"/>
      <c r="AH34" s="136"/>
      <c r="AI34" s="136"/>
      <c r="AJ34" s="136"/>
      <c r="AK34" s="136"/>
      <c r="AL34" s="136"/>
      <c r="AM34" s="136"/>
      <c r="AN34" s="136"/>
      <c r="AO34" s="136"/>
      <c r="AP34" s="136"/>
      <c r="AQ34" s="136"/>
      <c r="AR34" s="136"/>
      <c r="AS34" s="136"/>
      <c r="AT34" s="136"/>
      <c r="AU34" s="136"/>
      <c r="AV34" s="136"/>
      <c r="AW34" s="101"/>
      <c r="AX34" s="101"/>
      <c r="AY34" s="101"/>
      <c r="AZ34" s="101"/>
      <c r="BA34" s="101"/>
      <c r="BU34" s="112"/>
      <c r="BV34" s="112"/>
    </row>
    <row r="35" spans="1:75" ht="14.85" customHeight="1">
      <c r="A35" s="101"/>
      <c r="B35" s="135"/>
      <c r="C35" s="135"/>
      <c r="D35" s="135"/>
      <c r="E35" s="135"/>
      <c r="F35" s="135"/>
      <c r="G35" s="135"/>
      <c r="H35" s="135"/>
      <c r="I35" s="136"/>
      <c r="J35" s="136"/>
      <c r="K35" s="136"/>
      <c r="L35" s="136"/>
      <c r="M35" s="136"/>
      <c r="N35" s="136"/>
      <c r="O35" s="136"/>
      <c r="P35" s="136"/>
      <c r="Q35" s="136"/>
      <c r="R35" s="136"/>
      <c r="S35" s="136"/>
      <c r="T35" s="136"/>
      <c r="U35" s="136"/>
      <c r="V35" s="136"/>
      <c r="W35" s="136"/>
      <c r="X35" s="136"/>
      <c r="Y35" s="136"/>
      <c r="Z35" s="136"/>
      <c r="AA35" s="136"/>
      <c r="AB35" s="136"/>
      <c r="AC35" s="136"/>
      <c r="AD35" s="136"/>
      <c r="AE35" s="136"/>
      <c r="AF35" s="136"/>
      <c r="AG35" s="136"/>
      <c r="AH35" s="136"/>
      <c r="AI35" s="136"/>
      <c r="AJ35" s="136"/>
      <c r="AK35" s="136"/>
      <c r="AL35" s="136"/>
      <c r="AM35" s="136"/>
      <c r="AN35" s="136"/>
      <c r="AO35" s="136"/>
      <c r="AP35" s="136"/>
      <c r="AQ35" s="136"/>
      <c r="AR35" s="136"/>
      <c r="AS35" s="136"/>
      <c r="AT35" s="136"/>
      <c r="AU35" s="136"/>
      <c r="AV35" s="136"/>
      <c r="AW35" s="101"/>
      <c r="AX35" s="101"/>
      <c r="AY35" s="101"/>
      <c r="AZ35" s="101"/>
      <c r="BA35" s="101"/>
      <c r="BU35" s="112"/>
      <c r="BV35" s="112"/>
    </row>
    <row r="36" spans="1:75" ht="14.85" customHeight="1">
      <c r="A36" s="101"/>
      <c r="B36" s="135"/>
      <c r="C36" s="135"/>
      <c r="D36" s="135"/>
      <c r="E36" s="135"/>
      <c r="F36" s="135"/>
      <c r="G36" s="135"/>
      <c r="H36" s="135"/>
      <c r="I36" s="136"/>
      <c r="J36" s="136"/>
      <c r="K36" s="136"/>
      <c r="L36" s="136"/>
      <c r="M36" s="136"/>
      <c r="N36" s="136"/>
      <c r="O36" s="136"/>
      <c r="P36" s="136"/>
      <c r="Q36" s="136"/>
      <c r="R36" s="136"/>
      <c r="S36" s="136"/>
      <c r="T36" s="136"/>
      <c r="U36" s="136"/>
      <c r="V36" s="136"/>
      <c r="W36" s="136"/>
      <c r="X36" s="136"/>
      <c r="Y36" s="136"/>
      <c r="Z36" s="136"/>
      <c r="AA36" s="136"/>
      <c r="AB36" s="136"/>
      <c r="AC36" s="136"/>
      <c r="AD36" s="136"/>
      <c r="AE36" s="136"/>
      <c r="AF36" s="136"/>
      <c r="AG36" s="136"/>
      <c r="AH36" s="136"/>
      <c r="AI36" s="136"/>
      <c r="AJ36" s="136"/>
      <c r="AK36" s="136"/>
      <c r="AL36" s="136"/>
      <c r="AM36" s="136"/>
      <c r="AN36" s="136"/>
      <c r="AO36" s="136"/>
      <c r="AP36" s="136"/>
      <c r="AQ36" s="136"/>
      <c r="AR36" s="136"/>
      <c r="AS36" s="136"/>
      <c r="AT36" s="136"/>
      <c r="AU36" s="136"/>
      <c r="AV36" s="136"/>
      <c r="AW36" s="101"/>
      <c r="AX36" s="101"/>
      <c r="AY36" s="101"/>
      <c r="AZ36" s="101"/>
      <c r="BA36" s="101"/>
      <c r="BU36" s="112"/>
      <c r="BV36" s="112"/>
    </row>
    <row r="37" spans="1:75" ht="14.85" customHeight="1">
      <c r="A37" s="101"/>
      <c r="B37" s="135"/>
      <c r="C37" s="135"/>
      <c r="D37" s="135"/>
      <c r="E37" s="135"/>
      <c r="F37" s="135"/>
      <c r="G37" s="135"/>
      <c r="H37" s="135"/>
      <c r="I37" s="136"/>
      <c r="J37" s="136"/>
      <c r="K37" s="136"/>
      <c r="L37" s="136"/>
      <c r="M37" s="136"/>
      <c r="N37" s="136"/>
      <c r="O37" s="136"/>
      <c r="P37" s="136"/>
      <c r="Q37" s="136"/>
      <c r="R37" s="136"/>
      <c r="S37" s="136"/>
      <c r="T37" s="136"/>
      <c r="U37" s="136"/>
      <c r="V37" s="136"/>
      <c r="W37" s="136"/>
      <c r="X37" s="136"/>
      <c r="Y37" s="136"/>
      <c r="Z37" s="136"/>
      <c r="AA37" s="136"/>
      <c r="AB37" s="136"/>
      <c r="AC37" s="136"/>
      <c r="AD37" s="136"/>
      <c r="AE37" s="136"/>
      <c r="AF37" s="136"/>
      <c r="AG37" s="136"/>
      <c r="AH37" s="136"/>
      <c r="AI37" s="136"/>
      <c r="AJ37" s="136"/>
      <c r="AK37" s="136"/>
      <c r="AL37" s="136"/>
      <c r="AM37" s="136"/>
      <c r="AN37" s="136"/>
      <c r="AO37" s="136"/>
      <c r="AP37" s="136"/>
      <c r="AQ37" s="136"/>
      <c r="AR37" s="136"/>
      <c r="AS37" s="136"/>
      <c r="AT37" s="136"/>
      <c r="AU37" s="136"/>
      <c r="AV37" s="136"/>
      <c r="AW37" s="101"/>
      <c r="AX37" s="101"/>
      <c r="AY37" s="101"/>
      <c r="AZ37" s="101"/>
      <c r="BA37" s="101"/>
      <c r="BU37" s="112"/>
      <c r="BV37" s="112"/>
    </row>
    <row r="38" spans="1:75" ht="14.85" customHeight="1">
      <c r="A38" s="101"/>
      <c r="B38" s="135"/>
      <c r="C38" s="135"/>
      <c r="D38" s="135"/>
      <c r="E38" s="135"/>
      <c r="F38" s="135"/>
      <c r="G38" s="135"/>
      <c r="H38" s="135"/>
      <c r="I38" s="136"/>
      <c r="J38" s="136"/>
      <c r="K38" s="136"/>
      <c r="L38" s="136"/>
      <c r="M38" s="136"/>
      <c r="N38" s="136"/>
      <c r="O38" s="136"/>
      <c r="P38" s="136"/>
      <c r="Q38" s="136"/>
      <c r="R38" s="136"/>
      <c r="S38" s="136"/>
      <c r="T38" s="136"/>
      <c r="U38" s="136"/>
      <c r="V38" s="136"/>
      <c r="W38" s="136"/>
      <c r="X38" s="136"/>
      <c r="Y38" s="136"/>
      <c r="Z38" s="136"/>
      <c r="AA38" s="136"/>
      <c r="AB38" s="136"/>
      <c r="AC38" s="136"/>
      <c r="AD38" s="136"/>
      <c r="AE38" s="136"/>
      <c r="AF38" s="136"/>
      <c r="AG38" s="136"/>
      <c r="AH38" s="136"/>
      <c r="AI38" s="136"/>
      <c r="AJ38" s="136"/>
      <c r="AK38" s="136"/>
      <c r="AL38" s="136"/>
      <c r="AM38" s="136"/>
      <c r="AN38" s="136"/>
      <c r="AO38" s="136"/>
      <c r="AP38" s="136"/>
      <c r="AQ38" s="136"/>
      <c r="AR38" s="136"/>
      <c r="AS38" s="136"/>
      <c r="AT38" s="136"/>
      <c r="AU38" s="136"/>
      <c r="AV38" s="136"/>
      <c r="AW38" s="101"/>
      <c r="AX38" s="101"/>
      <c r="AY38" s="101"/>
      <c r="AZ38" s="101"/>
      <c r="BA38" s="101"/>
      <c r="BU38" s="112"/>
      <c r="BV38" s="112"/>
    </row>
    <row r="39" spans="1:75" ht="14.85" customHeight="1">
      <c r="A39" s="101"/>
      <c r="B39" s="135"/>
      <c r="C39" s="135"/>
      <c r="D39" s="135"/>
      <c r="E39" s="135"/>
      <c r="F39" s="135"/>
      <c r="G39" s="135"/>
      <c r="H39" s="135"/>
      <c r="I39" s="136"/>
      <c r="J39" s="136"/>
      <c r="K39" s="136"/>
      <c r="L39" s="136"/>
      <c r="M39" s="136"/>
      <c r="N39" s="136"/>
      <c r="O39" s="136"/>
      <c r="P39" s="136"/>
      <c r="Q39" s="136"/>
      <c r="R39" s="136"/>
      <c r="S39" s="136"/>
      <c r="T39" s="136"/>
      <c r="U39" s="136"/>
      <c r="V39" s="136"/>
      <c r="W39" s="136"/>
      <c r="X39" s="136"/>
      <c r="Y39" s="136"/>
      <c r="Z39" s="136"/>
      <c r="AA39" s="136"/>
      <c r="AB39" s="136"/>
      <c r="AC39" s="136"/>
      <c r="AD39" s="136"/>
      <c r="AE39" s="136"/>
      <c r="AF39" s="136"/>
      <c r="AG39" s="136"/>
      <c r="AH39" s="136"/>
      <c r="AI39" s="136"/>
      <c r="AJ39" s="136"/>
      <c r="AK39" s="136"/>
      <c r="AL39" s="136"/>
      <c r="AM39" s="136"/>
      <c r="AN39" s="136"/>
      <c r="AO39" s="136"/>
      <c r="AP39" s="136"/>
      <c r="AQ39" s="136"/>
      <c r="AR39" s="136"/>
      <c r="AS39" s="136"/>
      <c r="AT39" s="136"/>
      <c r="AU39" s="136"/>
      <c r="AV39" s="136"/>
      <c r="AW39" s="101"/>
      <c r="AX39" s="101"/>
      <c r="AY39" s="101"/>
      <c r="AZ39" s="101"/>
      <c r="BA39" s="101"/>
      <c r="BU39" s="112"/>
      <c r="BV39" s="112"/>
    </row>
    <row r="40" spans="1:75" ht="14.85" customHeight="1">
      <c r="A40" s="101"/>
      <c r="B40" s="135"/>
      <c r="C40" s="135"/>
      <c r="D40" s="135"/>
      <c r="E40" s="135"/>
      <c r="F40" s="135"/>
      <c r="G40" s="135"/>
      <c r="H40" s="135"/>
      <c r="I40" s="136"/>
      <c r="J40" s="136"/>
      <c r="K40" s="136"/>
      <c r="L40" s="136"/>
      <c r="M40" s="136"/>
      <c r="N40" s="136"/>
      <c r="O40" s="136"/>
      <c r="P40" s="136"/>
      <c r="Q40" s="136"/>
      <c r="R40" s="136"/>
      <c r="S40" s="136"/>
      <c r="T40" s="136"/>
      <c r="U40" s="136"/>
      <c r="V40" s="136"/>
      <c r="W40" s="136"/>
      <c r="X40" s="136"/>
      <c r="Y40" s="136"/>
      <c r="Z40" s="136"/>
      <c r="AA40" s="136"/>
      <c r="AB40" s="136"/>
      <c r="AC40" s="136"/>
      <c r="AD40" s="136"/>
      <c r="AE40" s="136"/>
      <c r="AF40" s="136"/>
      <c r="AG40" s="136"/>
      <c r="AH40" s="136"/>
      <c r="AI40" s="136"/>
      <c r="AJ40" s="136"/>
      <c r="AK40" s="136"/>
      <c r="AL40" s="136"/>
      <c r="AM40" s="136"/>
      <c r="AN40" s="136"/>
      <c r="AO40" s="136"/>
      <c r="AP40" s="136"/>
      <c r="AQ40" s="136"/>
      <c r="AR40" s="136"/>
      <c r="AS40" s="136"/>
      <c r="AT40" s="136"/>
      <c r="AU40" s="136"/>
      <c r="AV40" s="136"/>
      <c r="AW40" s="101"/>
      <c r="AX40" s="101"/>
      <c r="AY40" s="101"/>
      <c r="AZ40" s="101"/>
      <c r="BA40" s="101"/>
      <c r="BU40" s="112"/>
      <c r="BV40" s="112"/>
    </row>
    <row r="41" spans="1:75" ht="14.85" customHeight="1">
      <c r="A41" s="101"/>
      <c r="B41" s="135"/>
      <c r="C41" s="135"/>
      <c r="D41" s="135"/>
      <c r="E41" s="135"/>
      <c r="F41" s="135"/>
      <c r="G41" s="135"/>
      <c r="H41" s="135"/>
      <c r="I41" s="136"/>
      <c r="J41" s="136"/>
      <c r="K41" s="136"/>
      <c r="L41" s="136"/>
      <c r="M41" s="136"/>
      <c r="N41" s="136"/>
      <c r="O41" s="136"/>
      <c r="P41" s="136"/>
      <c r="Q41" s="136"/>
      <c r="R41" s="136"/>
      <c r="S41" s="136"/>
      <c r="T41" s="136"/>
      <c r="U41" s="136"/>
      <c r="V41" s="136"/>
      <c r="W41" s="136"/>
      <c r="X41" s="136"/>
      <c r="Y41" s="136"/>
      <c r="Z41" s="136"/>
      <c r="AA41" s="136"/>
      <c r="AB41" s="136"/>
      <c r="AC41" s="136"/>
      <c r="AD41" s="136"/>
      <c r="AE41" s="136"/>
      <c r="AF41" s="136"/>
      <c r="AG41" s="136"/>
      <c r="AH41" s="136"/>
      <c r="AI41" s="136"/>
      <c r="AJ41" s="136"/>
      <c r="AK41" s="136"/>
      <c r="AL41" s="136"/>
      <c r="AM41" s="136"/>
      <c r="AS41" s="265" t="s">
        <v>5</v>
      </c>
      <c r="AT41" s="265"/>
      <c r="AU41" s="265"/>
      <c r="AV41" s="275">
        <f>AV1+1</f>
        <v>8</v>
      </c>
      <c r="AW41" s="275"/>
      <c r="AX41" s="94" t="s">
        <v>6</v>
      </c>
      <c r="AY41" s="275">
        <f>$AY$1</f>
        <v>1</v>
      </c>
      <c r="AZ41" s="275"/>
      <c r="BA41" s="101"/>
      <c r="BU41" s="112"/>
      <c r="BV41" s="112"/>
    </row>
    <row r="42" spans="1:75" ht="14.85" customHeight="1">
      <c r="A42" s="101"/>
      <c r="B42" s="135"/>
      <c r="C42" s="135"/>
      <c r="D42" s="135"/>
      <c r="E42" s="135"/>
      <c r="F42" s="135"/>
      <c r="G42" s="135"/>
      <c r="H42" s="135"/>
      <c r="I42" s="136"/>
      <c r="J42" s="136"/>
      <c r="K42" s="136"/>
      <c r="L42" s="136"/>
      <c r="M42" s="136"/>
      <c r="N42" s="136"/>
      <c r="O42" s="136"/>
      <c r="P42" s="136"/>
      <c r="Q42" s="136"/>
      <c r="R42" s="136"/>
      <c r="S42" s="136"/>
      <c r="T42" s="136"/>
      <c r="U42" s="136"/>
      <c r="V42" s="136"/>
      <c r="W42" s="136"/>
      <c r="X42" s="136"/>
      <c r="Y42" s="136"/>
      <c r="Z42" s="136"/>
      <c r="AA42" s="136"/>
      <c r="AB42" s="136"/>
      <c r="AC42" s="136"/>
      <c r="AD42" s="136"/>
      <c r="AE42" s="136"/>
      <c r="AF42" s="136"/>
      <c r="AG42" s="136"/>
      <c r="AH42" s="136"/>
      <c r="AI42" s="136"/>
      <c r="AJ42" s="136"/>
      <c r="AK42" s="136"/>
      <c r="AL42" s="136"/>
      <c r="AM42" s="136"/>
      <c r="AQ42" s="98"/>
      <c r="BA42" s="101"/>
      <c r="BU42" s="112"/>
      <c r="BV42" s="112"/>
    </row>
    <row r="43" spans="1:75" ht="14.25" customHeight="1" thickBot="1">
      <c r="A43" s="101"/>
      <c r="B43" s="91" t="s">
        <v>346</v>
      </c>
      <c r="C43" s="101"/>
      <c r="E43" s="101"/>
      <c r="H43" s="103"/>
      <c r="I43" s="137"/>
      <c r="J43" s="138"/>
      <c r="K43" s="138"/>
      <c r="L43" s="138"/>
      <c r="M43" s="137"/>
      <c r="N43" s="138"/>
      <c r="O43" s="138"/>
      <c r="P43" s="138"/>
      <c r="Q43" s="137"/>
      <c r="R43" s="138"/>
      <c r="S43" s="138"/>
      <c r="T43" s="138"/>
      <c r="U43" s="137"/>
      <c r="V43" s="138"/>
      <c r="W43" s="138"/>
      <c r="X43" s="138"/>
      <c r="Y43" s="137"/>
      <c r="Z43" s="138"/>
      <c r="AA43" s="138"/>
      <c r="AB43" s="138"/>
      <c r="AC43" s="137"/>
      <c r="AD43" s="138"/>
      <c r="AE43" s="138"/>
      <c r="AF43" s="138"/>
      <c r="AG43" s="137"/>
      <c r="AH43" s="138"/>
      <c r="AI43" s="138"/>
      <c r="AJ43" s="138"/>
      <c r="AK43" s="137"/>
      <c r="AL43" s="138"/>
      <c r="AM43" s="138"/>
      <c r="AN43" s="138"/>
      <c r="AO43" s="272" t="s">
        <v>7</v>
      </c>
      <c r="AP43" s="272"/>
      <c r="AQ43" s="272"/>
      <c r="AR43" s="272"/>
      <c r="AS43" s="272"/>
      <c r="AT43" s="272"/>
      <c r="AU43" s="272"/>
      <c r="AV43" s="179" t="str">
        <f>$AV$3</f>
        <v xml:space="preserve"> /69 </v>
      </c>
      <c r="AW43" s="179"/>
      <c r="AX43" s="179"/>
      <c r="AY43" s="179"/>
      <c r="AZ43" s="179"/>
      <c r="BA43" s="101"/>
      <c r="BU43" s="112"/>
      <c r="BV43" s="112"/>
    </row>
    <row r="44" spans="1:75" ht="14.85" customHeight="1" thickTop="1" thickBot="1">
      <c r="B44" s="355" t="s">
        <v>347</v>
      </c>
      <c r="C44" s="356"/>
      <c r="D44" s="356"/>
      <c r="E44" s="356"/>
      <c r="F44" s="356"/>
      <c r="G44" s="312" t="s">
        <v>348</v>
      </c>
      <c r="H44" s="312"/>
      <c r="I44" s="312"/>
      <c r="J44" s="312"/>
      <c r="K44" s="312"/>
      <c r="L44" s="312"/>
      <c r="M44" s="312"/>
      <c r="N44" s="312"/>
      <c r="O44" s="312"/>
      <c r="P44" s="312"/>
      <c r="Q44" s="312"/>
      <c r="R44" s="312"/>
      <c r="S44" s="312"/>
      <c r="T44" s="312"/>
      <c r="U44" s="312"/>
      <c r="V44" s="187" t="s">
        <v>417</v>
      </c>
      <c r="W44" s="187"/>
      <c r="X44" s="187"/>
      <c r="Y44" s="187"/>
      <c r="Z44" s="187"/>
      <c r="AA44" s="186" t="s">
        <v>418</v>
      </c>
      <c r="AB44" s="187"/>
      <c r="AC44" s="187"/>
      <c r="AD44" s="187"/>
      <c r="AE44" s="187"/>
      <c r="AF44" s="187" t="s">
        <v>349</v>
      </c>
      <c r="AG44" s="187"/>
      <c r="AH44" s="187"/>
      <c r="AI44" s="187" t="s">
        <v>350</v>
      </c>
      <c r="AJ44" s="187"/>
      <c r="AK44" s="186" t="s">
        <v>419</v>
      </c>
      <c r="AL44" s="187"/>
      <c r="AM44" s="187"/>
      <c r="AN44" s="187"/>
      <c r="AO44" s="187"/>
      <c r="AP44" s="361" t="s">
        <v>420</v>
      </c>
      <c r="AQ44" s="362"/>
      <c r="AR44" s="362"/>
      <c r="AS44" s="362"/>
      <c r="AT44" s="326" t="str">
        <f>IF(I7="","","1")</f>
        <v>1</v>
      </c>
      <c r="AU44" s="327"/>
      <c r="AV44" s="328"/>
      <c r="AW44" s="113"/>
      <c r="AX44" s="113"/>
      <c r="AY44" s="113"/>
      <c r="AZ44" s="113"/>
      <c r="BA44" s="113"/>
    </row>
    <row r="45" spans="1:75" ht="14.85" customHeight="1" thickTop="1" thickBot="1">
      <c r="A45" s="122"/>
      <c r="B45" s="355"/>
      <c r="C45" s="356"/>
      <c r="D45" s="356"/>
      <c r="E45" s="356"/>
      <c r="F45" s="356"/>
      <c r="G45" s="312"/>
      <c r="H45" s="312"/>
      <c r="I45" s="312"/>
      <c r="J45" s="312"/>
      <c r="K45" s="312"/>
      <c r="L45" s="312"/>
      <c r="M45" s="312"/>
      <c r="N45" s="312"/>
      <c r="O45" s="312"/>
      <c r="P45" s="312"/>
      <c r="Q45" s="312"/>
      <c r="R45" s="312"/>
      <c r="S45" s="312"/>
      <c r="T45" s="312"/>
      <c r="U45" s="312"/>
      <c r="V45" s="187"/>
      <c r="W45" s="187"/>
      <c r="X45" s="187"/>
      <c r="Y45" s="187"/>
      <c r="Z45" s="187"/>
      <c r="AA45" s="187"/>
      <c r="AB45" s="187"/>
      <c r="AC45" s="187"/>
      <c r="AD45" s="187"/>
      <c r="AE45" s="187"/>
      <c r="AF45" s="187"/>
      <c r="AG45" s="187"/>
      <c r="AH45" s="187"/>
      <c r="AI45" s="187"/>
      <c r="AJ45" s="187"/>
      <c r="AK45" s="187"/>
      <c r="AL45" s="187"/>
      <c r="AM45" s="187"/>
      <c r="AN45" s="187"/>
      <c r="AO45" s="187"/>
      <c r="AP45" s="363"/>
      <c r="AQ45" s="364"/>
      <c r="AR45" s="364"/>
      <c r="AS45" s="364"/>
      <c r="AT45" s="329"/>
      <c r="AU45" s="330"/>
      <c r="AV45" s="331"/>
      <c r="AW45" s="113"/>
      <c r="AX45" s="113"/>
      <c r="AY45" s="113"/>
      <c r="AZ45" s="113"/>
      <c r="BA45" s="113"/>
    </row>
    <row r="46" spans="1:75" ht="14.85" customHeight="1" thickTop="1">
      <c r="A46" s="109"/>
      <c r="B46" s="188" t="s">
        <v>421</v>
      </c>
      <c r="C46" s="189"/>
      <c r="D46" s="189"/>
      <c r="E46" s="189"/>
      <c r="F46" s="189"/>
      <c r="G46" s="321" t="s">
        <v>351</v>
      </c>
      <c r="H46" s="321"/>
      <c r="I46" s="321"/>
      <c r="J46" s="321"/>
      <c r="K46" s="321"/>
      <c r="L46" s="321"/>
      <c r="M46" s="321"/>
      <c r="N46" s="321"/>
      <c r="O46" s="321"/>
      <c r="P46" s="321"/>
      <c r="Q46" s="321"/>
      <c r="R46" s="321"/>
      <c r="S46" s="321"/>
      <c r="T46" s="321"/>
      <c r="U46" s="321"/>
      <c r="V46" s="367">
        <f>'Cal Ref'!V47:Y47</f>
        <v>3.0000000000000001E-3</v>
      </c>
      <c r="W46" s="368"/>
      <c r="X46" s="368"/>
      <c r="Y46" s="368"/>
      <c r="Z46" s="127" t="s">
        <v>434</v>
      </c>
      <c r="AA46" s="192" t="s">
        <v>37</v>
      </c>
      <c r="AB46" s="192"/>
      <c r="AC46" s="192"/>
      <c r="AD46" s="192"/>
      <c r="AE46" s="192"/>
      <c r="AF46" s="289">
        <v>2</v>
      </c>
      <c r="AG46" s="289"/>
      <c r="AH46" s="289"/>
      <c r="AI46" s="289">
        <v>1</v>
      </c>
      <c r="AJ46" s="289"/>
      <c r="AK46" s="290">
        <f>(V46/AF46)*AI46</f>
        <v>1.5E-3</v>
      </c>
      <c r="AL46" s="290"/>
      <c r="AM46" s="290"/>
      <c r="AN46" s="290"/>
      <c r="AO46" s="291"/>
      <c r="AP46" s="365" t="str">
        <f t="shared" ref="AP46:AP55" si="25">IF($B$8="","","∞")</f>
        <v>∞</v>
      </c>
      <c r="AQ46" s="366"/>
      <c r="AR46" s="366"/>
      <c r="AS46" s="366"/>
      <c r="AT46" s="329"/>
      <c r="AU46" s="330"/>
      <c r="AV46" s="331"/>
      <c r="AW46" s="113"/>
      <c r="AX46" s="113"/>
      <c r="AY46" s="113"/>
      <c r="AZ46" s="113"/>
      <c r="BA46" s="113"/>
    </row>
    <row r="47" spans="1:75" ht="14.85" customHeight="1">
      <c r="A47" s="109"/>
      <c r="B47" s="190" t="s">
        <v>422</v>
      </c>
      <c r="C47" s="191"/>
      <c r="D47" s="191"/>
      <c r="E47" s="191"/>
      <c r="F47" s="191"/>
      <c r="G47" s="194" t="s">
        <v>352</v>
      </c>
      <c r="H47" s="194"/>
      <c r="I47" s="194"/>
      <c r="J47" s="194"/>
      <c r="K47" s="194"/>
      <c r="L47" s="194"/>
      <c r="M47" s="194"/>
      <c r="N47" s="194"/>
      <c r="O47" s="194"/>
      <c r="P47" s="194"/>
      <c r="Q47" s="194"/>
      <c r="R47" s="194"/>
      <c r="S47" s="194"/>
      <c r="T47" s="194"/>
      <c r="U47" s="194"/>
      <c r="V47" s="317">
        <f>'Cal Ref'!V48:Y48</f>
        <v>1.6000000000000001E-3</v>
      </c>
      <c r="W47" s="318"/>
      <c r="X47" s="318"/>
      <c r="Y47" s="318"/>
      <c r="Z47" s="128" t="s">
        <v>353</v>
      </c>
      <c r="AA47" s="193" t="s">
        <v>354</v>
      </c>
      <c r="AB47" s="193"/>
      <c r="AC47" s="193"/>
      <c r="AD47" s="193"/>
      <c r="AE47" s="193"/>
      <c r="AF47" s="195" t="s">
        <v>355</v>
      </c>
      <c r="AG47" s="195"/>
      <c r="AH47" s="195"/>
      <c r="AI47" s="195">
        <v>10</v>
      </c>
      <c r="AJ47" s="195"/>
      <c r="AK47" s="196">
        <f>(V47/SQRT(3))*AI47</f>
        <v>9.2376043070340128E-3</v>
      </c>
      <c r="AL47" s="196"/>
      <c r="AM47" s="196"/>
      <c r="AN47" s="196"/>
      <c r="AO47" s="197"/>
      <c r="AP47" s="304" t="str">
        <f t="shared" si="25"/>
        <v>∞</v>
      </c>
      <c r="AQ47" s="305"/>
      <c r="AR47" s="305"/>
      <c r="AS47" s="305"/>
      <c r="AT47" s="329"/>
      <c r="AU47" s="330"/>
      <c r="AV47" s="331"/>
      <c r="AW47" s="113"/>
      <c r="AX47" s="113"/>
      <c r="AY47" s="113"/>
      <c r="AZ47" s="113"/>
      <c r="BA47" s="113"/>
    </row>
    <row r="48" spans="1:75" s="96" customFormat="1" ht="14.85" customHeight="1">
      <c r="A48" s="109"/>
      <c r="B48" s="190" t="s">
        <v>423</v>
      </c>
      <c r="C48" s="191"/>
      <c r="D48" s="191"/>
      <c r="E48" s="191"/>
      <c r="F48" s="191"/>
      <c r="G48" s="194" t="s">
        <v>356</v>
      </c>
      <c r="H48" s="194"/>
      <c r="I48" s="194"/>
      <c r="J48" s="194"/>
      <c r="K48" s="194"/>
      <c r="L48" s="194"/>
      <c r="M48" s="194"/>
      <c r="N48" s="194"/>
      <c r="O48" s="194"/>
      <c r="P48" s="194"/>
      <c r="Q48" s="194"/>
      <c r="R48" s="194"/>
      <c r="S48" s="194"/>
      <c r="T48" s="194"/>
      <c r="U48" s="194"/>
      <c r="V48" s="317">
        <f>'Cal Ref'!V49:Y49</f>
        <v>1E-3</v>
      </c>
      <c r="W48" s="318"/>
      <c r="X48" s="318"/>
      <c r="Y48" s="318"/>
      <c r="Z48" s="128" t="s">
        <v>353</v>
      </c>
      <c r="AA48" s="193" t="s">
        <v>354</v>
      </c>
      <c r="AB48" s="193"/>
      <c r="AC48" s="193"/>
      <c r="AD48" s="193"/>
      <c r="AE48" s="193"/>
      <c r="AF48" s="195">
        <v>2</v>
      </c>
      <c r="AG48" s="195"/>
      <c r="AH48" s="195"/>
      <c r="AI48" s="195">
        <v>10</v>
      </c>
      <c r="AJ48" s="195"/>
      <c r="AK48" s="196">
        <f>(V48/AF48)*AI48</f>
        <v>5.0000000000000001E-3</v>
      </c>
      <c r="AL48" s="196"/>
      <c r="AM48" s="196"/>
      <c r="AN48" s="196"/>
      <c r="AO48" s="197"/>
      <c r="AP48" s="304" t="str">
        <f t="shared" si="25"/>
        <v>∞</v>
      </c>
      <c r="AQ48" s="305"/>
      <c r="AR48" s="305"/>
      <c r="AS48" s="305"/>
      <c r="AT48" s="329"/>
      <c r="AU48" s="330"/>
      <c r="AV48" s="331"/>
      <c r="AW48" s="113"/>
      <c r="AX48" s="113"/>
      <c r="AY48" s="113"/>
      <c r="AZ48" s="113"/>
      <c r="BA48" s="113"/>
      <c r="BS48" s="97"/>
      <c r="BT48" s="97"/>
      <c r="BU48" s="97"/>
      <c r="BV48" s="97"/>
      <c r="BW48" s="97"/>
    </row>
    <row r="49" spans="1:75" s="96" customFormat="1" ht="14.85" customHeight="1">
      <c r="A49" s="109"/>
      <c r="B49" s="190" t="s">
        <v>424</v>
      </c>
      <c r="C49" s="191"/>
      <c r="D49" s="191"/>
      <c r="E49" s="191"/>
      <c r="F49" s="191"/>
      <c r="G49" s="194" t="s">
        <v>357</v>
      </c>
      <c r="H49" s="194"/>
      <c r="I49" s="194"/>
      <c r="J49" s="194"/>
      <c r="K49" s="194"/>
      <c r="L49" s="194"/>
      <c r="M49" s="194"/>
      <c r="N49" s="194"/>
      <c r="O49" s="194"/>
      <c r="P49" s="194"/>
      <c r="Q49" s="194"/>
      <c r="R49" s="194"/>
      <c r="S49" s="194"/>
      <c r="T49" s="194"/>
      <c r="U49" s="194"/>
      <c r="V49" s="317">
        <f>'Cal Ref'!V50:Y50</f>
        <v>1E-3</v>
      </c>
      <c r="W49" s="318"/>
      <c r="X49" s="318"/>
      <c r="Y49" s="318"/>
      <c r="Z49" s="128" t="s">
        <v>353</v>
      </c>
      <c r="AA49" s="193" t="s">
        <v>354</v>
      </c>
      <c r="AB49" s="193"/>
      <c r="AC49" s="193"/>
      <c r="AD49" s="193"/>
      <c r="AE49" s="193"/>
      <c r="AF49" s="195" t="s">
        <v>355</v>
      </c>
      <c r="AG49" s="195"/>
      <c r="AH49" s="195"/>
      <c r="AI49" s="195">
        <v>10</v>
      </c>
      <c r="AJ49" s="195"/>
      <c r="AK49" s="196">
        <f>(V49/SQRT(3))*AI49</f>
        <v>5.773502691896258E-3</v>
      </c>
      <c r="AL49" s="196"/>
      <c r="AM49" s="196"/>
      <c r="AN49" s="196"/>
      <c r="AO49" s="197"/>
      <c r="AP49" s="304" t="str">
        <f t="shared" si="25"/>
        <v>∞</v>
      </c>
      <c r="AQ49" s="305"/>
      <c r="AR49" s="305"/>
      <c r="AS49" s="305"/>
      <c r="AT49" s="329"/>
      <c r="AU49" s="330"/>
      <c r="AV49" s="331"/>
      <c r="AW49" s="113"/>
      <c r="AX49" s="113"/>
      <c r="AY49" s="113"/>
      <c r="AZ49" s="113"/>
      <c r="BA49" s="113"/>
      <c r="BS49" s="97"/>
      <c r="BT49" s="97"/>
      <c r="BU49" s="97"/>
      <c r="BV49" s="97"/>
      <c r="BW49" s="97"/>
    </row>
    <row r="50" spans="1:75" s="96" customFormat="1" ht="14.85" customHeight="1">
      <c r="A50" s="109"/>
      <c r="B50" s="190" t="s">
        <v>425</v>
      </c>
      <c r="C50" s="191"/>
      <c r="D50" s="191"/>
      <c r="E50" s="191"/>
      <c r="F50" s="191"/>
      <c r="G50" s="194" t="s">
        <v>358</v>
      </c>
      <c r="H50" s="194"/>
      <c r="I50" s="194"/>
      <c r="J50" s="194"/>
      <c r="K50" s="194"/>
      <c r="L50" s="194"/>
      <c r="M50" s="194"/>
      <c r="N50" s="194"/>
      <c r="O50" s="194"/>
      <c r="P50" s="194"/>
      <c r="Q50" s="194"/>
      <c r="R50" s="194"/>
      <c r="S50" s="194"/>
      <c r="T50" s="194"/>
      <c r="U50" s="194"/>
      <c r="V50" s="317">
        <f>'Cal Ref'!V51:Y51</f>
        <v>5.0000000000000002E-5</v>
      </c>
      <c r="W50" s="318"/>
      <c r="X50" s="318"/>
      <c r="Y50" s="318"/>
      <c r="Z50" s="128" t="s">
        <v>434</v>
      </c>
      <c r="AA50" s="193" t="s">
        <v>354</v>
      </c>
      <c r="AB50" s="193"/>
      <c r="AC50" s="193"/>
      <c r="AD50" s="193"/>
      <c r="AE50" s="193"/>
      <c r="AF50" s="195" t="s">
        <v>355</v>
      </c>
      <c r="AG50" s="195"/>
      <c r="AH50" s="195"/>
      <c r="AI50" s="195">
        <v>1</v>
      </c>
      <c r="AJ50" s="195"/>
      <c r="AK50" s="196">
        <f>(V50/SQRT(3))*AI50</f>
        <v>2.8867513459481293E-5</v>
      </c>
      <c r="AL50" s="196"/>
      <c r="AM50" s="196"/>
      <c r="AN50" s="196"/>
      <c r="AO50" s="197"/>
      <c r="AP50" s="304" t="str">
        <f t="shared" si="25"/>
        <v>∞</v>
      </c>
      <c r="AQ50" s="305"/>
      <c r="AR50" s="305"/>
      <c r="AS50" s="305"/>
      <c r="AT50" s="329"/>
      <c r="AU50" s="330"/>
      <c r="AV50" s="331"/>
      <c r="AW50" s="113"/>
      <c r="AX50" s="113"/>
      <c r="AY50" s="113"/>
      <c r="AZ50" s="113"/>
      <c r="BA50" s="113"/>
      <c r="BS50" s="97"/>
      <c r="BT50" s="97"/>
      <c r="BU50" s="97"/>
      <c r="BV50" s="97"/>
      <c r="BW50" s="97"/>
    </row>
    <row r="51" spans="1:75" s="96" customFormat="1" ht="14.85" customHeight="1">
      <c r="A51" s="109"/>
      <c r="B51" s="190" t="s">
        <v>426</v>
      </c>
      <c r="C51" s="191"/>
      <c r="D51" s="191"/>
      <c r="E51" s="191"/>
      <c r="F51" s="191"/>
      <c r="G51" s="194" t="s">
        <v>359</v>
      </c>
      <c r="H51" s="194"/>
      <c r="I51" s="194"/>
      <c r="J51" s="194"/>
      <c r="K51" s="194"/>
      <c r="L51" s="194"/>
      <c r="M51" s="194"/>
      <c r="N51" s="194"/>
      <c r="O51" s="194"/>
      <c r="P51" s="194"/>
      <c r="Q51" s="194"/>
      <c r="R51" s="194"/>
      <c r="S51" s="194"/>
      <c r="T51" s="194"/>
      <c r="U51" s="194"/>
      <c r="V51" s="317">
        <f>'Cal Ref'!V52:Y52</f>
        <v>0.01</v>
      </c>
      <c r="W51" s="318"/>
      <c r="X51" s="318"/>
      <c r="Y51" s="318"/>
      <c r="Z51" s="128" t="s">
        <v>434</v>
      </c>
      <c r="AA51" s="193" t="s">
        <v>354</v>
      </c>
      <c r="AB51" s="193"/>
      <c r="AC51" s="193"/>
      <c r="AD51" s="193"/>
      <c r="AE51" s="193"/>
      <c r="AF51" s="195" t="s">
        <v>355</v>
      </c>
      <c r="AG51" s="195"/>
      <c r="AH51" s="195"/>
      <c r="AI51" s="195">
        <v>1</v>
      </c>
      <c r="AJ51" s="195"/>
      <c r="AK51" s="196">
        <f>(V51/SQRT(3))*AI51</f>
        <v>5.773502691896258E-3</v>
      </c>
      <c r="AL51" s="196"/>
      <c r="AM51" s="196"/>
      <c r="AN51" s="196"/>
      <c r="AO51" s="197"/>
      <c r="AP51" s="304" t="str">
        <f t="shared" si="25"/>
        <v>∞</v>
      </c>
      <c r="AQ51" s="305"/>
      <c r="AR51" s="305"/>
      <c r="AS51" s="305"/>
      <c r="AT51" s="329"/>
      <c r="AU51" s="330"/>
      <c r="AV51" s="331"/>
      <c r="AW51" s="113"/>
      <c r="AX51" s="113"/>
      <c r="AY51" s="113"/>
      <c r="AZ51" s="113"/>
      <c r="BA51" s="113"/>
      <c r="BS51" s="97"/>
      <c r="BT51" s="97"/>
      <c r="BU51" s="97"/>
      <c r="BV51" s="97"/>
      <c r="BW51" s="97"/>
    </row>
    <row r="52" spans="1:75" s="96" customFormat="1" ht="14.85" customHeight="1">
      <c r="A52" s="109"/>
      <c r="B52" s="190" t="s">
        <v>427</v>
      </c>
      <c r="C52" s="191"/>
      <c r="D52" s="191"/>
      <c r="E52" s="191"/>
      <c r="F52" s="191"/>
      <c r="G52" s="194" t="s">
        <v>360</v>
      </c>
      <c r="H52" s="194"/>
      <c r="I52" s="194"/>
      <c r="J52" s="194"/>
      <c r="K52" s="194"/>
      <c r="L52" s="194"/>
      <c r="M52" s="194"/>
      <c r="N52" s="194"/>
      <c r="O52" s="194"/>
      <c r="P52" s="194"/>
      <c r="Q52" s="194"/>
      <c r="R52" s="194"/>
      <c r="S52" s="194"/>
      <c r="T52" s="194"/>
      <c r="U52" s="194"/>
      <c r="V52" s="317">
        <f>'Cal Ref'!V53:Y53</f>
        <v>0.01</v>
      </c>
      <c r="W52" s="318"/>
      <c r="X52" s="318"/>
      <c r="Y52" s="318"/>
      <c r="Z52" s="128" t="s">
        <v>434</v>
      </c>
      <c r="AA52" s="193" t="s">
        <v>354</v>
      </c>
      <c r="AB52" s="193"/>
      <c r="AC52" s="193"/>
      <c r="AD52" s="193"/>
      <c r="AE52" s="193"/>
      <c r="AF52" s="195" t="s">
        <v>355</v>
      </c>
      <c r="AG52" s="195"/>
      <c r="AH52" s="195"/>
      <c r="AI52" s="195">
        <v>1</v>
      </c>
      <c r="AJ52" s="195"/>
      <c r="AK52" s="196">
        <f t="shared" ref="AK52:AK54" si="26">(V52/SQRT(3))*AI52</f>
        <v>5.773502691896258E-3</v>
      </c>
      <c r="AL52" s="196"/>
      <c r="AM52" s="196"/>
      <c r="AN52" s="196"/>
      <c r="AO52" s="197"/>
      <c r="AP52" s="304" t="str">
        <f t="shared" si="25"/>
        <v>∞</v>
      </c>
      <c r="AQ52" s="305"/>
      <c r="AR52" s="305"/>
      <c r="AS52" s="305"/>
      <c r="AT52" s="329"/>
      <c r="AU52" s="330"/>
      <c r="AV52" s="331"/>
      <c r="AW52" s="113"/>
      <c r="AX52" s="113"/>
      <c r="AY52" s="113"/>
      <c r="AZ52" s="113"/>
      <c r="BA52" s="113"/>
      <c r="BS52" s="97"/>
      <c r="BT52" s="97"/>
      <c r="BU52" s="97"/>
      <c r="BV52" s="97"/>
      <c r="BW52" s="97"/>
    </row>
    <row r="53" spans="1:75" s="96" customFormat="1" ht="14.85" customHeight="1">
      <c r="A53" s="109"/>
      <c r="B53" s="190" t="s">
        <v>428</v>
      </c>
      <c r="C53" s="191"/>
      <c r="D53" s="191"/>
      <c r="E53" s="191"/>
      <c r="F53" s="191"/>
      <c r="G53" s="194" t="s">
        <v>361</v>
      </c>
      <c r="H53" s="194"/>
      <c r="I53" s="194"/>
      <c r="J53" s="194"/>
      <c r="K53" s="194"/>
      <c r="L53" s="194"/>
      <c r="M53" s="194"/>
      <c r="N53" s="194"/>
      <c r="O53" s="194"/>
      <c r="P53" s="194"/>
      <c r="Q53" s="194"/>
      <c r="R53" s="194"/>
      <c r="S53" s="194"/>
      <c r="T53" s="194"/>
      <c r="U53" s="194"/>
      <c r="V53" s="317" t="e">
        <f>$AB$3/2</f>
        <v>#VALUE!</v>
      </c>
      <c r="W53" s="318"/>
      <c r="X53" s="318"/>
      <c r="Y53" s="318"/>
      <c r="Z53" s="128" t="s">
        <v>434</v>
      </c>
      <c r="AA53" s="193" t="s">
        <v>354</v>
      </c>
      <c r="AB53" s="193"/>
      <c r="AC53" s="193"/>
      <c r="AD53" s="193"/>
      <c r="AE53" s="193"/>
      <c r="AF53" s="195" t="s">
        <v>355</v>
      </c>
      <c r="AG53" s="195"/>
      <c r="AH53" s="195"/>
      <c r="AI53" s="195">
        <v>1</v>
      </c>
      <c r="AJ53" s="195"/>
      <c r="AK53" s="196" t="e">
        <f t="shared" si="26"/>
        <v>#VALUE!</v>
      </c>
      <c r="AL53" s="196"/>
      <c r="AM53" s="196"/>
      <c r="AN53" s="196"/>
      <c r="AO53" s="197"/>
      <c r="AP53" s="304" t="str">
        <f t="shared" si="25"/>
        <v>∞</v>
      </c>
      <c r="AQ53" s="305"/>
      <c r="AR53" s="305"/>
      <c r="AS53" s="305"/>
      <c r="AT53" s="329"/>
      <c r="AU53" s="330"/>
      <c r="AV53" s="331"/>
      <c r="AW53" s="113"/>
      <c r="AX53" s="113"/>
      <c r="AY53" s="113"/>
      <c r="AZ53" s="113"/>
      <c r="BA53" s="113"/>
      <c r="BS53" s="97"/>
      <c r="BT53" s="97"/>
      <c r="BU53" s="97"/>
      <c r="BV53" s="97"/>
      <c r="BW53" s="97"/>
    </row>
    <row r="54" spans="1:75" s="96" customFormat="1" ht="14.85" customHeight="1">
      <c r="A54" s="109"/>
      <c r="B54" s="190" t="s">
        <v>429</v>
      </c>
      <c r="C54" s="191"/>
      <c r="D54" s="191"/>
      <c r="E54" s="191"/>
      <c r="F54" s="191"/>
      <c r="G54" s="194" t="s">
        <v>362</v>
      </c>
      <c r="H54" s="194"/>
      <c r="I54" s="194"/>
      <c r="J54" s="194"/>
      <c r="K54" s="194"/>
      <c r="L54" s="194"/>
      <c r="M54" s="194"/>
      <c r="N54" s="194"/>
      <c r="O54" s="194"/>
      <c r="P54" s="194"/>
      <c r="Q54" s="194"/>
      <c r="R54" s="194"/>
      <c r="S54" s="194"/>
      <c r="T54" s="194"/>
      <c r="U54" s="194"/>
      <c r="V54" s="317" t="str">
        <f>$J$24</f>
        <v/>
      </c>
      <c r="W54" s="318"/>
      <c r="X54" s="318"/>
      <c r="Y54" s="318"/>
      <c r="Z54" s="128" t="s">
        <v>434</v>
      </c>
      <c r="AA54" s="193" t="s">
        <v>354</v>
      </c>
      <c r="AB54" s="193"/>
      <c r="AC54" s="193"/>
      <c r="AD54" s="193"/>
      <c r="AE54" s="193"/>
      <c r="AF54" s="195" t="s">
        <v>355</v>
      </c>
      <c r="AG54" s="195"/>
      <c r="AH54" s="195"/>
      <c r="AI54" s="195">
        <v>1</v>
      </c>
      <c r="AJ54" s="195"/>
      <c r="AK54" s="196" t="e">
        <f t="shared" si="26"/>
        <v>#VALUE!</v>
      </c>
      <c r="AL54" s="196"/>
      <c r="AM54" s="196"/>
      <c r="AN54" s="196"/>
      <c r="AO54" s="197"/>
      <c r="AP54" s="304" t="str">
        <f t="shared" si="25"/>
        <v>∞</v>
      </c>
      <c r="AQ54" s="305"/>
      <c r="AR54" s="305"/>
      <c r="AS54" s="305"/>
      <c r="AT54" s="329"/>
      <c r="AU54" s="330"/>
      <c r="AV54" s="331"/>
      <c r="AW54" s="113"/>
      <c r="AX54" s="113"/>
      <c r="AY54" s="113"/>
      <c r="AZ54" s="113"/>
      <c r="BA54" s="113"/>
      <c r="BS54" s="97"/>
      <c r="BT54" s="97"/>
      <c r="BU54" s="97"/>
      <c r="BV54" s="97"/>
      <c r="BW54" s="97"/>
    </row>
    <row r="55" spans="1:75" s="96" customFormat="1" ht="14.85" customHeight="1">
      <c r="A55" s="109"/>
      <c r="B55" s="190" t="s">
        <v>430</v>
      </c>
      <c r="C55" s="191"/>
      <c r="D55" s="191"/>
      <c r="E55" s="191"/>
      <c r="F55" s="191"/>
      <c r="G55" s="194" t="s">
        <v>363</v>
      </c>
      <c r="H55" s="194"/>
      <c r="I55" s="194"/>
      <c r="J55" s="194"/>
      <c r="K55" s="194"/>
      <c r="L55" s="194"/>
      <c r="M55" s="194"/>
      <c r="N55" s="194"/>
      <c r="O55" s="194"/>
      <c r="P55" s="194"/>
      <c r="Q55" s="194"/>
      <c r="R55" s="194"/>
      <c r="S55" s="194"/>
      <c r="T55" s="194"/>
      <c r="U55" s="194"/>
      <c r="V55" s="317">
        <v>0</v>
      </c>
      <c r="W55" s="318"/>
      <c r="X55" s="318"/>
      <c r="Y55" s="318"/>
      <c r="Z55" s="128" t="s">
        <v>434</v>
      </c>
      <c r="AA55" s="193" t="s">
        <v>354</v>
      </c>
      <c r="AB55" s="193"/>
      <c r="AC55" s="193"/>
      <c r="AD55" s="193"/>
      <c r="AE55" s="193"/>
      <c r="AF55" s="195" t="s">
        <v>355</v>
      </c>
      <c r="AG55" s="195"/>
      <c r="AH55" s="195"/>
      <c r="AI55" s="195">
        <v>1</v>
      </c>
      <c r="AJ55" s="195"/>
      <c r="AK55" s="196">
        <f>(V55/SQRT(3))*AI55</f>
        <v>0</v>
      </c>
      <c r="AL55" s="196"/>
      <c r="AM55" s="196"/>
      <c r="AN55" s="196"/>
      <c r="AO55" s="197"/>
      <c r="AP55" s="304" t="str">
        <f t="shared" si="25"/>
        <v>∞</v>
      </c>
      <c r="AQ55" s="305"/>
      <c r="AR55" s="305"/>
      <c r="AS55" s="305"/>
      <c r="AT55" s="329"/>
      <c r="AU55" s="330"/>
      <c r="AV55" s="331"/>
      <c r="AW55" s="113"/>
      <c r="AX55" s="113"/>
      <c r="AY55" s="113"/>
      <c r="AZ55" s="113"/>
      <c r="BA55" s="113"/>
      <c r="BS55" s="97"/>
      <c r="BT55" s="97"/>
      <c r="BU55" s="97"/>
      <c r="BV55" s="97"/>
      <c r="BW55" s="97"/>
    </row>
    <row r="56" spans="1:75" s="96" customFormat="1" ht="14.85" customHeight="1">
      <c r="A56" s="109"/>
      <c r="B56" s="190" t="s">
        <v>431</v>
      </c>
      <c r="C56" s="191"/>
      <c r="D56" s="191"/>
      <c r="E56" s="191"/>
      <c r="F56" s="191"/>
      <c r="G56" s="194" t="s">
        <v>364</v>
      </c>
      <c r="H56" s="194"/>
      <c r="I56" s="194"/>
      <c r="J56" s="194"/>
      <c r="K56" s="194"/>
      <c r="L56" s="194"/>
      <c r="M56" s="194"/>
      <c r="N56" s="194"/>
      <c r="O56" s="194"/>
      <c r="P56" s="194"/>
      <c r="Q56" s="194"/>
      <c r="R56" s="194"/>
      <c r="S56" s="194"/>
      <c r="T56" s="194"/>
      <c r="U56" s="194"/>
      <c r="V56" s="317" t="str">
        <f>$E$16</f>
        <v/>
      </c>
      <c r="W56" s="318"/>
      <c r="X56" s="318"/>
      <c r="Y56" s="318"/>
      <c r="Z56" s="128" t="s">
        <v>434</v>
      </c>
      <c r="AA56" s="193" t="s">
        <v>37</v>
      </c>
      <c r="AB56" s="193"/>
      <c r="AC56" s="193"/>
      <c r="AD56" s="193"/>
      <c r="AE56" s="193"/>
      <c r="AF56" s="195">
        <v>1</v>
      </c>
      <c r="AG56" s="195"/>
      <c r="AH56" s="195"/>
      <c r="AI56" s="195">
        <f>IF($B$8="","",1)</f>
        <v>1</v>
      </c>
      <c r="AJ56" s="195"/>
      <c r="AK56" s="196" t="e">
        <f t="shared" ref="AK56" si="27">(V56/AF56)*AI56</f>
        <v>#VALUE!</v>
      </c>
      <c r="AL56" s="196"/>
      <c r="AM56" s="196"/>
      <c r="AN56" s="196"/>
      <c r="AO56" s="197"/>
      <c r="AP56" s="304">
        <v>9</v>
      </c>
      <c r="AQ56" s="305"/>
      <c r="AR56" s="305"/>
      <c r="AS56" s="305"/>
      <c r="AT56" s="329"/>
      <c r="AU56" s="330"/>
      <c r="AV56" s="331"/>
      <c r="AW56" s="113"/>
      <c r="AX56" s="113"/>
      <c r="AY56" s="113"/>
      <c r="AZ56" s="113"/>
      <c r="BA56" s="113"/>
      <c r="BS56" s="97"/>
      <c r="BT56" s="97"/>
      <c r="BU56" s="97"/>
      <c r="BV56" s="97"/>
      <c r="BW56" s="97"/>
    </row>
    <row r="57" spans="1:75" s="96" customFormat="1" ht="14.85" customHeight="1" thickBot="1">
      <c r="A57" s="109"/>
      <c r="B57" s="306" t="s">
        <v>432</v>
      </c>
      <c r="C57" s="307"/>
      <c r="D57" s="307"/>
      <c r="E57" s="307"/>
      <c r="F57" s="307"/>
      <c r="G57" s="340" t="s">
        <v>365</v>
      </c>
      <c r="H57" s="340"/>
      <c r="I57" s="340"/>
      <c r="J57" s="340"/>
      <c r="K57" s="340"/>
      <c r="L57" s="340"/>
      <c r="M57" s="340"/>
      <c r="N57" s="340"/>
      <c r="O57" s="340"/>
      <c r="P57" s="340"/>
      <c r="Q57" s="340"/>
      <c r="R57" s="340"/>
      <c r="S57" s="340"/>
      <c r="T57" s="340"/>
      <c r="U57" s="340"/>
      <c r="V57" s="319" t="str">
        <f>I$16</f>
        <v/>
      </c>
      <c r="W57" s="320"/>
      <c r="X57" s="320"/>
      <c r="Y57" s="320"/>
      <c r="Z57" s="129" t="s">
        <v>434</v>
      </c>
      <c r="AA57" s="308" t="s">
        <v>37</v>
      </c>
      <c r="AB57" s="308"/>
      <c r="AC57" s="308"/>
      <c r="AD57" s="308"/>
      <c r="AE57" s="308"/>
      <c r="AF57" s="309">
        <v>1</v>
      </c>
      <c r="AG57" s="309"/>
      <c r="AH57" s="309"/>
      <c r="AI57" s="309">
        <f>IF($B$8="","",1)</f>
        <v>1</v>
      </c>
      <c r="AJ57" s="309"/>
      <c r="AK57" s="310" t="e">
        <f>(V57/AF57)*AI57</f>
        <v>#VALUE!</v>
      </c>
      <c r="AL57" s="310"/>
      <c r="AM57" s="310"/>
      <c r="AN57" s="310"/>
      <c r="AO57" s="311"/>
      <c r="AP57" s="304">
        <v>9</v>
      </c>
      <c r="AQ57" s="305"/>
      <c r="AR57" s="305"/>
      <c r="AS57" s="305"/>
      <c r="AT57" s="329"/>
      <c r="AU57" s="330"/>
      <c r="AV57" s="331"/>
      <c r="AW57" s="113"/>
      <c r="AX57" s="113"/>
      <c r="AY57" s="113"/>
      <c r="AZ57" s="113"/>
      <c r="BA57" s="113"/>
      <c r="BS57" s="97"/>
      <c r="BT57" s="97"/>
      <c r="BU57" s="97"/>
      <c r="BV57" s="97"/>
      <c r="BW57" s="97"/>
    </row>
    <row r="58" spans="1:75" s="96" customFormat="1" ht="14.85" customHeight="1" thickTop="1" thickBot="1">
      <c r="A58" s="109"/>
      <c r="B58" s="338" t="s">
        <v>433</v>
      </c>
      <c r="C58" s="339"/>
      <c r="D58" s="339"/>
      <c r="E58" s="339"/>
      <c r="F58" s="339"/>
      <c r="G58" s="340" t="s">
        <v>366</v>
      </c>
      <c r="H58" s="340" t="s">
        <v>366</v>
      </c>
      <c r="I58" s="340" t="s">
        <v>366</v>
      </c>
      <c r="J58" s="340" t="s">
        <v>366</v>
      </c>
      <c r="K58" s="340" t="s">
        <v>366</v>
      </c>
      <c r="L58" s="340" t="s">
        <v>366</v>
      </c>
      <c r="M58" s="340" t="s">
        <v>366</v>
      </c>
      <c r="N58" s="340" t="s">
        <v>366</v>
      </c>
      <c r="O58" s="340" t="s">
        <v>366</v>
      </c>
      <c r="P58" s="340" t="s">
        <v>366</v>
      </c>
      <c r="Q58" s="340" t="s">
        <v>366</v>
      </c>
      <c r="R58" s="340" t="s">
        <v>366</v>
      </c>
      <c r="S58" s="340" t="s">
        <v>366</v>
      </c>
      <c r="T58" s="340" t="s">
        <v>366</v>
      </c>
      <c r="U58" s="340" t="s">
        <v>366</v>
      </c>
      <c r="V58" s="357"/>
      <c r="W58" s="358"/>
      <c r="X58" s="358"/>
      <c r="Y58" s="358"/>
      <c r="Z58" s="130"/>
      <c r="AA58" s="359" t="s">
        <v>37</v>
      </c>
      <c r="AB58" s="359"/>
      <c r="AC58" s="359"/>
      <c r="AD58" s="359"/>
      <c r="AE58" s="360"/>
      <c r="AF58" s="349"/>
      <c r="AG58" s="350"/>
      <c r="AH58" s="350"/>
      <c r="AI58" s="350"/>
      <c r="AJ58" s="351"/>
      <c r="AK58" s="343" t="e">
        <f>SQRT(SUMSQ(AK46:AO57))</f>
        <v>#VALUE!</v>
      </c>
      <c r="AL58" s="344"/>
      <c r="AM58" s="344"/>
      <c r="AN58" s="344"/>
      <c r="AO58" s="344"/>
      <c r="AP58" s="322" t="e">
        <f>IF(V57&lt;0.000000001,"∞",(AK58^4/((AK57^4/AP57)+(AK56^4/AP56))))</f>
        <v>#VALUE!</v>
      </c>
      <c r="AQ58" s="323"/>
      <c r="AR58" s="323"/>
      <c r="AS58" s="323"/>
      <c r="AT58" s="329"/>
      <c r="AU58" s="330"/>
      <c r="AV58" s="331"/>
      <c r="AW58" s="113"/>
      <c r="AX58" s="113"/>
      <c r="AY58" s="113"/>
      <c r="AZ58" s="113"/>
      <c r="BA58" s="113"/>
      <c r="BS58" s="97"/>
      <c r="BT58" s="97"/>
      <c r="BU58" s="97"/>
      <c r="BV58" s="97"/>
      <c r="BW58" s="97"/>
    </row>
    <row r="59" spans="1:75" s="96" customFormat="1" ht="14.85" customHeight="1" thickTop="1" thickBot="1">
      <c r="A59" s="109"/>
      <c r="B59" s="338" t="s">
        <v>368</v>
      </c>
      <c r="C59" s="339"/>
      <c r="D59" s="339"/>
      <c r="E59" s="339"/>
      <c r="F59" s="339"/>
      <c r="G59" s="340" t="s">
        <v>369</v>
      </c>
      <c r="H59" s="340" t="s">
        <v>369</v>
      </c>
      <c r="I59" s="340" t="s">
        <v>369</v>
      </c>
      <c r="J59" s="340" t="s">
        <v>369</v>
      </c>
      <c r="K59" s="340" t="s">
        <v>369</v>
      </c>
      <c r="L59" s="340" t="s">
        <v>369</v>
      </c>
      <c r="M59" s="340" t="s">
        <v>369</v>
      </c>
      <c r="N59" s="340" t="s">
        <v>369</v>
      </c>
      <c r="O59" s="340" t="s">
        <v>369</v>
      </c>
      <c r="P59" s="340" t="s">
        <v>369</v>
      </c>
      <c r="Q59" s="340" t="s">
        <v>369</v>
      </c>
      <c r="R59" s="340" t="s">
        <v>369</v>
      </c>
      <c r="S59" s="340" t="s">
        <v>369</v>
      </c>
      <c r="T59" s="340" t="s">
        <v>369</v>
      </c>
      <c r="U59" s="340" t="s">
        <v>369</v>
      </c>
      <c r="V59" s="341"/>
      <c r="W59" s="342"/>
      <c r="X59" s="342"/>
      <c r="Y59" s="342"/>
      <c r="Z59" s="131"/>
      <c r="AA59" s="345" t="s">
        <v>370</v>
      </c>
      <c r="AB59" s="346"/>
      <c r="AC59" s="347" t="e">
        <f>IF(AP58="∞",2,TINV(0.0455,AP58))</f>
        <v>#VALUE!</v>
      </c>
      <c r="AD59" s="348"/>
      <c r="AE59" s="348"/>
      <c r="AF59" s="352"/>
      <c r="AG59" s="353"/>
      <c r="AH59" s="353"/>
      <c r="AI59" s="353"/>
      <c r="AJ59" s="354"/>
      <c r="AK59" s="343" t="e">
        <f>AK58*AC59</f>
        <v>#VALUE!</v>
      </c>
      <c r="AL59" s="344"/>
      <c r="AM59" s="344"/>
      <c r="AN59" s="344"/>
      <c r="AO59" s="344"/>
      <c r="AP59" s="324" t="s">
        <v>367</v>
      </c>
      <c r="AQ59" s="325" t="s">
        <v>367</v>
      </c>
      <c r="AR59" s="325" t="s">
        <v>367</v>
      </c>
      <c r="AS59" s="325"/>
      <c r="AT59" s="332"/>
      <c r="AU59" s="333"/>
      <c r="AV59" s="334"/>
      <c r="AW59" s="113"/>
      <c r="AX59" s="113"/>
      <c r="AY59" s="113"/>
      <c r="AZ59" s="113"/>
      <c r="BA59" s="113"/>
      <c r="BS59" s="97"/>
      <c r="BT59" s="97"/>
      <c r="BU59" s="97"/>
      <c r="BV59" s="97"/>
      <c r="BW59" s="97"/>
    </row>
    <row r="60" spans="1:75" s="96" customFormat="1" ht="14.85" customHeight="1" thickTop="1" thickBot="1">
      <c r="A60" s="109"/>
      <c r="B60" s="139"/>
      <c r="C60" s="139"/>
      <c r="D60" s="139"/>
      <c r="E60" s="139"/>
      <c r="F60" s="139"/>
      <c r="G60" s="126"/>
      <c r="H60" s="126"/>
      <c r="I60" s="126"/>
      <c r="J60" s="126"/>
      <c r="K60" s="126"/>
      <c r="L60" s="126"/>
      <c r="M60" s="126"/>
      <c r="N60" s="126"/>
      <c r="O60" s="126"/>
      <c r="P60" s="126"/>
      <c r="Q60" s="126"/>
      <c r="R60" s="126"/>
      <c r="S60" s="126"/>
      <c r="T60" s="126"/>
      <c r="U60" s="126"/>
      <c r="V60" s="132"/>
      <c r="W60" s="132"/>
      <c r="X60" s="132"/>
      <c r="Y60" s="132"/>
      <c r="Z60" s="133"/>
      <c r="AA60" s="134"/>
      <c r="AB60" s="134"/>
      <c r="AC60" s="374" t="s">
        <v>371</v>
      </c>
      <c r="AD60" s="375"/>
      <c r="AE60" s="369">
        <f>IF($J$5&lt;0,0.04,0.03)</f>
        <v>0.03</v>
      </c>
      <c r="AF60" s="369"/>
      <c r="AG60" s="370"/>
      <c r="AH60" s="371" t="s">
        <v>372</v>
      </c>
      <c r="AI60" s="369"/>
      <c r="AJ60" s="369"/>
      <c r="AK60" s="372" t="e">
        <f>IF(AK59&lt;AE60,AE60,ROUNDUP(AK59,3))</f>
        <v>#VALUE!</v>
      </c>
      <c r="AL60" s="372"/>
      <c r="AM60" s="372"/>
      <c r="AN60" s="372"/>
      <c r="AO60" s="373"/>
      <c r="AP60" s="134"/>
      <c r="AQ60" s="134"/>
      <c r="AR60" s="134"/>
      <c r="AS60" s="132"/>
      <c r="AT60" s="132"/>
      <c r="AU60" s="132"/>
      <c r="AV60" s="132"/>
      <c r="AW60" s="113"/>
      <c r="AX60" s="113"/>
      <c r="AY60" s="113"/>
      <c r="AZ60" s="113"/>
      <c r="BA60" s="113"/>
      <c r="BS60" s="97"/>
      <c r="BT60" s="97"/>
      <c r="BU60" s="97"/>
      <c r="BV60" s="97"/>
      <c r="BW60" s="97"/>
    </row>
    <row r="61" spans="1:75" s="96" customFormat="1" ht="14.85" customHeight="1" thickTop="1" thickBot="1">
      <c r="A61" s="109"/>
      <c r="B61" s="139"/>
      <c r="C61" s="139"/>
      <c r="D61" s="139"/>
      <c r="E61" s="139"/>
      <c r="F61" s="139"/>
      <c r="G61" s="121"/>
      <c r="H61" s="121"/>
      <c r="I61" s="121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13"/>
      <c r="W61" s="113"/>
      <c r="X61" s="113"/>
      <c r="Y61" s="113"/>
      <c r="Z61" s="123"/>
      <c r="AA61" s="124"/>
      <c r="AB61" s="124"/>
      <c r="AC61" s="124"/>
      <c r="AD61" s="124"/>
      <c r="AE61" s="124"/>
      <c r="AF61" s="125"/>
      <c r="AG61" s="125"/>
      <c r="AH61" s="125"/>
      <c r="AI61" s="125"/>
      <c r="AJ61" s="125"/>
      <c r="AK61" s="113"/>
      <c r="AL61" s="113"/>
      <c r="AM61" s="113"/>
      <c r="AN61" s="113"/>
      <c r="AO61" s="113"/>
      <c r="AP61" s="124"/>
      <c r="AQ61" s="124"/>
      <c r="AR61" s="124"/>
      <c r="AS61" s="113"/>
      <c r="AT61" s="113"/>
      <c r="AU61" s="113"/>
      <c r="AV61" s="113"/>
      <c r="AW61" s="113"/>
      <c r="AX61" s="113"/>
      <c r="AY61" s="113"/>
      <c r="AZ61" s="113"/>
      <c r="BA61" s="113"/>
      <c r="BS61" s="97"/>
      <c r="BT61" s="97"/>
      <c r="BU61" s="97"/>
      <c r="BV61" s="97"/>
      <c r="BW61" s="97"/>
    </row>
    <row r="62" spans="1:75" s="96" customFormat="1" ht="14.85" customHeight="1" thickTop="1" thickBot="1">
      <c r="A62" s="91"/>
      <c r="B62" s="355" t="s">
        <v>347</v>
      </c>
      <c r="C62" s="356"/>
      <c r="D62" s="356"/>
      <c r="E62" s="356"/>
      <c r="F62" s="356"/>
      <c r="G62" s="312" t="s">
        <v>348</v>
      </c>
      <c r="H62" s="312"/>
      <c r="I62" s="312"/>
      <c r="J62" s="312"/>
      <c r="K62" s="312"/>
      <c r="L62" s="312"/>
      <c r="M62" s="312"/>
      <c r="N62" s="312"/>
      <c r="O62" s="312"/>
      <c r="P62" s="312"/>
      <c r="Q62" s="312"/>
      <c r="R62" s="312"/>
      <c r="S62" s="312"/>
      <c r="T62" s="312"/>
      <c r="U62" s="312"/>
      <c r="V62" s="187" t="s">
        <v>417</v>
      </c>
      <c r="W62" s="187"/>
      <c r="X62" s="187"/>
      <c r="Y62" s="187"/>
      <c r="Z62" s="187"/>
      <c r="AA62" s="186" t="s">
        <v>418</v>
      </c>
      <c r="AB62" s="187"/>
      <c r="AC62" s="187"/>
      <c r="AD62" s="187"/>
      <c r="AE62" s="187"/>
      <c r="AF62" s="187" t="s">
        <v>349</v>
      </c>
      <c r="AG62" s="187"/>
      <c r="AH62" s="187"/>
      <c r="AI62" s="187" t="s">
        <v>350</v>
      </c>
      <c r="AJ62" s="187"/>
      <c r="AK62" s="186" t="s">
        <v>419</v>
      </c>
      <c r="AL62" s="187"/>
      <c r="AM62" s="187"/>
      <c r="AN62" s="187"/>
      <c r="AO62" s="187"/>
      <c r="AP62" s="361" t="s">
        <v>420</v>
      </c>
      <c r="AQ62" s="362"/>
      <c r="AR62" s="362"/>
      <c r="AS62" s="362"/>
      <c r="AT62" s="326" t="str">
        <f>IF(M7="","",IF(M7="CH1","","2"))</f>
        <v>2</v>
      </c>
      <c r="AU62" s="327"/>
      <c r="AV62" s="328"/>
      <c r="AW62" s="113"/>
      <c r="AX62" s="113"/>
      <c r="AY62" s="113"/>
      <c r="AZ62" s="113"/>
      <c r="BA62" s="113"/>
      <c r="BS62" s="97"/>
      <c r="BT62" s="97"/>
      <c r="BU62" s="97"/>
      <c r="BV62" s="97"/>
      <c r="BW62" s="97"/>
    </row>
    <row r="63" spans="1:75" s="96" customFormat="1" ht="14.85" customHeight="1" thickTop="1" thickBot="1">
      <c r="A63" s="122"/>
      <c r="B63" s="355"/>
      <c r="C63" s="356"/>
      <c r="D63" s="356"/>
      <c r="E63" s="356"/>
      <c r="F63" s="356"/>
      <c r="G63" s="312"/>
      <c r="H63" s="312"/>
      <c r="I63" s="312"/>
      <c r="J63" s="312"/>
      <c r="K63" s="312"/>
      <c r="L63" s="312"/>
      <c r="M63" s="312"/>
      <c r="N63" s="312"/>
      <c r="O63" s="312"/>
      <c r="P63" s="312"/>
      <c r="Q63" s="312"/>
      <c r="R63" s="312"/>
      <c r="S63" s="312"/>
      <c r="T63" s="312"/>
      <c r="U63" s="312"/>
      <c r="V63" s="187"/>
      <c r="W63" s="187"/>
      <c r="X63" s="187"/>
      <c r="Y63" s="187"/>
      <c r="Z63" s="187"/>
      <c r="AA63" s="187"/>
      <c r="AB63" s="187"/>
      <c r="AC63" s="187"/>
      <c r="AD63" s="187"/>
      <c r="AE63" s="187"/>
      <c r="AF63" s="187"/>
      <c r="AG63" s="187"/>
      <c r="AH63" s="187"/>
      <c r="AI63" s="187"/>
      <c r="AJ63" s="187"/>
      <c r="AK63" s="187"/>
      <c r="AL63" s="187"/>
      <c r="AM63" s="187"/>
      <c r="AN63" s="187"/>
      <c r="AO63" s="187"/>
      <c r="AP63" s="363"/>
      <c r="AQ63" s="364"/>
      <c r="AR63" s="364"/>
      <c r="AS63" s="364"/>
      <c r="AT63" s="329"/>
      <c r="AU63" s="330"/>
      <c r="AV63" s="331"/>
      <c r="AW63" s="113"/>
      <c r="AX63" s="113"/>
      <c r="AY63" s="113"/>
      <c r="AZ63" s="113"/>
      <c r="BA63" s="113"/>
      <c r="BS63" s="97"/>
      <c r="BT63" s="97"/>
      <c r="BU63" s="97"/>
      <c r="BV63" s="97"/>
      <c r="BW63" s="97"/>
    </row>
    <row r="64" spans="1:75" s="96" customFormat="1" ht="14.85" customHeight="1" thickTop="1">
      <c r="A64" s="109"/>
      <c r="B64" s="188" t="s">
        <v>421</v>
      </c>
      <c r="C64" s="189"/>
      <c r="D64" s="189"/>
      <c r="E64" s="189"/>
      <c r="F64" s="189"/>
      <c r="G64" s="321" t="s">
        <v>351</v>
      </c>
      <c r="H64" s="321"/>
      <c r="I64" s="321"/>
      <c r="J64" s="321"/>
      <c r="K64" s="321"/>
      <c r="L64" s="321"/>
      <c r="M64" s="321"/>
      <c r="N64" s="321"/>
      <c r="O64" s="321"/>
      <c r="P64" s="321"/>
      <c r="Q64" s="321"/>
      <c r="R64" s="321"/>
      <c r="S64" s="321"/>
      <c r="T64" s="321"/>
      <c r="U64" s="321"/>
      <c r="V64" s="367">
        <f>$V$46</f>
        <v>3.0000000000000001E-3</v>
      </c>
      <c r="W64" s="368"/>
      <c r="X64" s="368"/>
      <c r="Y64" s="368"/>
      <c r="Z64" s="127" t="s">
        <v>434</v>
      </c>
      <c r="AA64" s="192" t="s">
        <v>37</v>
      </c>
      <c r="AB64" s="192"/>
      <c r="AC64" s="192"/>
      <c r="AD64" s="192"/>
      <c r="AE64" s="192"/>
      <c r="AF64" s="289">
        <v>2</v>
      </c>
      <c r="AG64" s="289"/>
      <c r="AH64" s="289"/>
      <c r="AI64" s="289">
        <v>1</v>
      </c>
      <c r="AJ64" s="289"/>
      <c r="AK64" s="290">
        <f>(V64/AF64)*AI64</f>
        <v>1.5E-3</v>
      </c>
      <c r="AL64" s="290"/>
      <c r="AM64" s="290"/>
      <c r="AN64" s="290"/>
      <c r="AO64" s="291"/>
      <c r="AP64" s="365" t="str">
        <f t="shared" ref="AP64:AP73" si="28">IF($B$8="","","∞")</f>
        <v>∞</v>
      </c>
      <c r="AQ64" s="366"/>
      <c r="AR64" s="366"/>
      <c r="AS64" s="366"/>
      <c r="AT64" s="329"/>
      <c r="AU64" s="330"/>
      <c r="AV64" s="331"/>
      <c r="AW64" s="113"/>
      <c r="AX64" s="113"/>
      <c r="AY64" s="113"/>
      <c r="AZ64" s="113"/>
      <c r="BA64" s="113"/>
      <c r="BS64" s="97"/>
      <c r="BT64" s="97"/>
      <c r="BU64" s="97"/>
      <c r="BV64" s="97"/>
      <c r="BW64" s="97"/>
    </row>
    <row r="65" spans="1:75" s="96" customFormat="1" ht="14.85" customHeight="1">
      <c r="A65" s="109"/>
      <c r="B65" s="190" t="s">
        <v>422</v>
      </c>
      <c r="C65" s="191"/>
      <c r="D65" s="191"/>
      <c r="E65" s="191"/>
      <c r="F65" s="191"/>
      <c r="G65" s="194" t="s">
        <v>352</v>
      </c>
      <c r="H65" s="194"/>
      <c r="I65" s="194"/>
      <c r="J65" s="194"/>
      <c r="K65" s="194"/>
      <c r="L65" s="194"/>
      <c r="M65" s="194"/>
      <c r="N65" s="194"/>
      <c r="O65" s="194"/>
      <c r="P65" s="194"/>
      <c r="Q65" s="194"/>
      <c r="R65" s="194"/>
      <c r="S65" s="194"/>
      <c r="T65" s="194"/>
      <c r="U65" s="194"/>
      <c r="V65" s="317">
        <f>$V$47</f>
        <v>1.6000000000000001E-3</v>
      </c>
      <c r="W65" s="318"/>
      <c r="X65" s="318"/>
      <c r="Y65" s="318"/>
      <c r="Z65" s="128" t="s">
        <v>353</v>
      </c>
      <c r="AA65" s="193" t="s">
        <v>354</v>
      </c>
      <c r="AB65" s="193"/>
      <c r="AC65" s="193"/>
      <c r="AD65" s="193"/>
      <c r="AE65" s="193"/>
      <c r="AF65" s="195" t="s">
        <v>355</v>
      </c>
      <c r="AG65" s="195"/>
      <c r="AH65" s="195"/>
      <c r="AI65" s="195">
        <v>10</v>
      </c>
      <c r="AJ65" s="195"/>
      <c r="AK65" s="196">
        <f>(V65/SQRT(3))*AI65</f>
        <v>9.2376043070340128E-3</v>
      </c>
      <c r="AL65" s="196"/>
      <c r="AM65" s="196"/>
      <c r="AN65" s="196"/>
      <c r="AO65" s="197"/>
      <c r="AP65" s="304" t="str">
        <f t="shared" si="28"/>
        <v>∞</v>
      </c>
      <c r="AQ65" s="305"/>
      <c r="AR65" s="305"/>
      <c r="AS65" s="305"/>
      <c r="AT65" s="329"/>
      <c r="AU65" s="330"/>
      <c r="AV65" s="331"/>
      <c r="AW65" s="113"/>
      <c r="AX65" s="113"/>
      <c r="AY65" s="113"/>
      <c r="AZ65" s="113"/>
      <c r="BA65" s="113"/>
      <c r="BS65" s="97"/>
      <c r="BT65" s="97"/>
      <c r="BU65" s="97"/>
      <c r="BV65" s="97"/>
      <c r="BW65" s="97"/>
    </row>
    <row r="66" spans="1:75" s="96" customFormat="1" ht="14.85" customHeight="1">
      <c r="A66" s="109"/>
      <c r="B66" s="190" t="s">
        <v>423</v>
      </c>
      <c r="C66" s="191"/>
      <c r="D66" s="191"/>
      <c r="E66" s="191"/>
      <c r="F66" s="191"/>
      <c r="G66" s="194" t="s">
        <v>356</v>
      </c>
      <c r="H66" s="194"/>
      <c r="I66" s="194"/>
      <c r="J66" s="194"/>
      <c r="K66" s="194"/>
      <c r="L66" s="194"/>
      <c r="M66" s="194"/>
      <c r="N66" s="194"/>
      <c r="O66" s="194"/>
      <c r="P66" s="194"/>
      <c r="Q66" s="194"/>
      <c r="R66" s="194"/>
      <c r="S66" s="194"/>
      <c r="T66" s="194"/>
      <c r="U66" s="194"/>
      <c r="V66" s="317">
        <f>$V$48</f>
        <v>1E-3</v>
      </c>
      <c r="W66" s="318"/>
      <c r="X66" s="318"/>
      <c r="Y66" s="318"/>
      <c r="Z66" s="128" t="s">
        <v>353</v>
      </c>
      <c r="AA66" s="193" t="s">
        <v>354</v>
      </c>
      <c r="AB66" s="193"/>
      <c r="AC66" s="193"/>
      <c r="AD66" s="193"/>
      <c r="AE66" s="193"/>
      <c r="AF66" s="195">
        <v>2</v>
      </c>
      <c r="AG66" s="195"/>
      <c r="AH66" s="195"/>
      <c r="AI66" s="195">
        <v>10</v>
      </c>
      <c r="AJ66" s="195"/>
      <c r="AK66" s="196">
        <f>(V66/AF66)*AI66</f>
        <v>5.0000000000000001E-3</v>
      </c>
      <c r="AL66" s="196"/>
      <c r="AM66" s="196"/>
      <c r="AN66" s="196"/>
      <c r="AO66" s="197"/>
      <c r="AP66" s="304" t="str">
        <f t="shared" si="28"/>
        <v>∞</v>
      </c>
      <c r="AQ66" s="305"/>
      <c r="AR66" s="305"/>
      <c r="AS66" s="305"/>
      <c r="AT66" s="329"/>
      <c r="AU66" s="330"/>
      <c r="AV66" s="331"/>
      <c r="AW66" s="113"/>
      <c r="AX66" s="113"/>
      <c r="AY66" s="113"/>
      <c r="AZ66" s="113"/>
      <c r="BA66" s="113"/>
      <c r="BS66" s="97"/>
      <c r="BT66" s="97"/>
      <c r="BU66" s="97"/>
      <c r="BV66" s="97"/>
      <c r="BW66" s="97"/>
    </row>
    <row r="67" spans="1:75" s="96" customFormat="1" ht="14.85" customHeight="1">
      <c r="A67" s="109"/>
      <c r="B67" s="190" t="s">
        <v>424</v>
      </c>
      <c r="C67" s="191"/>
      <c r="D67" s="191"/>
      <c r="E67" s="191"/>
      <c r="F67" s="191"/>
      <c r="G67" s="194" t="s">
        <v>357</v>
      </c>
      <c r="H67" s="194"/>
      <c r="I67" s="194"/>
      <c r="J67" s="194"/>
      <c r="K67" s="194"/>
      <c r="L67" s="194"/>
      <c r="M67" s="194"/>
      <c r="N67" s="194"/>
      <c r="O67" s="194"/>
      <c r="P67" s="194"/>
      <c r="Q67" s="194"/>
      <c r="R67" s="194"/>
      <c r="S67" s="194"/>
      <c r="T67" s="194"/>
      <c r="U67" s="194"/>
      <c r="V67" s="317">
        <f>$V$49</f>
        <v>1E-3</v>
      </c>
      <c r="W67" s="318"/>
      <c r="X67" s="318"/>
      <c r="Y67" s="318"/>
      <c r="Z67" s="128" t="s">
        <v>353</v>
      </c>
      <c r="AA67" s="193" t="s">
        <v>354</v>
      </c>
      <c r="AB67" s="193"/>
      <c r="AC67" s="193"/>
      <c r="AD67" s="193"/>
      <c r="AE67" s="193"/>
      <c r="AF67" s="195" t="s">
        <v>355</v>
      </c>
      <c r="AG67" s="195"/>
      <c r="AH67" s="195"/>
      <c r="AI67" s="195">
        <v>10</v>
      </c>
      <c r="AJ67" s="195"/>
      <c r="AK67" s="196">
        <f>(V67/SQRT(3))*AI67</f>
        <v>5.773502691896258E-3</v>
      </c>
      <c r="AL67" s="196"/>
      <c r="AM67" s="196"/>
      <c r="AN67" s="196"/>
      <c r="AO67" s="197"/>
      <c r="AP67" s="304" t="str">
        <f t="shared" si="28"/>
        <v>∞</v>
      </c>
      <c r="AQ67" s="305"/>
      <c r="AR67" s="305"/>
      <c r="AS67" s="305"/>
      <c r="AT67" s="329"/>
      <c r="AU67" s="330"/>
      <c r="AV67" s="331"/>
      <c r="AW67" s="113"/>
      <c r="AX67" s="113"/>
      <c r="AY67" s="113"/>
      <c r="AZ67" s="113"/>
      <c r="BA67" s="113"/>
      <c r="BS67" s="97"/>
      <c r="BT67" s="97"/>
      <c r="BU67" s="97"/>
      <c r="BV67" s="97"/>
      <c r="BW67" s="97"/>
    </row>
    <row r="68" spans="1:75" s="96" customFormat="1" ht="14.85" customHeight="1">
      <c r="A68" s="109"/>
      <c r="B68" s="190" t="s">
        <v>425</v>
      </c>
      <c r="C68" s="191"/>
      <c r="D68" s="191"/>
      <c r="E68" s="191"/>
      <c r="F68" s="191"/>
      <c r="G68" s="194" t="s">
        <v>358</v>
      </c>
      <c r="H68" s="194"/>
      <c r="I68" s="194"/>
      <c r="J68" s="194"/>
      <c r="K68" s="194"/>
      <c r="L68" s="194"/>
      <c r="M68" s="194"/>
      <c r="N68" s="194"/>
      <c r="O68" s="194"/>
      <c r="P68" s="194"/>
      <c r="Q68" s="194"/>
      <c r="R68" s="194"/>
      <c r="S68" s="194"/>
      <c r="T68" s="194"/>
      <c r="U68" s="194"/>
      <c r="V68" s="317">
        <f>$V$50</f>
        <v>5.0000000000000002E-5</v>
      </c>
      <c r="W68" s="318"/>
      <c r="X68" s="318"/>
      <c r="Y68" s="318"/>
      <c r="Z68" s="128" t="s">
        <v>434</v>
      </c>
      <c r="AA68" s="193" t="s">
        <v>354</v>
      </c>
      <c r="AB68" s="193"/>
      <c r="AC68" s="193"/>
      <c r="AD68" s="193"/>
      <c r="AE68" s="193"/>
      <c r="AF68" s="195" t="s">
        <v>355</v>
      </c>
      <c r="AG68" s="195"/>
      <c r="AH68" s="195"/>
      <c r="AI68" s="195">
        <v>1</v>
      </c>
      <c r="AJ68" s="195"/>
      <c r="AK68" s="196">
        <f>(V68/SQRT(3))*AI68</f>
        <v>2.8867513459481293E-5</v>
      </c>
      <c r="AL68" s="196"/>
      <c r="AM68" s="196"/>
      <c r="AN68" s="196"/>
      <c r="AO68" s="197"/>
      <c r="AP68" s="304" t="str">
        <f t="shared" si="28"/>
        <v>∞</v>
      </c>
      <c r="AQ68" s="305"/>
      <c r="AR68" s="305"/>
      <c r="AS68" s="305"/>
      <c r="AT68" s="329"/>
      <c r="AU68" s="330"/>
      <c r="AV68" s="331"/>
      <c r="AW68" s="113"/>
      <c r="AX68" s="113"/>
      <c r="AY68" s="113"/>
      <c r="AZ68" s="113"/>
      <c r="BA68" s="113"/>
      <c r="BS68" s="97"/>
      <c r="BT68" s="97"/>
      <c r="BU68" s="97"/>
      <c r="BV68" s="97"/>
      <c r="BW68" s="97"/>
    </row>
    <row r="69" spans="1:75" s="96" customFormat="1" ht="14.85" customHeight="1">
      <c r="A69" s="109"/>
      <c r="B69" s="190" t="s">
        <v>426</v>
      </c>
      <c r="C69" s="191"/>
      <c r="D69" s="191"/>
      <c r="E69" s="191"/>
      <c r="F69" s="191"/>
      <c r="G69" s="194" t="s">
        <v>359</v>
      </c>
      <c r="H69" s="194"/>
      <c r="I69" s="194"/>
      <c r="J69" s="194"/>
      <c r="K69" s="194"/>
      <c r="L69" s="194"/>
      <c r="M69" s="194"/>
      <c r="N69" s="194"/>
      <c r="O69" s="194"/>
      <c r="P69" s="194"/>
      <c r="Q69" s="194"/>
      <c r="R69" s="194"/>
      <c r="S69" s="194"/>
      <c r="T69" s="194"/>
      <c r="U69" s="194"/>
      <c r="V69" s="317">
        <f>$V$51</f>
        <v>0.01</v>
      </c>
      <c r="W69" s="318"/>
      <c r="X69" s="318"/>
      <c r="Y69" s="318"/>
      <c r="Z69" s="128" t="s">
        <v>434</v>
      </c>
      <c r="AA69" s="193" t="s">
        <v>354</v>
      </c>
      <c r="AB69" s="193"/>
      <c r="AC69" s="193"/>
      <c r="AD69" s="193"/>
      <c r="AE69" s="193"/>
      <c r="AF69" s="195" t="s">
        <v>355</v>
      </c>
      <c r="AG69" s="195"/>
      <c r="AH69" s="195"/>
      <c r="AI69" s="195">
        <v>1</v>
      </c>
      <c r="AJ69" s="195"/>
      <c r="AK69" s="196">
        <f>(V69/SQRT(3))*AI69</f>
        <v>5.773502691896258E-3</v>
      </c>
      <c r="AL69" s="196"/>
      <c r="AM69" s="196"/>
      <c r="AN69" s="196"/>
      <c r="AO69" s="197"/>
      <c r="AP69" s="304" t="str">
        <f t="shared" si="28"/>
        <v>∞</v>
      </c>
      <c r="AQ69" s="305"/>
      <c r="AR69" s="305"/>
      <c r="AS69" s="305"/>
      <c r="AT69" s="329"/>
      <c r="AU69" s="330"/>
      <c r="AV69" s="331"/>
      <c r="AW69" s="113"/>
      <c r="AX69" s="113"/>
      <c r="AY69" s="113"/>
      <c r="AZ69" s="113"/>
      <c r="BA69" s="113"/>
      <c r="BS69" s="97"/>
      <c r="BT69" s="97"/>
      <c r="BU69" s="97"/>
      <c r="BV69" s="97"/>
      <c r="BW69" s="97"/>
    </row>
    <row r="70" spans="1:75" s="96" customFormat="1" ht="14.85" customHeight="1">
      <c r="A70" s="109"/>
      <c r="B70" s="190" t="s">
        <v>427</v>
      </c>
      <c r="C70" s="191"/>
      <c r="D70" s="191"/>
      <c r="E70" s="191"/>
      <c r="F70" s="191"/>
      <c r="G70" s="194" t="s">
        <v>360</v>
      </c>
      <c r="H70" s="194"/>
      <c r="I70" s="194"/>
      <c r="J70" s="194"/>
      <c r="K70" s="194"/>
      <c r="L70" s="194"/>
      <c r="M70" s="194"/>
      <c r="N70" s="194"/>
      <c r="O70" s="194"/>
      <c r="P70" s="194"/>
      <c r="Q70" s="194"/>
      <c r="R70" s="194"/>
      <c r="S70" s="194"/>
      <c r="T70" s="194"/>
      <c r="U70" s="194"/>
      <c r="V70" s="317">
        <f>$V$52</f>
        <v>0.01</v>
      </c>
      <c r="W70" s="318"/>
      <c r="X70" s="318"/>
      <c r="Y70" s="318"/>
      <c r="Z70" s="128" t="s">
        <v>434</v>
      </c>
      <c r="AA70" s="193" t="s">
        <v>354</v>
      </c>
      <c r="AB70" s="193"/>
      <c r="AC70" s="193"/>
      <c r="AD70" s="193"/>
      <c r="AE70" s="193"/>
      <c r="AF70" s="195" t="s">
        <v>355</v>
      </c>
      <c r="AG70" s="195"/>
      <c r="AH70" s="195"/>
      <c r="AI70" s="195">
        <v>1</v>
      </c>
      <c r="AJ70" s="195"/>
      <c r="AK70" s="196">
        <f t="shared" ref="AK70:AK72" si="29">(V70/SQRT(3))*AI70</f>
        <v>5.773502691896258E-3</v>
      </c>
      <c r="AL70" s="196"/>
      <c r="AM70" s="196"/>
      <c r="AN70" s="196"/>
      <c r="AO70" s="197"/>
      <c r="AP70" s="304" t="str">
        <f t="shared" si="28"/>
        <v>∞</v>
      </c>
      <c r="AQ70" s="305"/>
      <c r="AR70" s="305"/>
      <c r="AS70" s="305"/>
      <c r="AT70" s="329"/>
      <c r="AU70" s="330"/>
      <c r="AV70" s="331"/>
      <c r="AW70" s="113"/>
      <c r="AX70" s="113"/>
      <c r="AY70" s="113"/>
      <c r="AZ70" s="113"/>
      <c r="BA70" s="113"/>
      <c r="BS70" s="97"/>
      <c r="BT70" s="97"/>
      <c r="BU70" s="97"/>
      <c r="BV70" s="97"/>
      <c r="BW70" s="97"/>
    </row>
    <row r="71" spans="1:75" s="96" customFormat="1" ht="14.85" customHeight="1">
      <c r="A71" s="109"/>
      <c r="B71" s="190" t="s">
        <v>428</v>
      </c>
      <c r="C71" s="191"/>
      <c r="D71" s="191"/>
      <c r="E71" s="191"/>
      <c r="F71" s="191"/>
      <c r="G71" s="194" t="s">
        <v>361</v>
      </c>
      <c r="H71" s="194"/>
      <c r="I71" s="194"/>
      <c r="J71" s="194"/>
      <c r="K71" s="194"/>
      <c r="L71" s="194"/>
      <c r="M71" s="194"/>
      <c r="N71" s="194"/>
      <c r="O71" s="194"/>
      <c r="P71" s="194"/>
      <c r="Q71" s="194"/>
      <c r="R71" s="194"/>
      <c r="S71" s="194"/>
      <c r="T71" s="194"/>
      <c r="U71" s="194"/>
      <c r="V71" s="317" t="e">
        <f>$AB$3/2</f>
        <v>#VALUE!</v>
      </c>
      <c r="W71" s="318"/>
      <c r="X71" s="318"/>
      <c r="Y71" s="318"/>
      <c r="Z71" s="128" t="s">
        <v>434</v>
      </c>
      <c r="AA71" s="193" t="s">
        <v>354</v>
      </c>
      <c r="AB71" s="193"/>
      <c r="AC71" s="193"/>
      <c r="AD71" s="193"/>
      <c r="AE71" s="193"/>
      <c r="AF71" s="195" t="s">
        <v>355</v>
      </c>
      <c r="AG71" s="195"/>
      <c r="AH71" s="195"/>
      <c r="AI71" s="195">
        <v>1</v>
      </c>
      <c r="AJ71" s="195"/>
      <c r="AK71" s="196" t="e">
        <f t="shared" si="29"/>
        <v>#VALUE!</v>
      </c>
      <c r="AL71" s="196"/>
      <c r="AM71" s="196"/>
      <c r="AN71" s="196"/>
      <c r="AO71" s="197"/>
      <c r="AP71" s="304" t="str">
        <f t="shared" si="28"/>
        <v>∞</v>
      </c>
      <c r="AQ71" s="305"/>
      <c r="AR71" s="305"/>
      <c r="AS71" s="305"/>
      <c r="AT71" s="329"/>
      <c r="AU71" s="330"/>
      <c r="AV71" s="331"/>
      <c r="AW71" s="113"/>
      <c r="AX71" s="113"/>
      <c r="AY71" s="113"/>
      <c r="AZ71" s="113"/>
      <c r="BA71" s="113"/>
      <c r="BS71" s="97"/>
      <c r="BT71" s="97"/>
      <c r="BU71" s="97"/>
      <c r="BV71" s="97"/>
      <c r="BW71" s="97"/>
    </row>
    <row r="72" spans="1:75" s="96" customFormat="1" ht="14.85" customHeight="1">
      <c r="A72" s="109"/>
      <c r="B72" s="190" t="s">
        <v>429</v>
      </c>
      <c r="C72" s="191"/>
      <c r="D72" s="191"/>
      <c r="E72" s="191"/>
      <c r="F72" s="191"/>
      <c r="G72" s="194" t="s">
        <v>362</v>
      </c>
      <c r="H72" s="194"/>
      <c r="I72" s="194"/>
      <c r="J72" s="194"/>
      <c r="K72" s="194"/>
      <c r="L72" s="194"/>
      <c r="M72" s="194"/>
      <c r="N72" s="194"/>
      <c r="O72" s="194"/>
      <c r="P72" s="194"/>
      <c r="Q72" s="194"/>
      <c r="R72" s="194"/>
      <c r="S72" s="194"/>
      <c r="T72" s="194"/>
      <c r="U72" s="194"/>
      <c r="V72" s="317" t="str">
        <f>N24</f>
        <v/>
      </c>
      <c r="W72" s="318"/>
      <c r="X72" s="318"/>
      <c r="Y72" s="318"/>
      <c r="Z72" s="128" t="s">
        <v>434</v>
      </c>
      <c r="AA72" s="193" t="s">
        <v>354</v>
      </c>
      <c r="AB72" s="193"/>
      <c r="AC72" s="193"/>
      <c r="AD72" s="193"/>
      <c r="AE72" s="193"/>
      <c r="AF72" s="195" t="s">
        <v>355</v>
      </c>
      <c r="AG72" s="195"/>
      <c r="AH72" s="195"/>
      <c r="AI72" s="195">
        <v>1</v>
      </c>
      <c r="AJ72" s="195"/>
      <c r="AK72" s="196" t="e">
        <f t="shared" si="29"/>
        <v>#VALUE!</v>
      </c>
      <c r="AL72" s="196"/>
      <c r="AM72" s="196"/>
      <c r="AN72" s="196"/>
      <c r="AO72" s="197"/>
      <c r="AP72" s="304" t="str">
        <f t="shared" si="28"/>
        <v>∞</v>
      </c>
      <c r="AQ72" s="305"/>
      <c r="AR72" s="305"/>
      <c r="AS72" s="305"/>
      <c r="AT72" s="329"/>
      <c r="AU72" s="330"/>
      <c r="AV72" s="331"/>
      <c r="AW72" s="113"/>
      <c r="AX72" s="113"/>
      <c r="AY72" s="113"/>
      <c r="AZ72" s="113"/>
      <c r="BA72" s="113"/>
      <c r="BS72" s="97"/>
      <c r="BT72" s="97"/>
      <c r="BU72" s="97"/>
      <c r="BV72" s="97"/>
      <c r="BW72" s="97"/>
    </row>
    <row r="73" spans="1:75" s="96" customFormat="1" ht="14.85" customHeight="1">
      <c r="A73" s="109"/>
      <c r="B73" s="190" t="s">
        <v>430</v>
      </c>
      <c r="C73" s="191"/>
      <c r="D73" s="191"/>
      <c r="E73" s="191"/>
      <c r="F73" s="191"/>
      <c r="G73" s="194" t="s">
        <v>363</v>
      </c>
      <c r="H73" s="194"/>
      <c r="I73" s="194"/>
      <c r="J73" s="194"/>
      <c r="K73" s="194"/>
      <c r="L73" s="194"/>
      <c r="M73" s="194"/>
      <c r="N73" s="194"/>
      <c r="O73" s="194"/>
      <c r="P73" s="194"/>
      <c r="Q73" s="194"/>
      <c r="R73" s="194"/>
      <c r="S73" s="194"/>
      <c r="T73" s="194"/>
      <c r="U73" s="194"/>
      <c r="V73" s="317">
        <v>0</v>
      </c>
      <c r="W73" s="318"/>
      <c r="X73" s="318"/>
      <c r="Y73" s="318"/>
      <c r="Z73" s="128" t="s">
        <v>434</v>
      </c>
      <c r="AA73" s="193" t="s">
        <v>354</v>
      </c>
      <c r="AB73" s="193"/>
      <c r="AC73" s="193"/>
      <c r="AD73" s="193"/>
      <c r="AE73" s="193"/>
      <c r="AF73" s="195" t="s">
        <v>355</v>
      </c>
      <c r="AG73" s="195"/>
      <c r="AH73" s="195"/>
      <c r="AI73" s="195">
        <v>1</v>
      </c>
      <c r="AJ73" s="195"/>
      <c r="AK73" s="196">
        <f>(V73/SQRT(3))*AI73</f>
        <v>0</v>
      </c>
      <c r="AL73" s="196"/>
      <c r="AM73" s="196"/>
      <c r="AN73" s="196"/>
      <c r="AO73" s="197"/>
      <c r="AP73" s="304" t="str">
        <f t="shared" si="28"/>
        <v>∞</v>
      </c>
      <c r="AQ73" s="305"/>
      <c r="AR73" s="305"/>
      <c r="AS73" s="305"/>
      <c r="AT73" s="329"/>
      <c r="AU73" s="330"/>
      <c r="AV73" s="331"/>
      <c r="AW73" s="113"/>
      <c r="AX73" s="113"/>
      <c r="AY73" s="113"/>
      <c r="AZ73" s="113"/>
      <c r="BA73" s="113"/>
      <c r="BS73" s="97"/>
      <c r="BT73" s="97"/>
      <c r="BU73" s="97"/>
      <c r="BV73" s="97"/>
      <c r="BW73" s="97"/>
    </row>
    <row r="74" spans="1:75" s="96" customFormat="1" ht="14.85" customHeight="1">
      <c r="A74" s="109"/>
      <c r="B74" s="190" t="s">
        <v>431</v>
      </c>
      <c r="C74" s="191"/>
      <c r="D74" s="191"/>
      <c r="E74" s="191"/>
      <c r="F74" s="191"/>
      <c r="G74" s="194" t="s">
        <v>364</v>
      </c>
      <c r="H74" s="194"/>
      <c r="I74" s="194"/>
      <c r="J74" s="194"/>
      <c r="K74" s="194"/>
      <c r="L74" s="194"/>
      <c r="M74" s="194"/>
      <c r="N74" s="194"/>
      <c r="O74" s="194"/>
      <c r="P74" s="194"/>
      <c r="Q74" s="194"/>
      <c r="R74" s="194"/>
      <c r="S74" s="194"/>
      <c r="T74" s="194"/>
      <c r="U74" s="194"/>
      <c r="V74" s="317" t="str">
        <f>$E$16</f>
        <v/>
      </c>
      <c r="W74" s="318"/>
      <c r="X74" s="318"/>
      <c r="Y74" s="318"/>
      <c r="Z74" s="128" t="s">
        <v>434</v>
      </c>
      <c r="AA74" s="193" t="s">
        <v>37</v>
      </c>
      <c r="AB74" s="193"/>
      <c r="AC74" s="193"/>
      <c r="AD74" s="193"/>
      <c r="AE74" s="193"/>
      <c r="AF74" s="195">
        <v>1</v>
      </c>
      <c r="AG74" s="195"/>
      <c r="AH74" s="195"/>
      <c r="AI74" s="195">
        <f>IF($B$8="","",1)</f>
        <v>1</v>
      </c>
      <c r="AJ74" s="195"/>
      <c r="AK74" s="196" t="e">
        <f t="shared" ref="AK74" si="30">(V74/AF74)*AI74</f>
        <v>#VALUE!</v>
      </c>
      <c r="AL74" s="196"/>
      <c r="AM74" s="196"/>
      <c r="AN74" s="196"/>
      <c r="AO74" s="197"/>
      <c r="AP74" s="304">
        <v>9</v>
      </c>
      <c r="AQ74" s="305"/>
      <c r="AR74" s="305"/>
      <c r="AS74" s="305"/>
      <c r="AT74" s="329"/>
      <c r="AU74" s="330"/>
      <c r="AV74" s="331"/>
      <c r="AW74" s="113"/>
      <c r="AX74" s="113"/>
      <c r="AY74" s="113"/>
      <c r="AZ74" s="113"/>
      <c r="BA74" s="113"/>
      <c r="BS74" s="97"/>
      <c r="BT74" s="97"/>
      <c r="BU74" s="97"/>
      <c r="BV74" s="97"/>
      <c r="BW74" s="97"/>
    </row>
    <row r="75" spans="1:75" s="96" customFormat="1" ht="14.85" customHeight="1" thickBot="1">
      <c r="A75" s="109"/>
      <c r="B75" s="306" t="s">
        <v>432</v>
      </c>
      <c r="C75" s="307"/>
      <c r="D75" s="307"/>
      <c r="E75" s="307"/>
      <c r="F75" s="307"/>
      <c r="G75" s="340" t="s">
        <v>365</v>
      </c>
      <c r="H75" s="340"/>
      <c r="I75" s="340"/>
      <c r="J75" s="340"/>
      <c r="K75" s="340"/>
      <c r="L75" s="340"/>
      <c r="M75" s="340"/>
      <c r="N75" s="340"/>
      <c r="O75" s="340"/>
      <c r="P75" s="340"/>
      <c r="Q75" s="340"/>
      <c r="R75" s="340"/>
      <c r="S75" s="340"/>
      <c r="T75" s="340"/>
      <c r="U75" s="340"/>
      <c r="V75" s="319" t="str">
        <f>M$16</f>
        <v/>
      </c>
      <c r="W75" s="320"/>
      <c r="X75" s="320"/>
      <c r="Y75" s="320"/>
      <c r="Z75" s="129" t="s">
        <v>434</v>
      </c>
      <c r="AA75" s="308" t="s">
        <v>37</v>
      </c>
      <c r="AB75" s="308"/>
      <c r="AC75" s="308"/>
      <c r="AD75" s="308"/>
      <c r="AE75" s="308"/>
      <c r="AF75" s="309">
        <v>1</v>
      </c>
      <c r="AG75" s="309"/>
      <c r="AH75" s="309"/>
      <c r="AI75" s="309">
        <f>IF($B$8="","",1)</f>
        <v>1</v>
      </c>
      <c r="AJ75" s="309"/>
      <c r="AK75" s="310" t="e">
        <f>(V75/AF75)*AI75</f>
        <v>#VALUE!</v>
      </c>
      <c r="AL75" s="310"/>
      <c r="AM75" s="310"/>
      <c r="AN75" s="310"/>
      <c r="AO75" s="311"/>
      <c r="AP75" s="304">
        <v>9</v>
      </c>
      <c r="AQ75" s="305"/>
      <c r="AR75" s="305"/>
      <c r="AS75" s="305"/>
      <c r="AT75" s="329"/>
      <c r="AU75" s="330"/>
      <c r="AV75" s="331"/>
      <c r="AW75" s="113"/>
      <c r="AX75" s="113"/>
      <c r="AY75" s="113"/>
      <c r="AZ75" s="113"/>
      <c r="BA75" s="113"/>
      <c r="BS75" s="97"/>
      <c r="BT75" s="97"/>
      <c r="BU75" s="97"/>
      <c r="BV75" s="97"/>
      <c r="BW75" s="97"/>
    </row>
    <row r="76" spans="1:75" s="96" customFormat="1" ht="14.85" customHeight="1" thickTop="1" thickBot="1">
      <c r="A76" s="109"/>
      <c r="B76" s="338" t="s">
        <v>433</v>
      </c>
      <c r="C76" s="339"/>
      <c r="D76" s="339"/>
      <c r="E76" s="339"/>
      <c r="F76" s="339"/>
      <c r="G76" s="340" t="s">
        <v>366</v>
      </c>
      <c r="H76" s="340" t="s">
        <v>366</v>
      </c>
      <c r="I76" s="340" t="s">
        <v>366</v>
      </c>
      <c r="J76" s="340" t="s">
        <v>366</v>
      </c>
      <c r="K76" s="340" t="s">
        <v>366</v>
      </c>
      <c r="L76" s="340" t="s">
        <v>366</v>
      </c>
      <c r="M76" s="340" t="s">
        <v>366</v>
      </c>
      <c r="N76" s="340" t="s">
        <v>366</v>
      </c>
      <c r="O76" s="340" t="s">
        <v>366</v>
      </c>
      <c r="P76" s="340" t="s">
        <v>366</v>
      </c>
      <c r="Q76" s="340" t="s">
        <v>366</v>
      </c>
      <c r="R76" s="340" t="s">
        <v>366</v>
      </c>
      <c r="S76" s="340" t="s">
        <v>366</v>
      </c>
      <c r="T76" s="340" t="s">
        <v>366</v>
      </c>
      <c r="U76" s="340" t="s">
        <v>366</v>
      </c>
      <c r="V76" s="357"/>
      <c r="W76" s="358"/>
      <c r="X76" s="358"/>
      <c r="Y76" s="358"/>
      <c r="Z76" s="130"/>
      <c r="AA76" s="359" t="s">
        <v>37</v>
      </c>
      <c r="AB76" s="359"/>
      <c r="AC76" s="359"/>
      <c r="AD76" s="359"/>
      <c r="AE76" s="360"/>
      <c r="AF76" s="349"/>
      <c r="AG76" s="350"/>
      <c r="AH76" s="350"/>
      <c r="AI76" s="350"/>
      <c r="AJ76" s="351"/>
      <c r="AK76" s="343" t="e">
        <f>SQRT(SUMSQ(AK64:AO75))</f>
        <v>#VALUE!</v>
      </c>
      <c r="AL76" s="344"/>
      <c r="AM76" s="344"/>
      <c r="AN76" s="344"/>
      <c r="AO76" s="344"/>
      <c r="AP76" s="322" t="e">
        <f>IF(V75&lt;0.000000001,"∞",(AK76^4/((AK75^4/AP75)+(AK74^4/AP74))))</f>
        <v>#VALUE!</v>
      </c>
      <c r="AQ76" s="323"/>
      <c r="AR76" s="323"/>
      <c r="AS76" s="323"/>
      <c r="AT76" s="329"/>
      <c r="AU76" s="330"/>
      <c r="AV76" s="331"/>
      <c r="AW76" s="113"/>
      <c r="AX76" s="113"/>
      <c r="AY76" s="113"/>
      <c r="AZ76" s="113"/>
      <c r="BA76" s="113"/>
      <c r="BS76" s="97"/>
      <c r="BT76" s="97"/>
      <c r="BU76" s="97"/>
      <c r="BV76" s="97"/>
      <c r="BW76" s="97"/>
    </row>
    <row r="77" spans="1:75" s="96" customFormat="1" ht="14.85" customHeight="1" thickTop="1" thickBot="1">
      <c r="A77" s="109"/>
      <c r="B77" s="338" t="s">
        <v>368</v>
      </c>
      <c r="C77" s="339"/>
      <c r="D77" s="339"/>
      <c r="E77" s="339"/>
      <c r="F77" s="339"/>
      <c r="G77" s="340" t="s">
        <v>369</v>
      </c>
      <c r="H77" s="340" t="s">
        <v>369</v>
      </c>
      <c r="I77" s="340" t="s">
        <v>369</v>
      </c>
      <c r="J77" s="340" t="s">
        <v>369</v>
      </c>
      <c r="K77" s="340" t="s">
        <v>369</v>
      </c>
      <c r="L77" s="340" t="s">
        <v>369</v>
      </c>
      <c r="M77" s="340" t="s">
        <v>369</v>
      </c>
      <c r="N77" s="340" t="s">
        <v>369</v>
      </c>
      <c r="O77" s="340" t="s">
        <v>369</v>
      </c>
      <c r="P77" s="340" t="s">
        <v>369</v>
      </c>
      <c r="Q77" s="340" t="s">
        <v>369</v>
      </c>
      <c r="R77" s="340" t="s">
        <v>369</v>
      </c>
      <c r="S77" s="340" t="s">
        <v>369</v>
      </c>
      <c r="T77" s="340" t="s">
        <v>369</v>
      </c>
      <c r="U77" s="340" t="s">
        <v>369</v>
      </c>
      <c r="V77" s="341"/>
      <c r="W77" s="342"/>
      <c r="X77" s="342"/>
      <c r="Y77" s="342"/>
      <c r="Z77" s="131"/>
      <c r="AA77" s="345" t="s">
        <v>370</v>
      </c>
      <c r="AB77" s="346"/>
      <c r="AC77" s="347" t="e">
        <f>IF(AP76="∞",2,TINV(0.0455,AP76))</f>
        <v>#VALUE!</v>
      </c>
      <c r="AD77" s="348"/>
      <c r="AE77" s="348"/>
      <c r="AF77" s="352"/>
      <c r="AG77" s="353"/>
      <c r="AH77" s="353"/>
      <c r="AI77" s="353"/>
      <c r="AJ77" s="354"/>
      <c r="AK77" s="343" t="e">
        <f>AK76*AC77</f>
        <v>#VALUE!</v>
      </c>
      <c r="AL77" s="344"/>
      <c r="AM77" s="344"/>
      <c r="AN77" s="344"/>
      <c r="AO77" s="344"/>
      <c r="AP77" s="324" t="s">
        <v>367</v>
      </c>
      <c r="AQ77" s="325" t="s">
        <v>367</v>
      </c>
      <c r="AR77" s="325" t="s">
        <v>367</v>
      </c>
      <c r="AS77" s="325"/>
      <c r="AT77" s="332"/>
      <c r="AU77" s="333"/>
      <c r="AV77" s="334"/>
      <c r="AW77" s="113"/>
      <c r="AX77" s="113"/>
      <c r="AY77" s="113"/>
      <c r="AZ77" s="113"/>
      <c r="BA77" s="113"/>
      <c r="BS77" s="97"/>
      <c r="BT77" s="97"/>
      <c r="BU77" s="97"/>
      <c r="BV77" s="97"/>
      <c r="BW77" s="97"/>
    </row>
    <row r="78" spans="1:75" s="96" customFormat="1" ht="14.85" customHeight="1" thickTop="1" thickBot="1">
      <c r="A78" s="109"/>
      <c r="B78" s="139"/>
      <c r="C78" s="139"/>
      <c r="D78" s="139"/>
      <c r="E78" s="139"/>
      <c r="F78" s="139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6"/>
      <c r="S78" s="126"/>
      <c r="T78" s="126"/>
      <c r="U78" s="126"/>
      <c r="V78" s="132"/>
      <c r="W78" s="132"/>
      <c r="X78" s="132"/>
      <c r="Y78" s="132"/>
      <c r="Z78" s="133"/>
      <c r="AA78" s="134"/>
      <c r="AB78" s="134"/>
      <c r="AC78" s="374" t="s">
        <v>371</v>
      </c>
      <c r="AD78" s="375"/>
      <c r="AE78" s="369">
        <f>IF($J$5&lt;0,0.04,0.03)</f>
        <v>0.03</v>
      </c>
      <c r="AF78" s="369"/>
      <c r="AG78" s="370"/>
      <c r="AH78" s="371" t="s">
        <v>372</v>
      </c>
      <c r="AI78" s="369"/>
      <c r="AJ78" s="369"/>
      <c r="AK78" s="372" t="e">
        <f>IF(AK77&lt;AE78,AE78,ROUNDUP(AK77,3))</f>
        <v>#VALUE!</v>
      </c>
      <c r="AL78" s="372"/>
      <c r="AM78" s="372"/>
      <c r="AN78" s="372"/>
      <c r="AO78" s="373"/>
      <c r="AP78" s="134"/>
      <c r="AQ78" s="134"/>
      <c r="AR78" s="134"/>
      <c r="AS78" s="132"/>
      <c r="AT78" s="132"/>
      <c r="AU78" s="132"/>
      <c r="AV78" s="132"/>
      <c r="AW78" s="113"/>
      <c r="AX78" s="113"/>
      <c r="AY78" s="113"/>
      <c r="AZ78" s="113"/>
      <c r="BA78" s="113"/>
      <c r="BS78" s="97"/>
      <c r="BT78" s="97"/>
      <c r="BU78" s="97"/>
      <c r="BV78" s="97"/>
      <c r="BW78" s="97"/>
    </row>
    <row r="79" spans="1:75" s="96" customFormat="1" ht="14.85" customHeight="1" thickTop="1">
      <c r="A79" s="109"/>
      <c r="B79" s="139"/>
      <c r="C79" s="139"/>
      <c r="D79" s="139"/>
      <c r="E79" s="139"/>
      <c r="F79" s="139"/>
      <c r="G79" s="121"/>
      <c r="H79" s="121"/>
      <c r="I79" s="121"/>
      <c r="J79" s="121"/>
      <c r="K79" s="121"/>
      <c r="L79" s="121"/>
      <c r="M79" s="121"/>
      <c r="N79" s="121"/>
      <c r="O79" s="121"/>
      <c r="P79" s="121"/>
      <c r="Q79" s="121"/>
      <c r="R79" s="121"/>
      <c r="S79" s="121"/>
      <c r="T79" s="121"/>
      <c r="U79" s="121"/>
      <c r="V79" s="113"/>
      <c r="W79" s="113"/>
      <c r="X79" s="113"/>
      <c r="Y79" s="113"/>
      <c r="Z79" s="123"/>
      <c r="AA79" s="124"/>
      <c r="AB79" s="124"/>
      <c r="AC79" s="124"/>
      <c r="AD79" s="124"/>
      <c r="AE79" s="124"/>
      <c r="AF79" s="125"/>
      <c r="AG79" s="125"/>
      <c r="AH79" s="125"/>
      <c r="AI79" s="125"/>
      <c r="AJ79" s="125"/>
      <c r="AK79" s="113"/>
      <c r="AL79" s="113"/>
      <c r="AM79" s="113"/>
      <c r="AN79" s="113"/>
      <c r="AO79" s="113"/>
      <c r="AP79" s="124"/>
      <c r="AQ79" s="124"/>
      <c r="AR79" s="124"/>
      <c r="AS79" s="113"/>
      <c r="AT79" s="113"/>
      <c r="AU79" s="113"/>
      <c r="AV79" s="113"/>
      <c r="AW79" s="113"/>
      <c r="AX79" s="113"/>
      <c r="AY79" s="113"/>
      <c r="AZ79" s="113"/>
      <c r="BA79" s="113"/>
      <c r="BS79" s="97"/>
      <c r="BT79" s="97"/>
      <c r="BU79" s="97"/>
      <c r="BV79" s="97"/>
      <c r="BW79" s="97"/>
    </row>
    <row r="80" spans="1:75" ht="14.85" customHeight="1">
      <c r="A80" s="101"/>
      <c r="B80" s="135"/>
      <c r="C80" s="135"/>
      <c r="D80" s="135"/>
      <c r="E80" s="135"/>
      <c r="F80" s="135"/>
      <c r="G80" s="135"/>
      <c r="H80" s="135"/>
      <c r="I80" s="136"/>
      <c r="J80" s="136"/>
      <c r="K80" s="136"/>
      <c r="L80" s="136"/>
      <c r="M80" s="136"/>
      <c r="N80" s="136"/>
      <c r="O80" s="136"/>
      <c r="P80" s="136"/>
      <c r="Q80" s="136"/>
      <c r="R80" s="136"/>
      <c r="S80" s="136"/>
      <c r="T80" s="136"/>
      <c r="U80" s="136"/>
      <c r="V80" s="136"/>
      <c r="W80" s="136"/>
      <c r="X80" s="136"/>
      <c r="Y80" s="136"/>
      <c r="Z80" s="136"/>
      <c r="AA80" s="136"/>
      <c r="AB80" s="136"/>
      <c r="AC80" s="136"/>
      <c r="AD80" s="136"/>
      <c r="AE80" s="136"/>
      <c r="AF80" s="136"/>
      <c r="AG80" s="136"/>
      <c r="AH80" s="136"/>
      <c r="AI80" s="136"/>
      <c r="AJ80" s="136"/>
      <c r="AK80" s="136"/>
      <c r="AL80" s="136"/>
      <c r="AM80" s="136"/>
      <c r="AS80" s="265" t="s">
        <v>5</v>
      </c>
      <c r="AT80" s="265"/>
      <c r="AU80" s="265"/>
      <c r="AV80" s="275">
        <f>AV41+1</f>
        <v>9</v>
      </c>
      <c r="AW80" s="275"/>
      <c r="AX80" s="94" t="s">
        <v>6</v>
      </c>
      <c r="AY80" s="275">
        <f>$AY$1</f>
        <v>1</v>
      </c>
      <c r="AZ80" s="275"/>
      <c r="BA80" s="101"/>
      <c r="BU80" s="112"/>
      <c r="BV80" s="112"/>
    </row>
    <row r="81" spans="1:75" ht="14.85" customHeight="1">
      <c r="A81" s="101"/>
      <c r="B81" s="135"/>
      <c r="C81" s="135"/>
      <c r="D81" s="135"/>
      <c r="E81" s="135"/>
      <c r="F81" s="135"/>
      <c r="G81" s="135"/>
      <c r="H81" s="135"/>
      <c r="I81" s="136"/>
      <c r="J81" s="136"/>
      <c r="K81" s="136"/>
      <c r="L81" s="136"/>
      <c r="M81" s="136"/>
      <c r="N81" s="136"/>
      <c r="O81" s="136"/>
      <c r="P81" s="136"/>
      <c r="Q81" s="136"/>
      <c r="R81" s="136"/>
      <c r="S81" s="136"/>
      <c r="T81" s="136"/>
      <c r="U81" s="136"/>
      <c r="V81" s="136"/>
      <c r="W81" s="136"/>
      <c r="X81" s="136"/>
      <c r="Y81" s="136"/>
      <c r="Z81" s="136"/>
      <c r="AA81" s="136"/>
      <c r="AB81" s="136"/>
      <c r="AC81" s="136"/>
      <c r="AD81" s="136"/>
      <c r="AE81" s="136"/>
      <c r="AF81" s="136"/>
      <c r="AG81" s="136"/>
      <c r="AH81" s="136"/>
      <c r="AI81" s="136"/>
      <c r="AJ81" s="136"/>
      <c r="AK81" s="136"/>
      <c r="AL81" s="136"/>
      <c r="AM81" s="136"/>
      <c r="AQ81" s="98"/>
      <c r="BA81" s="101"/>
      <c r="BU81" s="112"/>
      <c r="BV81" s="112"/>
    </row>
    <row r="82" spans="1:75" ht="14.25" customHeight="1" thickBot="1">
      <c r="A82" s="101"/>
      <c r="B82" s="91" t="s">
        <v>346</v>
      </c>
      <c r="C82" s="101"/>
      <c r="E82" s="101"/>
      <c r="H82" s="103"/>
      <c r="I82" s="137"/>
      <c r="J82" s="138"/>
      <c r="K82" s="138"/>
      <c r="L82" s="138"/>
      <c r="M82" s="137"/>
      <c r="N82" s="138"/>
      <c r="O82" s="138"/>
      <c r="P82" s="138"/>
      <c r="Q82" s="137"/>
      <c r="R82" s="138"/>
      <c r="S82" s="138"/>
      <c r="T82" s="138"/>
      <c r="U82" s="137"/>
      <c r="V82" s="138"/>
      <c r="W82" s="138"/>
      <c r="X82" s="138"/>
      <c r="Y82" s="137"/>
      <c r="Z82" s="138"/>
      <c r="AA82" s="138"/>
      <c r="AB82" s="138"/>
      <c r="AC82" s="137"/>
      <c r="AD82" s="138"/>
      <c r="AE82" s="138"/>
      <c r="AF82" s="138"/>
      <c r="AG82" s="137"/>
      <c r="AH82" s="138"/>
      <c r="AI82" s="138"/>
      <c r="AJ82" s="138"/>
      <c r="AK82" s="137"/>
      <c r="AL82" s="138"/>
      <c r="AM82" s="138"/>
      <c r="AN82" s="138"/>
      <c r="AO82" s="272" t="s">
        <v>7</v>
      </c>
      <c r="AP82" s="272"/>
      <c r="AQ82" s="272"/>
      <c r="AR82" s="272"/>
      <c r="AS82" s="272"/>
      <c r="AT82" s="272"/>
      <c r="AU82" s="272"/>
      <c r="AV82" s="179" t="str">
        <f>$AV$43</f>
        <v xml:space="preserve"> /69 </v>
      </c>
      <c r="AW82" s="179"/>
      <c r="AX82" s="179"/>
      <c r="AY82" s="179"/>
      <c r="AZ82" s="179"/>
      <c r="BA82" s="101"/>
      <c r="BU82" s="112"/>
      <c r="BV82" s="112"/>
    </row>
    <row r="83" spans="1:75" ht="14.85" customHeight="1" thickTop="1" thickBot="1">
      <c r="B83" s="355" t="s">
        <v>347</v>
      </c>
      <c r="C83" s="356"/>
      <c r="D83" s="356"/>
      <c r="E83" s="356"/>
      <c r="F83" s="356"/>
      <c r="G83" s="312" t="s">
        <v>348</v>
      </c>
      <c r="H83" s="312"/>
      <c r="I83" s="312"/>
      <c r="J83" s="312"/>
      <c r="K83" s="312"/>
      <c r="L83" s="312"/>
      <c r="M83" s="312"/>
      <c r="N83" s="312"/>
      <c r="O83" s="312"/>
      <c r="P83" s="312"/>
      <c r="Q83" s="312"/>
      <c r="R83" s="312"/>
      <c r="S83" s="312"/>
      <c r="T83" s="312"/>
      <c r="U83" s="312"/>
      <c r="V83" s="187" t="s">
        <v>417</v>
      </c>
      <c r="W83" s="187"/>
      <c r="X83" s="187"/>
      <c r="Y83" s="187"/>
      <c r="Z83" s="187"/>
      <c r="AA83" s="186" t="s">
        <v>418</v>
      </c>
      <c r="AB83" s="187"/>
      <c r="AC83" s="187"/>
      <c r="AD83" s="187"/>
      <c r="AE83" s="187"/>
      <c r="AF83" s="187" t="s">
        <v>349</v>
      </c>
      <c r="AG83" s="187"/>
      <c r="AH83" s="187"/>
      <c r="AI83" s="187" t="s">
        <v>350</v>
      </c>
      <c r="AJ83" s="187"/>
      <c r="AK83" s="186" t="s">
        <v>419</v>
      </c>
      <c r="AL83" s="187"/>
      <c r="AM83" s="187"/>
      <c r="AN83" s="187"/>
      <c r="AO83" s="187"/>
      <c r="AP83" s="361" t="s">
        <v>420</v>
      </c>
      <c r="AQ83" s="362"/>
      <c r="AR83" s="362"/>
      <c r="AS83" s="362"/>
      <c r="AT83" s="326" t="str">
        <f>IF(Q10="","","3")</f>
        <v/>
      </c>
      <c r="AU83" s="327"/>
      <c r="AV83" s="328"/>
      <c r="AW83" s="113"/>
      <c r="AX83" s="113"/>
      <c r="AY83" s="113"/>
      <c r="AZ83" s="113"/>
      <c r="BA83" s="113"/>
    </row>
    <row r="84" spans="1:75" ht="14.85" customHeight="1" thickTop="1" thickBot="1">
      <c r="A84" s="122"/>
      <c r="B84" s="355"/>
      <c r="C84" s="356"/>
      <c r="D84" s="356"/>
      <c r="E84" s="356"/>
      <c r="F84" s="356"/>
      <c r="G84" s="312"/>
      <c r="H84" s="312"/>
      <c r="I84" s="312"/>
      <c r="J84" s="312"/>
      <c r="K84" s="312"/>
      <c r="L84" s="312"/>
      <c r="M84" s="312"/>
      <c r="N84" s="312"/>
      <c r="O84" s="312"/>
      <c r="P84" s="312"/>
      <c r="Q84" s="312"/>
      <c r="R84" s="312"/>
      <c r="S84" s="312"/>
      <c r="T84" s="312"/>
      <c r="U84" s="312"/>
      <c r="V84" s="187"/>
      <c r="W84" s="187"/>
      <c r="X84" s="187"/>
      <c r="Y84" s="187"/>
      <c r="Z84" s="187"/>
      <c r="AA84" s="187"/>
      <c r="AB84" s="187"/>
      <c r="AC84" s="187"/>
      <c r="AD84" s="187"/>
      <c r="AE84" s="187"/>
      <c r="AF84" s="187"/>
      <c r="AG84" s="187"/>
      <c r="AH84" s="187"/>
      <c r="AI84" s="187"/>
      <c r="AJ84" s="187"/>
      <c r="AK84" s="187"/>
      <c r="AL84" s="187"/>
      <c r="AM84" s="187"/>
      <c r="AN84" s="187"/>
      <c r="AO84" s="187"/>
      <c r="AP84" s="363"/>
      <c r="AQ84" s="364"/>
      <c r="AR84" s="364"/>
      <c r="AS84" s="364"/>
      <c r="AT84" s="329"/>
      <c r="AU84" s="330"/>
      <c r="AV84" s="331"/>
      <c r="AW84" s="113"/>
      <c r="AX84" s="113"/>
      <c r="AY84" s="113"/>
      <c r="AZ84" s="113"/>
      <c r="BA84" s="113"/>
    </row>
    <row r="85" spans="1:75" ht="14.85" customHeight="1" thickTop="1">
      <c r="A85" s="109"/>
      <c r="B85" s="188" t="s">
        <v>421</v>
      </c>
      <c r="C85" s="189"/>
      <c r="D85" s="189"/>
      <c r="E85" s="189"/>
      <c r="F85" s="189"/>
      <c r="G85" s="321" t="s">
        <v>351</v>
      </c>
      <c r="H85" s="321"/>
      <c r="I85" s="321"/>
      <c r="J85" s="321"/>
      <c r="K85" s="321"/>
      <c r="L85" s="321"/>
      <c r="M85" s="321"/>
      <c r="N85" s="321"/>
      <c r="O85" s="321"/>
      <c r="P85" s="321"/>
      <c r="Q85" s="321"/>
      <c r="R85" s="321"/>
      <c r="S85" s="321"/>
      <c r="T85" s="321"/>
      <c r="U85" s="321"/>
      <c r="V85" s="367">
        <f>$V$46</f>
        <v>3.0000000000000001E-3</v>
      </c>
      <c r="W85" s="368"/>
      <c r="X85" s="368"/>
      <c r="Y85" s="368"/>
      <c r="Z85" s="127" t="s">
        <v>434</v>
      </c>
      <c r="AA85" s="192" t="s">
        <v>37</v>
      </c>
      <c r="AB85" s="192"/>
      <c r="AC85" s="192"/>
      <c r="AD85" s="192"/>
      <c r="AE85" s="192"/>
      <c r="AF85" s="289">
        <v>2</v>
      </c>
      <c r="AG85" s="289"/>
      <c r="AH85" s="289"/>
      <c r="AI85" s="289">
        <v>1</v>
      </c>
      <c r="AJ85" s="289"/>
      <c r="AK85" s="290">
        <f>(V85/AF85)*AI85</f>
        <v>1.5E-3</v>
      </c>
      <c r="AL85" s="290"/>
      <c r="AM85" s="290"/>
      <c r="AN85" s="290"/>
      <c r="AO85" s="291"/>
      <c r="AP85" s="365" t="str">
        <f t="shared" ref="AP85:AP94" si="31">IF($B$8="","","∞")</f>
        <v>∞</v>
      </c>
      <c r="AQ85" s="366"/>
      <c r="AR85" s="366"/>
      <c r="AS85" s="366"/>
      <c r="AT85" s="329"/>
      <c r="AU85" s="330"/>
      <c r="AV85" s="331"/>
      <c r="AW85" s="113"/>
      <c r="AX85" s="113"/>
      <c r="AY85" s="113"/>
      <c r="AZ85" s="113"/>
      <c r="BA85" s="113"/>
    </row>
    <row r="86" spans="1:75" ht="14.85" customHeight="1">
      <c r="A86" s="109"/>
      <c r="B86" s="190" t="s">
        <v>422</v>
      </c>
      <c r="C86" s="191"/>
      <c r="D86" s="191"/>
      <c r="E86" s="191"/>
      <c r="F86" s="191"/>
      <c r="G86" s="194" t="s">
        <v>352</v>
      </c>
      <c r="H86" s="194"/>
      <c r="I86" s="194"/>
      <c r="J86" s="194"/>
      <c r="K86" s="194"/>
      <c r="L86" s="194"/>
      <c r="M86" s="194"/>
      <c r="N86" s="194"/>
      <c r="O86" s="194"/>
      <c r="P86" s="194"/>
      <c r="Q86" s="194"/>
      <c r="R86" s="194"/>
      <c r="S86" s="194"/>
      <c r="T86" s="194"/>
      <c r="U86" s="194"/>
      <c r="V86" s="317">
        <f>$V$47</f>
        <v>1.6000000000000001E-3</v>
      </c>
      <c r="W86" s="318"/>
      <c r="X86" s="318"/>
      <c r="Y86" s="318"/>
      <c r="Z86" s="128" t="s">
        <v>353</v>
      </c>
      <c r="AA86" s="193" t="s">
        <v>354</v>
      </c>
      <c r="AB86" s="193"/>
      <c r="AC86" s="193"/>
      <c r="AD86" s="193"/>
      <c r="AE86" s="193"/>
      <c r="AF86" s="195" t="s">
        <v>355</v>
      </c>
      <c r="AG86" s="195"/>
      <c r="AH86" s="195"/>
      <c r="AI86" s="195">
        <v>10</v>
      </c>
      <c r="AJ86" s="195"/>
      <c r="AK86" s="196">
        <f>(V86/SQRT(3))*AI86</f>
        <v>9.2376043070340128E-3</v>
      </c>
      <c r="AL86" s="196"/>
      <c r="AM86" s="196"/>
      <c r="AN86" s="196"/>
      <c r="AO86" s="197"/>
      <c r="AP86" s="304" t="str">
        <f t="shared" si="31"/>
        <v>∞</v>
      </c>
      <c r="AQ86" s="305"/>
      <c r="AR86" s="305"/>
      <c r="AS86" s="305"/>
      <c r="AT86" s="329"/>
      <c r="AU86" s="330"/>
      <c r="AV86" s="331"/>
      <c r="AW86" s="113"/>
      <c r="AX86" s="113"/>
      <c r="AY86" s="113"/>
      <c r="AZ86" s="113"/>
      <c r="BA86" s="113"/>
    </row>
    <row r="87" spans="1:75" ht="14.85" customHeight="1">
      <c r="A87" s="109"/>
      <c r="B87" s="190" t="s">
        <v>423</v>
      </c>
      <c r="C87" s="191"/>
      <c r="D87" s="191"/>
      <c r="E87" s="191"/>
      <c r="F87" s="191"/>
      <c r="G87" s="194" t="s">
        <v>356</v>
      </c>
      <c r="H87" s="194"/>
      <c r="I87" s="194"/>
      <c r="J87" s="194"/>
      <c r="K87" s="194"/>
      <c r="L87" s="194"/>
      <c r="M87" s="194"/>
      <c r="N87" s="194"/>
      <c r="O87" s="194"/>
      <c r="P87" s="194"/>
      <c r="Q87" s="194"/>
      <c r="R87" s="194"/>
      <c r="S87" s="194"/>
      <c r="T87" s="194"/>
      <c r="U87" s="194"/>
      <c r="V87" s="317">
        <f>$V$48</f>
        <v>1E-3</v>
      </c>
      <c r="W87" s="318"/>
      <c r="X87" s="318"/>
      <c r="Y87" s="318"/>
      <c r="Z87" s="128" t="s">
        <v>353</v>
      </c>
      <c r="AA87" s="193" t="s">
        <v>354</v>
      </c>
      <c r="AB87" s="193"/>
      <c r="AC87" s="193"/>
      <c r="AD87" s="193"/>
      <c r="AE87" s="193"/>
      <c r="AF87" s="195">
        <v>2</v>
      </c>
      <c r="AG87" s="195"/>
      <c r="AH87" s="195"/>
      <c r="AI87" s="195">
        <v>10</v>
      </c>
      <c r="AJ87" s="195"/>
      <c r="AK87" s="196">
        <f>(V87/AF87)*AI87</f>
        <v>5.0000000000000001E-3</v>
      </c>
      <c r="AL87" s="196"/>
      <c r="AM87" s="196"/>
      <c r="AN87" s="196"/>
      <c r="AO87" s="197"/>
      <c r="AP87" s="304" t="str">
        <f t="shared" si="31"/>
        <v>∞</v>
      </c>
      <c r="AQ87" s="305"/>
      <c r="AR87" s="305"/>
      <c r="AS87" s="305"/>
      <c r="AT87" s="329"/>
      <c r="AU87" s="330"/>
      <c r="AV87" s="331"/>
      <c r="AW87" s="113"/>
      <c r="AX87" s="113"/>
      <c r="AY87" s="113"/>
      <c r="AZ87" s="113"/>
      <c r="BA87" s="113"/>
    </row>
    <row r="88" spans="1:75" ht="14.85" customHeight="1">
      <c r="A88" s="109"/>
      <c r="B88" s="190" t="s">
        <v>424</v>
      </c>
      <c r="C88" s="191"/>
      <c r="D88" s="191"/>
      <c r="E88" s="191"/>
      <c r="F88" s="191"/>
      <c r="G88" s="194" t="s">
        <v>357</v>
      </c>
      <c r="H88" s="194"/>
      <c r="I88" s="194"/>
      <c r="J88" s="194"/>
      <c r="K88" s="194"/>
      <c r="L88" s="194"/>
      <c r="M88" s="194"/>
      <c r="N88" s="194"/>
      <c r="O88" s="194"/>
      <c r="P88" s="194"/>
      <c r="Q88" s="194"/>
      <c r="R88" s="194"/>
      <c r="S88" s="194"/>
      <c r="T88" s="194"/>
      <c r="U88" s="194"/>
      <c r="V88" s="317">
        <f>$V$49</f>
        <v>1E-3</v>
      </c>
      <c r="W88" s="318"/>
      <c r="X88" s="318"/>
      <c r="Y88" s="318"/>
      <c r="Z88" s="128" t="s">
        <v>353</v>
      </c>
      <c r="AA88" s="193" t="s">
        <v>354</v>
      </c>
      <c r="AB88" s="193"/>
      <c r="AC88" s="193"/>
      <c r="AD88" s="193"/>
      <c r="AE88" s="193"/>
      <c r="AF88" s="195" t="s">
        <v>355</v>
      </c>
      <c r="AG88" s="195"/>
      <c r="AH88" s="195"/>
      <c r="AI88" s="195">
        <v>10</v>
      </c>
      <c r="AJ88" s="195"/>
      <c r="AK88" s="196">
        <f>(V88/SQRT(3))*AI88</f>
        <v>5.773502691896258E-3</v>
      </c>
      <c r="AL88" s="196"/>
      <c r="AM88" s="196"/>
      <c r="AN88" s="196"/>
      <c r="AO88" s="197"/>
      <c r="AP88" s="304" t="str">
        <f t="shared" si="31"/>
        <v>∞</v>
      </c>
      <c r="AQ88" s="305"/>
      <c r="AR88" s="305"/>
      <c r="AS88" s="305"/>
      <c r="AT88" s="329"/>
      <c r="AU88" s="330"/>
      <c r="AV88" s="331"/>
      <c r="AW88" s="113"/>
      <c r="AX88" s="113"/>
      <c r="AY88" s="113"/>
      <c r="AZ88" s="113"/>
      <c r="BA88" s="113"/>
    </row>
    <row r="89" spans="1:75" ht="14.85" customHeight="1">
      <c r="A89" s="109"/>
      <c r="B89" s="190" t="s">
        <v>425</v>
      </c>
      <c r="C89" s="191"/>
      <c r="D89" s="191"/>
      <c r="E89" s="191"/>
      <c r="F89" s="191"/>
      <c r="G89" s="194" t="s">
        <v>358</v>
      </c>
      <c r="H89" s="194"/>
      <c r="I89" s="194"/>
      <c r="J89" s="194"/>
      <c r="K89" s="194"/>
      <c r="L89" s="194"/>
      <c r="M89" s="194"/>
      <c r="N89" s="194"/>
      <c r="O89" s="194"/>
      <c r="P89" s="194"/>
      <c r="Q89" s="194"/>
      <c r="R89" s="194"/>
      <c r="S89" s="194"/>
      <c r="T89" s="194"/>
      <c r="U89" s="194"/>
      <c r="V89" s="317">
        <f>$V$50</f>
        <v>5.0000000000000002E-5</v>
      </c>
      <c r="W89" s="318"/>
      <c r="X89" s="318"/>
      <c r="Y89" s="318"/>
      <c r="Z89" s="128" t="s">
        <v>434</v>
      </c>
      <c r="AA89" s="193" t="s">
        <v>354</v>
      </c>
      <c r="AB89" s="193"/>
      <c r="AC89" s="193"/>
      <c r="AD89" s="193"/>
      <c r="AE89" s="193"/>
      <c r="AF89" s="195" t="s">
        <v>355</v>
      </c>
      <c r="AG89" s="195"/>
      <c r="AH89" s="195"/>
      <c r="AI89" s="195">
        <v>1</v>
      </c>
      <c r="AJ89" s="195"/>
      <c r="AK89" s="196">
        <f>(V89/SQRT(3))*AI89</f>
        <v>2.8867513459481293E-5</v>
      </c>
      <c r="AL89" s="196"/>
      <c r="AM89" s="196"/>
      <c r="AN89" s="196"/>
      <c r="AO89" s="197"/>
      <c r="AP89" s="304" t="str">
        <f t="shared" si="31"/>
        <v>∞</v>
      </c>
      <c r="AQ89" s="305"/>
      <c r="AR89" s="305"/>
      <c r="AS89" s="305"/>
      <c r="AT89" s="329"/>
      <c r="AU89" s="330"/>
      <c r="AV89" s="331"/>
      <c r="AW89" s="113"/>
      <c r="AX89" s="113"/>
      <c r="AY89" s="113"/>
      <c r="AZ89" s="113"/>
      <c r="BA89" s="113"/>
    </row>
    <row r="90" spans="1:75" ht="14.85" customHeight="1">
      <c r="A90" s="109"/>
      <c r="B90" s="190" t="s">
        <v>426</v>
      </c>
      <c r="C90" s="191"/>
      <c r="D90" s="191"/>
      <c r="E90" s="191"/>
      <c r="F90" s="191"/>
      <c r="G90" s="194" t="s">
        <v>359</v>
      </c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194"/>
      <c r="T90" s="194"/>
      <c r="U90" s="194"/>
      <c r="V90" s="317">
        <f>$V$51</f>
        <v>0.01</v>
      </c>
      <c r="W90" s="318"/>
      <c r="X90" s="318"/>
      <c r="Y90" s="318"/>
      <c r="Z90" s="128" t="s">
        <v>434</v>
      </c>
      <c r="AA90" s="193" t="s">
        <v>354</v>
      </c>
      <c r="AB90" s="193"/>
      <c r="AC90" s="193"/>
      <c r="AD90" s="193"/>
      <c r="AE90" s="193"/>
      <c r="AF90" s="195" t="s">
        <v>355</v>
      </c>
      <c r="AG90" s="195"/>
      <c r="AH90" s="195"/>
      <c r="AI90" s="195">
        <v>1</v>
      </c>
      <c r="AJ90" s="195"/>
      <c r="AK90" s="196">
        <f>(V90/SQRT(3))*AI90</f>
        <v>5.773502691896258E-3</v>
      </c>
      <c r="AL90" s="196"/>
      <c r="AM90" s="196"/>
      <c r="AN90" s="196"/>
      <c r="AO90" s="197"/>
      <c r="AP90" s="304" t="str">
        <f t="shared" si="31"/>
        <v>∞</v>
      </c>
      <c r="AQ90" s="305"/>
      <c r="AR90" s="305"/>
      <c r="AS90" s="305"/>
      <c r="AT90" s="329"/>
      <c r="AU90" s="330"/>
      <c r="AV90" s="331"/>
      <c r="AW90" s="113"/>
      <c r="AX90" s="113"/>
      <c r="AY90" s="113"/>
      <c r="AZ90" s="113"/>
      <c r="BA90" s="113"/>
    </row>
    <row r="91" spans="1:75" ht="14.85" customHeight="1">
      <c r="A91" s="109"/>
      <c r="B91" s="190" t="s">
        <v>427</v>
      </c>
      <c r="C91" s="191"/>
      <c r="D91" s="191"/>
      <c r="E91" s="191"/>
      <c r="F91" s="191"/>
      <c r="G91" s="194" t="s">
        <v>360</v>
      </c>
      <c r="H91" s="194"/>
      <c r="I91" s="194"/>
      <c r="J91" s="194"/>
      <c r="K91" s="194"/>
      <c r="L91" s="194"/>
      <c r="M91" s="194"/>
      <c r="N91" s="194"/>
      <c r="O91" s="194"/>
      <c r="P91" s="194"/>
      <c r="Q91" s="194"/>
      <c r="R91" s="194"/>
      <c r="S91" s="194"/>
      <c r="T91" s="194"/>
      <c r="U91" s="194"/>
      <c r="V91" s="317">
        <f>$V$52</f>
        <v>0.01</v>
      </c>
      <c r="W91" s="318"/>
      <c r="X91" s="318"/>
      <c r="Y91" s="318"/>
      <c r="Z91" s="128" t="s">
        <v>434</v>
      </c>
      <c r="AA91" s="193" t="s">
        <v>354</v>
      </c>
      <c r="AB91" s="193"/>
      <c r="AC91" s="193"/>
      <c r="AD91" s="193"/>
      <c r="AE91" s="193"/>
      <c r="AF91" s="195" t="s">
        <v>355</v>
      </c>
      <c r="AG91" s="195"/>
      <c r="AH91" s="195"/>
      <c r="AI91" s="195">
        <v>1</v>
      </c>
      <c r="AJ91" s="195"/>
      <c r="AK91" s="196">
        <f t="shared" ref="AK91:AK93" si="32">(V91/SQRT(3))*AI91</f>
        <v>5.773502691896258E-3</v>
      </c>
      <c r="AL91" s="196"/>
      <c r="AM91" s="196"/>
      <c r="AN91" s="196"/>
      <c r="AO91" s="197"/>
      <c r="AP91" s="304" t="str">
        <f t="shared" si="31"/>
        <v>∞</v>
      </c>
      <c r="AQ91" s="305"/>
      <c r="AR91" s="305"/>
      <c r="AS91" s="305"/>
      <c r="AT91" s="329"/>
      <c r="AU91" s="330"/>
      <c r="AV91" s="331"/>
      <c r="AW91" s="113"/>
      <c r="AX91" s="113"/>
      <c r="AY91" s="113"/>
      <c r="AZ91" s="113"/>
      <c r="BA91" s="113"/>
    </row>
    <row r="92" spans="1:75" ht="14.85" customHeight="1">
      <c r="A92" s="109"/>
      <c r="B92" s="190" t="s">
        <v>428</v>
      </c>
      <c r="C92" s="191"/>
      <c r="D92" s="191"/>
      <c r="E92" s="191"/>
      <c r="F92" s="191"/>
      <c r="G92" s="194" t="s">
        <v>361</v>
      </c>
      <c r="H92" s="194"/>
      <c r="I92" s="194"/>
      <c r="J92" s="194"/>
      <c r="K92" s="194"/>
      <c r="L92" s="194"/>
      <c r="M92" s="194"/>
      <c r="N92" s="194"/>
      <c r="O92" s="194"/>
      <c r="P92" s="194"/>
      <c r="Q92" s="194"/>
      <c r="R92" s="194"/>
      <c r="S92" s="194"/>
      <c r="T92" s="194"/>
      <c r="U92" s="194"/>
      <c r="V92" s="317" t="e">
        <f>$AB$3/2</f>
        <v>#VALUE!</v>
      </c>
      <c r="W92" s="318"/>
      <c r="X92" s="318"/>
      <c r="Y92" s="318"/>
      <c r="Z92" s="128" t="s">
        <v>434</v>
      </c>
      <c r="AA92" s="193" t="s">
        <v>354</v>
      </c>
      <c r="AB92" s="193"/>
      <c r="AC92" s="193"/>
      <c r="AD92" s="193"/>
      <c r="AE92" s="193"/>
      <c r="AF92" s="195" t="s">
        <v>355</v>
      </c>
      <c r="AG92" s="195"/>
      <c r="AH92" s="195"/>
      <c r="AI92" s="195">
        <v>1</v>
      </c>
      <c r="AJ92" s="195"/>
      <c r="AK92" s="196" t="e">
        <f t="shared" si="32"/>
        <v>#VALUE!</v>
      </c>
      <c r="AL92" s="196"/>
      <c r="AM92" s="196"/>
      <c r="AN92" s="196"/>
      <c r="AO92" s="197"/>
      <c r="AP92" s="304" t="str">
        <f t="shared" si="31"/>
        <v>∞</v>
      </c>
      <c r="AQ92" s="305"/>
      <c r="AR92" s="305"/>
      <c r="AS92" s="305"/>
      <c r="AT92" s="329"/>
      <c r="AU92" s="330"/>
      <c r="AV92" s="331"/>
      <c r="AW92" s="113"/>
      <c r="AX92" s="113"/>
      <c r="AY92" s="113"/>
      <c r="AZ92" s="113"/>
      <c r="BA92" s="113"/>
    </row>
    <row r="93" spans="1:75" ht="14.85" customHeight="1">
      <c r="A93" s="109"/>
      <c r="B93" s="190" t="s">
        <v>429</v>
      </c>
      <c r="C93" s="191"/>
      <c r="D93" s="191"/>
      <c r="E93" s="191"/>
      <c r="F93" s="191"/>
      <c r="G93" s="194" t="s">
        <v>362</v>
      </c>
      <c r="H93" s="194"/>
      <c r="I93" s="194"/>
      <c r="J93" s="194"/>
      <c r="K93" s="194"/>
      <c r="L93" s="194"/>
      <c r="M93" s="194"/>
      <c r="N93" s="194"/>
      <c r="O93" s="194"/>
      <c r="P93" s="194"/>
      <c r="Q93" s="194"/>
      <c r="R93" s="194"/>
      <c r="S93" s="194"/>
      <c r="T93" s="194"/>
      <c r="U93" s="194"/>
      <c r="V93" s="317" t="str">
        <f>R24</f>
        <v/>
      </c>
      <c r="W93" s="318"/>
      <c r="X93" s="318"/>
      <c r="Y93" s="318"/>
      <c r="Z93" s="128" t="s">
        <v>434</v>
      </c>
      <c r="AA93" s="193" t="s">
        <v>354</v>
      </c>
      <c r="AB93" s="193"/>
      <c r="AC93" s="193"/>
      <c r="AD93" s="193"/>
      <c r="AE93" s="193"/>
      <c r="AF93" s="195" t="s">
        <v>355</v>
      </c>
      <c r="AG93" s="195"/>
      <c r="AH93" s="195"/>
      <c r="AI93" s="195">
        <v>1</v>
      </c>
      <c r="AJ93" s="195"/>
      <c r="AK93" s="196" t="e">
        <f t="shared" si="32"/>
        <v>#VALUE!</v>
      </c>
      <c r="AL93" s="196"/>
      <c r="AM93" s="196"/>
      <c r="AN93" s="196"/>
      <c r="AO93" s="197"/>
      <c r="AP93" s="304" t="str">
        <f t="shared" si="31"/>
        <v>∞</v>
      </c>
      <c r="AQ93" s="305"/>
      <c r="AR93" s="305"/>
      <c r="AS93" s="305"/>
      <c r="AT93" s="329"/>
      <c r="AU93" s="330"/>
      <c r="AV93" s="331"/>
      <c r="AW93" s="113"/>
      <c r="AX93" s="113"/>
      <c r="AY93" s="113"/>
      <c r="AZ93" s="113"/>
      <c r="BA93" s="113"/>
    </row>
    <row r="94" spans="1:75" ht="14.85" customHeight="1">
      <c r="A94" s="109"/>
      <c r="B94" s="190" t="s">
        <v>430</v>
      </c>
      <c r="C94" s="191"/>
      <c r="D94" s="191"/>
      <c r="E94" s="191"/>
      <c r="F94" s="191"/>
      <c r="G94" s="194" t="s">
        <v>363</v>
      </c>
      <c r="H94" s="194"/>
      <c r="I94" s="194"/>
      <c r="J94" s="194"/>
      <c r="K94" s="194"/>
      <c r="L94" s="194"/>
      <c r="M94" s="194"/>
      <c r="N94" s="194"/>
      <c r="O94" s="194"/>
      <c r="P94" s="194"/>
      <c r="Q94" s="194"/>
      <c r="R94" s="194"/>
      <c r="S94" s="194"/>
      <c r="T94" s="194"/>
      <c r="U94" s="194"/>
      <c r="V94" s="317">
        <v>0</v>
      </c>
      <c r="W94" s="318"/>
      <c r="X94" s="318"/>
      <c r="Y94" s="318"/>
      <c r="Z94" s="128" t="s">
        <v>434</v>
      </c>
      <c r="AA94" s="193" t="s">
        <v>354</v>
      </c>
      <c r="AB94" s="193"/>
      <c r="AC94" s="193"/>
      <c r="AD94" s="193"/>
      <c r="AE94" s="193"/>
      <c r="AF94" s="195" t="s">
        <v>355</v>
      </c>
      <c r="AG94" s="195"/>
      <c r="AH94" s="195"/>
      <c r="AI94" s="195">
        <v>1</v>
      </c>
      <c r="AJ94" s="195"/>
      <c r="AK94" s="196">
        <f>(V94/SQRT(3))*AI94</f>
        <v>0</v>
      </c>
      <c r="AL94" s="196"/>
      <c r="AM94" s="196"/>
      <c r="AN94" s="196"/>
      <c r="AO94" s="197"/>
      <c r="AP94" s="304" t="str">
        <f t="shared" si="31"/>
        <v>∞</v>
      </c>
      <c r="AQ94" s="305"/>
      <c r="AR94" s="305"/>
      <c r="AS94" s="305"/>
      <c r="AT94" s="329"/>
      <c r="AU94" s="330"/>
      <c r="AV94" s="331"/>
      <c r="AW94" s="113"/>
      <c r="AX94" s="113"/>
      <c r="AY94" s="113"/>
      <c r="AZ94" s="113"/>
      <c r="BA94" s="113"/>
    </row>
    <row r="95" spans="1:75" ht="14.85" customHeight="1">
      <c r="A95" s="109"/>
      <c r="B95" s="190" t="s">
        <v>431</v>
      </c>
      <c r="C95" s="191"/>
      <c r="D95" s="191"/>
      <c r="E95" s="191"/>
      <c r="F95" s="191"/>
      <c r="G95" s="194" t="s">
        <v>364</v>
      </c>
      <c r="H95" s="194"/>
      <c r="I95" s="194"/>
      <c r="J95" s="194"/>
      <c r="K95" s="194"/>
      <c r="L95" s="194"/>
      <c r="M95" s="194"/>
      <c r="N95" s="194"/>
      <c r="O95" s="194"/>
      <c r="P95" s="194"/>
      <c r="Q95" s="194"/>
      <c r="R95" s="194"/>
      <c r="S95" s="194"/>
      <c r="T95" s="194"/>
      <c r="U95" s="194"/>
      <c r="V95" s="317" t="str">
        <f>$E$16</f>
        <v/>
      </c>
      <c r="W95" s="318"/>
      <c r="X95" s="318"/>
      <c r="Y95" s="318"/>
      <c r="Z95" s="128" t="s">
        <v>434</v>
      </c>
      <c r="AA95" s="193" t="s">
        <v>37</v>
      </c>
      <c r="AB95" s="193"/>
      <c r="AC95" s="193"/>
      <c r="AD95" s="193"/>
      <c r="AE95" s="193"/>
      <c r="AF95" s="195">
        <v>1</v>
      </c>
      <c r="AG95" s="195"/>
      <c r="AH95" s="195"/>
      <c r="AI95" s="195">
        <f>IF($B$8="","",1)</f>
        <v>1</v>
      </c>
      <c r="AJ95" s="195"/>
      <c r="AK95" s="196" t="e">
        <f t="shared" ref="AK95" si="33">(V95/AF95)*AI95</f>
        <v>#VALUE!</v>
      </c>
      <c r="AL95" s="196"/>
      <c r="AM95" s="196"/>
      <c r="AN95" s="196"/>
      <c r="AO95" s="197"/>
      <c r="AP95" s="304">
        <v>9</v>
      </c>
      <c r="AQ95" s="305"/>
      <c r="AR95" s="305"/>
      <c r="AS95" s="305"/>
      <c r="AT95" s="329"/>
      <c r="AU95" s="330"/>
      <c r="AV95" s="331"/>
      <c r="AW95" s="113"/>
      <c r="AX95" s="113"/>
      <c r="AY95" s="113"/>
      <c r="AZ95" s="113"/>
      <c r="BA95" s="113"/>
    </row>
    <row r="96" spans="1:75" s="96" customFormat="1" ht="14.85" customHeight="1" thickBot="1">
      <c r="A96" s="109"/>
      <c r="B96" s="306" t="s">
        <v>432</v>
      </c>
      <c r="C96" s="307"/>
      <c r="D96" s="307"/>
      <c r="E96" s="307"/>
      <c r="F96" s="307"/>
      <c r="G96" s="340" t="s">
        <v>365</v>
      </c>
      <c r="H96" s="340"/>
      <c r="I96" s="340"/>
      <c r="J96" s="340"/>
      <c r="K96" s="340"/>
      <c r="L96" s="340"/>
      <c r="M96" s="340"/>
      <c r="N96" s="340"/>
      <c r="O96" s="340"/>
      <c r="P96" s="340"/>
      <c r="Q96" s="340"/>
      <c r="R96" s="340"/>
      <c r="S96" s="340"/>
      <c r="T96" s="340"/>
      <c r="U96" s="340"/>
      <c r="V96" s="319" t="str">
        <f>$Q$16</f>
        <v/>
      </c>
      <c r="W96" s="320"/>
      <c r="X96" s="320"/>
      <c r="Y96" s="320"/>
      <c r="Z96" s="129" t="s">
        <v>434</v>
      </c>
      <c r="AA96" s="308" t="s">
        <v>37</v>
      </c>
      <c r="AB96" s="308"/>
      <c r="AC96" s="308"/>
      <c r="AD96" s="308"/>
      <c r="AE96" s="308"/>
      <c r="AF96" s="309">
        <v>1</v>
      </c>
      <c r="AG96" s="309"/>
      <c r="AH96" s="309"/>
      <c r="AI96" s="309">
        <f>IF($B$8="","",1)</f>
        <v>1</v>
      </c>
      <c r="AJ96" s="309"/>
      <c r="AK96" s="310" t="e">
        <f>(V96/AF96)*AI96</f>
        <v>#VALUE!</v>
      </c>
      <c r="AL96" s="310"/>
      <c r="AM96" s="310"/>
      <c r="AN96" s="310"/>
      <c r="AO96" s="311"/>
      <c r="AP96" s="304">
        <v>9</v>
      </c>
      <c r="AQ96" s="305"/>
      <c r="AR96" s="305"/>
      <c r="AS96" s="305"/>
      <c r="AT96" s="329"/>
      <c r="AU96" s="330"/>
      <c r="AV96" s="331"/>
      <c r="AW96" s="113"/>
      <c r="AX96" s="113"/>
      <c r="AY96" s="113"/>
      <c r="AZ96" s="113"/>
      <c r="BA96" s="113"/>
      <c r="BS96" s="97"/>
      <c r="BT96" s="97"/>
      <c r="BU96" s="97"/>
      <c r="BV96" s="97"/>
      <c r="BW96" s="97"/>
    </row>
    <row r="97" spans="1:75" s="96" customFormat="1" ht="14.85" customHeight="1" thickTop="1" thickBot="1">
      <c r="A97" s="109"/>
      <c r="B97" s="338" t="s">
        <v>433</v>
      </c>
      <c r="C97" s="339"/>
      <c r="D97" s="339"/>
      <c r="E97" s="339"/>
      <c r="F97" s="339"/>
      <c r="G97" s="340" t="s">
        <v>366</v>
      </c>
      <c r="H97" s="340" t="s">
        <v>366</v>
      </c>
      <c r="I97" s="340" t="s">
        <v>366</v>
      </c>
      <c r="J97" s="340" t="s">
        <v>366</v>
      </c>
      <c r="K97" s="340" t="s">
        <v>366</v>
      </c>
      <c r="L97" s="340" t="s">
        <v>366</v>
      </c>
      <c r="M97" s="340" t="s">
        <v>366</v>
      </c>
      <c r="N97" s="340" t="s">
        <v>366</v>
      </c>
      <c r="O97" s="340" t="s">
        <v>366</v>
      </c>
      <c r="P97" s="340" t="s">
        <v>366</v>
      </c>
      <c r="Q97" s="340" t="s">
        <v>366</v>
      </c>
      <c r="R97" s="340" t="s">
        <v>366</v>
      </c>
      <c r="S97" s="340" t="s">
        <v>366</v>
      </c>
      <c r="T97" s="340" t="s">
        <v>366</v>
      </c>
      <c r="U97" s="340" t="s">
        <v>366</v>
      </c>
      <c r="V97" s="357"/>
      <c r="W97" s="358"/>
      <c r="X97" s="358"/>
      <c r="Y97" s="358"/>
      <c r="Z97" s="130"/>
      <c r="AA97" s="359" t="s">
        <v>37</v>
      </c>
      <c r="AB97" s="359"/>
      <c r="AC97" s="359"/>
      <c r="AD97" s="359"/>
      <c r="AE97" s="360"/>
      <c r="AF97" s="349"/>
      <c r="AG97" s="350"/>
      <c r="AH97" s="350"/>
      <c r="AI97" s="350"/>
      <c r="AJ97" s="351"/>
      <c r="AK97" s="343" t="e">
        <f>SQRT(SUMSQ(AK85:AO96))</f>
        <v>#VALUE!</v>
      </c>
      <c r="AL97" s="344"/>
      <c r="AM97" s="344"/>
      <c r="AN97" s="344"/>
      <c r="AO97" s="344"/>
      <c r="AP97" s="322" t="e">
        <f>IF(V96&lt;0.000000001,"∞",(AK97^4/((AK96^4/AP96)+(AK95^4/AP95))))</f>
        <v>#VALUE!</v>
      </c>
      <c r="AQ97" s="323"/>
      <c r="AR97" s="323"/>
      <c r="AS97" s="323"/>
      <c r="AT97" s="329"/>
      <c r="AU97" s="330"/>
      <c r="AV97" s="331"/>
      <c r="AW97" s="113"/>
      <c r="AX97" s="113"/>
      <c r="AY97" s="113"/>
      <c r="AZ97" s="113"/>
      <c r="BA97" s="113"/>
      <c r="BS97" s="97"/>
      <c r="BT97" s="97"/>
      <c r="BU97" s="97"/>
      <c r="BV97" s="97"/>
      <c r="BW97" s="97"/>
    </row>
    <row r="98" spans="1:75" s="96" customFormat="1" ht="14.85" customHeight="1" thickTop="1" thickBot="1">
      <c r="A98" s="109"/>
      <c r="B98" s="338" t="s">
        <v>368</v>
      </c>
      <c r="C98" s="339"/>
      <c r="D98" s="339"/>
      <c r="E98" s="339"/>
      <c r="F98" s="339"/>
      <c r="G98" s="340" t="s">
        <v>369</v>
      </c>
      <c r="H98" s="340" t="s">
        <v>369</v>
      </c>
      <c r="I98" s="340" t="s">
        <v>369</v>
      </c>
      <c r="J98" s="340" t="s">
        <v>369</v>
      </c>
      <c r="K98" s="340" t="s">
        <v>369</v>
      </c>
      <c r="L98" s="340" t="s">
        <v>369</v>
      </c>
      <c r="M98" s="340" t="s">
        <v>369</v>
      </c>
      <c r="N98" s="340" t="s">
        <v>369</v>
      </c>
      <c r="O98" s="340" t="s">
        <v>369</v>
      </c>
      <c r="P98" s="340" t="s">
        <v>369</v>
      </c>
      <c r="Q98" s="340" t="s">
        <v>369</v>
      </c>
      <c r="R98" s="340" t="s">
        <v>369</v>
      </c>
      <c r="S98" s="340" t="s">
        <v>369</v>
      </c>
      <c r="T98" s="340" t="s">
        <v>369</v>
      </c>
      <c r="U98" s="340" t="s">
        <v>369</v>
      </c>
      <c r="V98" s="341"/>
      <c r="W98" s="342"/>
      <c r="X98" s="342"/>
      <c r="Y98" s="342"/>
      <c r="Z98" s="131"/>
      <c r="AA98" s="345" t="s">
        <v>370</v>
      </c>
      <c r="AB98" s="346"/>
      <c r="AC98" s="347" t="e">
        <f>IF(AP97="∞",2,TINV(0.0455,AP97))</f>
        <v>#VALUE!</v>
      </c>
      <c r="AD98" s="348"/>
      <c r="AE98" s="348"/>
      <c r="AF98" s="352"/>
      <c r="AG98" s="353"/>
      <c r="AH98" s="353"/>
      <c r="AI98" s="353"/>
      <c r="AJ98" s="354"/>
      <c r="AK98" s="343" t="e">
        <f>AK97*AC98</f>
        <v>#VALUE!</v>
      </c>
      <c r="AL98" s="344"/>
      <c r="AM98" s="344"/>
      <c r="AN98" s="344"/>
      <c r="AO98" s="344"/>
      <c r="AP98" s="324" t="s">
        <v>367</v>
      </c>
      <c r="AQ98" s="325" t="s">
        <v>367</v>
      </c>
      <c r="AR98" s="325" t="s">
        <v>367</v>
      </c>
      <c r="AS98" s="325"/>
      <c r="AT98" s="332"/>
      <c r="AU98" s="333"/>
      <c r="AV98" s="334"/>
      <c r="AW98" s="113"/>
      <c r="AX98" s="113"/>
      <c r="AY98" s="113"/>
      <c r="AZ98" s="113"/>
      <c r="BA98" s="113"/>
      <c r="BS98" s="97"/>
      <c r="BT98" s="97"/>
      <c r="BU98" s="97"/>
      <c r="BV98" s="97"/>
      <c r="BW98" s="97"/>
    </row>
    <row r="99" spans="1:75" s="96" customFormat="1" ht="14.85" customHeight="1" thickTop="1" thickBot="1">
      <c r="A99" s="109"/>
      <c r="B99" s="139"/>
      <c r="C99" s="139"/>
      <c r="D99" s="139"/>
      <c r="E99" s="139"/>
      <c r="F99" s="139"/>
      <c r="G99" s="126"/>
      <c r="H99" s="126"/>
      <c r="I99" s="126"/>
      <c r="J99" s="126"/>
      <c r="K99" s="126"/>
      <c r="L99" s="126"/>
      <c r="M99" s="126"/>
      <c r="N99" s="126"/>
      <c r="O99" s="126"/>
      <c r="P99" s="126"/>
      <c r="Q99" s="126"/>
      <c r="R99" s="126"/>
      <c r="S99" s="126"/>
      <c r="T99" s="126"/>
      <c r="U99" s="126"/>
      <c r="V99" s="132"/>
      <c r="W99" s="132"/>
      <c r="X99" s="132"/>
      <c r="Y99" s="132"/>
      <c r="Z99" s="133"/>
      <c r="AA99" s="134"/>
      <c r="AB99" s="134"/>
      <c r="AC99" s="374" t="s">
        <v>371</v>
      </c>
      <c r="AD99" s="375"/>
      <c r="AE99" s="369">
        <f>IF($J$5&lt;0,0.04,0.03)</f>
        <v>0.03</v>
      </c>
      <c r="AF99" s="369"/>
      <c r="AG99" s="370"/>
      <c r="AH99" s="371" t="s">
        <v>372</v>
      </c>
      <c r="AI99" s="369"/>
      <c r="AJ99" s="369"/>
      <c r="AK99" s="372" t="e">
        <f>IF(AK98&lt;AE99,AE99,ROUNDUP(AK98,3))</f>
        <v>#VALUE!</v>
      </c>
      <c r="AL99" s="372"/>
      <c r="AM99" s="372"/>
      <c r="AN99" s="372"/>
      <c r="AO99" s="373"/>
      <c r="AP99" s="134"/>
      <c r="AQ99" s="134"/>
      <c r="AR99" s="134"/>
      <c r="AS99" s="132"/>
      <c r="AT99" s="132"/>
      <c r="AU99" s="132"/>
      <c r="AV99" s="132"/>
      <c r="AW99" s="113"/>
      <c r="AX99" s="113"/>
      <c r="AY99" s="113"/>
      <c r="AZ99" s="113"/>
      <c r="BA99" s="113"/>
      <c r="BS99" s="97"/>
      <c r="BT99" s="97"/>
      <c r="BU99" s="97"/>
      <c r="BV99" s="97"/>
      <c r="BW99" s="97"/>
    </row>
    <row r="100" spans="1:75" s="96" customFormat="1" ht="14.85" customHeight="1" thickTop="1" thickBot="1">
      <c r="A100" s="109"/>
      <c r="B100" s="139"/>
      <c r="C100" s="139"/>
      <c r="D100" s="139"/>
      <c r="E100" s="139"/>
      <c r="F100" s="139"/>
      <c r="G100" s="121"/>
      <c r="H100" s="121"/>
      <c r="I100" s="121"/>
      <c r="J100" s="121"/>
      <c r="K100" s="121"/>
      <c r="L100" s="121"/>
      <c r="M100" s="121"/>
      <c r="N100" s="121"/>
      <c r="O100" s="121"/>
      <c r="P100" s="121"/>
      <c r="Q100" s="121"/>
      <c r="R100" s="121"/>
      <c r="S100" s="121"/>
      <c r="T100" s="121"/>
      <c r="U100" s="121"/>
      <c r="V100" s="113"/>
      <c r="W100" s="113"/>
      <c r="X100" s="113"/>
      <c r="Y100" s="113"/>
      <c r="Z100" s="123"/>
      <c r="AA100" s="124"/>
      <c r="AB100" s="124"/>
      <c r="AC100" s="124"/>
      <c r="AD100" s="124"/>
      <c r="AE100" s="124"/>
      <c r="AF100" s="125"/>
      <c r="AG100" s="125"/>
      <c r="AH100" s="125"/>
      <c r="AI100" s="125"/>
      <c r="AJ100" s="125"/>
      <c r="AK100" s="113"/>
      <c r="AL100" s="113"/>
      <c r="AM100" s="113"/>
      <c r="AN100" s="113"/>
      <c r="AO100" s="113"/>
      <c r="AP100" s="124"/>
      <c r="AQ100" s="124"/>
      <c r="AR100" s="124"/>
      <c r="AS100" s="113"/>
      <c r="AT100" s="113"/>
      <c r="AU100" s="113"/>
      <c r="AV100" s="113"/>
      <c r="AW100" s="113"/>
      <c r="AX100" s="113"/>
      <c r="AY100" s="113"/>
      <c r="AZ100" s="113"/>
      <c r="BA100" s="113"/>
      <c r="BS100" s="97"/>
      <c r="BT100" s="97"/>
      <c r="BU100" s="97"/>
      <c r="BV100" s="97"/>
      <c r="BW100" s="97"/>
    </row>
    <row r="101" spans="1:75" s="96" customFormat="1" ht="14.85" customHeight="1" thickTop="1" thickBot="1">
      <c r="A101" s="91"/>
      <c r="B101" s="355" t="s">
        <v>347</v>
      </c>
      <c r="C101" s="356"/>
      <c r="D101" s="356"/>
      <c r="E101" s="356"/>
      <c r="F101" s="356"/>
      <c r="G101" s="312" t="s">
        <v>348</v>
      </c>
      <c r="H101" s="312"/>
      <c r="I101" s="312"/>
      <c r="J101" s="312"/>
      <c r="K101" s="312"/>
      <c r="L101" s="312"/>
      <c r="M101" s="312"/>
      <c r="N101" s="312"/>
      <c r="O101" s="312"/>
      <c r="P101" s="312"/>
      <c r="Q101" s="312"/>
      <c r="R101" s="312"/>
      <c r="S101" s="312"/>
      <c r="T101" s="312"/>
      <c r="U101" s="312"/>
      <c r="V101" s="187" t="s">
        <v>417</v>
      </c>
      <c r="W101" s="187"/>
      <c r="X101" s="187"/>
      <c r="Y101" s="187"/>
      <c r="Z101" s="187"/>
      <c r="AA101" s="186" t="s">
        <v>418</v>
      </c>
      <c r="AB101" s="187"/>
      <c r="AC101" s="187"/>
      <c r="AD101" s="187"/>
      <c r="AE101" s="187"/>
      <c r="AF101" s="187" t="s">
        <v>349</v>
      </c>
      <c r="AG101" s="187"/>
      <c r="AH101" s="187"/>
      <c r="AI101" s="187" t="s">
        <v>350</v>
      </c>
      <c r="AJ101" s="187"/>
      <c r="AK101" s="186" t="s">
        <v>419</v>
      </c>
      <c r="AL101" s="187"/>
      <c r="AM101" s="187"/>
      <c r="AN101" s="187"/>
      <c r="AO101" s="187"/>
      <c r="AP101" s="361" t="s">
        <v>420</v>
      </c>
      <c r="AQ101" s="362"/>
      <c r="AR101" s="362"/>
      <c r="AS101" s="362"/>
      <c r="AT101" s="326" t="str">
        <f>IF(U10="","","4")</f>
        <v/>
      </c>
      <c r="AU101" s="327"/>
      <c r="AV101" s="328"/>
      <c r="AW101" s="113"/>
      <c r="AX101" s="113"/>
      <c r="AY101" s="113"/>
      <c r="AZ101" s="113"/>
      <c r="BA101" s="113"/>
      <c r="BS101" s="97"/>
      <c r="BT101" s="97"/>
      <c r="BU101" s="97"/>
      <c r="BV101" s="97"/>
      <c r="BW101" s="97"/>
    </row>
    <row r="102" spans="1:75" s="96" customFormat="1" ht="14.85" customHeight="1" thickTop="1" thickBot="1">
      <c r="A102" s="122"/>
      <c r="B102" s="355"/>
      <c r="C102" s="356"/>
      <c r="D102" s="356"/>
      <c r="E102" s="356"/>
      <c r="F102" s="356"/>
      <c r="G102" s="312"/>
      <c r="H102" s="312"/>
      <c r="I102" s="312"/>
      <c r="J102" s="312"/>
      <c r="K102" s="312"/>
      <c r="L102" s="312"/>
      <c r="M102" s="312"/>
      <c r="N102" s="312"/>
      <c r="O102" s="312"/>
      <c r="P102" s="312"/>
      <c r="Q102" s="312"/>
      <c r="R102" s="312"/>
      <c r="S102" s="312"/>
      <c r="T102" s="312"/>
      <c r="U102" s="312"/>
      <c r="V102" s="187"/>
      <c r="W102" s="187"/>
      <c r="X102" s="187"/>
      <c r="Y102" s="187"/>
      <c r="Z102" s="187"/>
      <c r="AA102" s="187"/>
      <c r="AB102" s="187"/>
      <c r="AC102" s="187"/>
      <c r="AD102" s="187"/>
      <c r="AE102" s="187"/>
      <c r="AF102" s="187"/>
      <c r="AG102" s="187"/>
      <c r="AH102" s="187"/>
      <c r="AI102" s="187"/>
      <c r="AJ102" s="187"/>
      <c r="AK102" s="187"/>
      <c r="AL102" s="187"/>
      <c r="AM102" s="187"/>
      <c r="AN102" s="187"/>
      <c r="AO102" s="187"/>
      <c r="AP102" s="363"/>
      <c r="AQ102" s="364"/>
      <c r="AR102" s="364"/>
      <c r="AS102" s="364"/>
      <c r="AT102" s="329"/>
      <c r="AU102" s="330"/>
      <c r="AV102" s="331"/>
      <c r="AW102" s="113"/>
      <c r="AX102" s="113"/>
      <c r="AY102" s="113"/>
      <c r="AZ102" s="113"/>
      <c r="BA102" s="113"/>
      <c r="BS102" s="97"/>
      <c r="BT102" s="97"/>
      <c r="BU102" s="97"/>
      <c r="BV102" s="97"/>
      <c r="BW102" s="97"/>
    </row>
    <row r="103" spans="1:75" s="96" customFormat="1" ht="14.85" customHeight="1" thickTop="1">
      <c r="A103" s="109"/>
      <c r="B103" s="188" t="s">
        <v>421</v>
      </c>
      <c r="C103" s="189"/>
      <c r="D103" s="189"/>
      <c r="E103" s="189"/>
      <c r="F103" s="189"/>
      <c r="G103" s="321" t="s">
        <v>351</v>
      </c>
      <c r="H103" s="321"/>
      <c r="I103" s="321"/>
      <c r="J103" s="321"/>
      <c r="K103" s="321"/>
      <c r="L103" s="321"/>
      <c r="M103" s="321"/>
      <c r="N103" s="321"/>
      <c r="O103" s="321"/>
      <c r="P103" s="321"/>
      <c r="Q103" s="321"/>
      <c r="R103" s="321"/>
      <c r="S103" s="321"/>
      <c r="T103" s="321"/>
      <c r="U103" s="321"/>
      <c r="V103" s="367">
        <f>$V$46</f>
        <v>3.0000000000000001E-3</v>
      </c>
      <c r="W103" s="368"/>
      <c r="X103" s="368"/>
      <c r="Y103" s="368"/>
      <c r="Z103" s="127" t="s">
        <v>434</v>
      </c>
      <c r="AA103" s="192" t="s">
        <v>37</v>
      </c>
      <c r="AB103" s="192"/>
      <c r="AC103" s="192"/>
      <c r="AD103" s="192"/>
      <c r="AE103" s="192"/>
      <c r="AF103" s="289">
        <v>2</v>
      </c>
      <c r="AG103" s="289"/>
      <c r="AH103" s="289"/>
      <c r="AI103" s="289">
        <v>1</v>
      </c>
      <c r="AJ103" s="289"/>
      <c r="AK103" s="290">
        <f>(V103/AF103)*AI103</f>
        <v>1.5E-3</v>
      </c>
      <c r="AL103" s="290"/>
      <c r="AM103" s="290"/>
      <c r="AN103" s="290"/>
      <c r="AO103" s="291"/>
      <c r="AP103" s="365" t="str">
        <f t="shared" ref="AP103:AP112" si="34">IF($B$8="","","∞")</f>
        <v>∞</v>
      </c>
      <c r="AQ103" s="366"/>
      <c r="AR103" s="366"/>
      <c r="AS103" s="366"/>
      <c r="AT103" s="329"/>
      <c r="AU103" s="330"/>
      <c r="AV103" s="331"/>
      <c r="AW103" s="113"/>
      <c r="AX103" s="113"/>
      <c r="AY103" s="113"/>
      <c r="AZ103" s="113"/>
      <c r="BA103" s="113"/>
      <c r="BS103" s="97"/>
      <c r="BT103" s="97"/>
      <c r="BU103" s="97"/>
      <c r="BV103" s="97"/>
      <c r="BW103" s="97"/>
    </row>
    <row r="104" spans="1:75" s="96" customFormat="1" ht="14.85" customHeight="1">
      <c r="A104" s="109"/>
      <c r="B104" s="190" t="s">
        <v>422</v>
      </c>
      <c r="C104" s="191"/>
      <c r="D104" s="191"/>
      <c r="E104" s="191"/>
      <c r="F104" s="191"/>
      <c r="G104" s="194" t="s">
        <v>352</v>
      </c>
      <c r="H104" s="194"/>
      <c r="I104" s="194"/>
      <c r="J104" s="194"/>
      <c r="K104" s="194"/>
      <c r="L104" s="194"/>
      <c r="M104" s="194"/>
      <c r="N104" s="194"/>
      <c r="O104" s="194"/>
      <c r="P104" s="194"/>
      <c r="Q104" s="194"/>
      <c r="R104" s="194"/>
      <c r="S104" s="194"/>
      <c r="T104" s="194"/>
      <c r="U104" s="194"/>
      <c r="V104" s="317">
        <f>$V$47</f>
        <v>1.6000000000000001E-3</v>
      </c>
      <c r="W104" s="318"/>
      <c r="X104" s="318"/>
      <c r="Y104" s="318"/>
      <c r="Z104" s="128" t="s">
        <v>353</v>
      </c>
      <c r="AA104" s="193" t="s">
        <v>354</v>
      </c>
      <c r="AB104" s="193"/>
      <c r="AC104" s="193"/>
      <c r="AD104" s="193"/>
      <c r="AE104" s="193"/>
      <c r="AF104" s="195" t="s">
        <v>355</v>
      </c>
      <c r="AG104" s="195"/>
      <c r="AH104" s="195"/>
      <c r="AI104" s="195">
        <v>10</v>
      </c>
      <c r="AJ104" s="195"/>
      <c r="AK104" s="196">
        <f>(V104/SQRT(3))*AI104</f>
        <v>9.2376043070340128E-3</v>
      </c>
      <c r="AL104" s="196"/>
      <c r="AM104" s="196"/>
      <c r="AN104" s="196"/>
      <c r="AO104" s="197"/>
      <c r="AP104" s="304" t="str">
        <f t="shared" si="34"/>
        <v>∞</v>
      </c>
      <c r="AQ104" s="305"/>
      <c r="AR104" s="305"/>
      <c r="AS104" s="305"/>
      <c r="AT104" s="329"/>
      <c r="AU104" s="330"/>
      <c r="AV104" s="331"/>
      <c r="AW104" s="113"/>
      <c r="AX104" s="113"/>
      <c r="AY104" s="113"/>
      <c r="AZ104" s="113"/>
      <c r="BA104" s="113"/>
      <c r="BS104" s="97"/>
      <c r="BT104" s="97"/>
      <c r="BU104" s="97"/>
      <c r="BV104" s="97"/>
      <c r="BW104" s="97"/>
    </row>
    <row r="105" spans="1:75" s="96" customFormat="1" ht="14.85" customHeight="1">
      <c r="A105" s="109"/>
      <c r="B105" s="190" t="s">
        <v>423</v>
      </c>
      <c r="C105" s="191"/>
      <c r="D105" s="191"/>
      <c r="E105" s="191"/>
      <c r="F105" s="191"/>
      <c r="G105" s="194" t="s">
        <v>356</v>
      </c>
      <c r="H105" s="194"/>
      <c r="I105" s="194"/>
      <c r="J105" s="194"/>
      <c r="K105" s="194"/>
      <c r="L105" s="194"/>
      <c r="M105" s="194"/>
      <c r="N105" s="194"/>
      <c r="O105" s="194"/>
      <c r="P105" s="194"/>
      <c r="Q105" s="194"/>
      <c r="R105" s="194"/>
      <c r="S105" s="194"/>
      <c r="T105" s="194"/>
      <c r="U105" s="194"/>
      <c r="V105" s="317">
        <f>$V$48</f>
        <v>1E-3</v>
      </c>
      <c r="W105" s="318"/>
      <c r="X105" s="318"/>
      <c r="Y105" s="318"/>
      <c r="Z105" s="128" t="s">
        <v>353</v>
      </c>
      <c r="AA105" s="193" t="s">
        <v>354</v>
      </c>
      <c r="AB105" s="193"/>
      <c r="AC105" s="193"/>
      <c r="AD105" s="193"/>
      <c r="AE105" s="193"/>
      <c r="AF105" s="195">
        <v>2</v>
      </c>
      <c r="AG105" s="195"/>
      <c r="AH105" s="195"/>
      <c r="AI105" s="195">
        <v>10</v>
      </c>
      <c r="AJ105" s="195"/>
      <c r="AK105" s="196">
        <f>(V105/AF105)*AI105</f>
        <v>5.0000000000000001E-3</v>
      </c>
      <c r="AL105" s="196"/>
      <c r="AM105" s="196"/>
      <c r="AN105" s="196"/>
      <c r="AO105" s="197"/>
      <c r="AP105" s="304" t="str">
        <f t="shared" si="34"/>
        <v>∞</v>
      </c>
      <c r="AQ105" s="305"/>
      <c r="AR105" s="305"/>
      <c r="AS105" s="305"/>
      <c r="AT105" s="329"/>
      <c r="AU105" s="330"/>
      <c r="AV105" s="331"/>
      <c r="AW105" s="113"/>
      <c r="AX105" s="113"/>
      <c r="AY105" s="113"/>
      <c r="AZ105" s="113"/>
      <c r="BA105" s="113"/>
      <c r="BS105" s="97"/>
      <c r="BT105" s="97"/>
      <c r="BU105" s="97"/>
      <c r="BV105" s="97"/>
      <c r="BW105" s="97"/>
    </row>
    <row r="106" spans="1:75" s="96" customFormat="1" ht="14.85" customHeight="1">
      <c r="A106" s="109"/>
      <c r="B106" s="190" t="s">
        <v>424</v>
      </c>
      <c r="C106" s="191"/>
      <c r="D106" s="191"/>
      <c r="E106" s="191"/>
      <c r="F106" s="191"/>
      <c r="G106" s="194" t="s">
        <v>357</v>
      </c>
      <c r="H106" s="194"/>
      <c r="I106" s="194"/>
      <c r="J106" s="194"/>
      <c r="K106" s="194"/>
      <c r="L106" s="194"/>
      <c r="M106" s="194"/>
      <c r="N106" s="194"/>
      <c r="O106" s="194"/>
      <c r="P106" s="194"/>
      <c r="Q106" s="194"/>
      <c r="R106" s="194"/>
      <c r="S106" s="194"/>
      <c r="T106" s="194"/>
      <c r="U106" s="194"/>
      <c r="V106" s="317">
        <f>$V$49</f>
        <v>1E-3</v>
      </c>
      <c r="W106" s="318"/>
      <c r="X106" s="318"/>
      <c r="Y106" s="318"/>
      <c r="Z106" s="128" t="s">
        <v>353</v>
      </c>
      <c r="AA106" s="193" t="s">
        <v>354</v>
      </c>
      <c r="AB106" s="193"/>
      <c r="AC106" s="193"/>
      <c r="AD106" s="193"/>
      <c r="AE106" s="193"/>
      <c r="AF106" s="195" t="s">
        <v>355</v>
      </c>
      <c r="AG106" s="195"/>
      <c r="AH106" s="195"/>
      <c r="AI106" s="195">
        <v>10</v>
      </c>
      <c r="AJ106" s="195"/>
      <c r="AK106" s="196">
        <f>(V106/SQRT(3))*AI106</f>
        <v>5.773502691896258E-3</v>
      </c>
      <c r="AL106" s="196"/>
      <c r="AM106" s="196"/>
      <c r="AN106" s="196"/>
      <c r="AO106" s="197"/>
      <c r="AP106" s="304" t="str">
        <f t="shared" si="34"/>
        <v>∞</v>
      </c>
      <c r="AQ106" s="305"/>
      <c r="AR106" s="305"/>
      <c r="AS106" s="305"/>
      <c r="AT106" s="329"/>
      <c r="AU106" s="330"/>
      <c r="AV106" s="331"/>
      <c r="AW106" s="113"/>
      <c r="AX106" s="113"/>
      <c r="AY106" s="113"/>
      <c r="AZ106" s="113"/>
      <c r="BA106" s="113"/>
      <c r="BS106" s="97"/>
      <c r="BT106" s="97"/>
      <c r="BU106" s="97"/>
      <c r="BV106" s="97"/>
      <c r="BW106" s="97"/>
    </row>
    <row r="107" spans="1:75" s="96" customFormat="1" ht="14.85" customHeight="1">
      <c r="A107" s="109"/>
      <c r="B107" s="190" t="s">
        <v>425</v>
      </c>
      <c r="C107" s="191"/>
      <c r="D107" s="191"/>
      <c r="E107" s="191"/>
      <c r="F107" s="191"/>
      <c r="G107" s="194" t="s">
        <v>358</v>
      </c>
      <c r="H107" s="194"/>
      <c r="I107" s="194"/>
      <c r="J107" s="194"/>
      <c r="K107" s="194"/>
      <c r="L107" s="194"/>
      <c r="M107" s="194"/>
      <c r="N107" s="194"/>
      <c r="O107" s="194"/>
      <c r="P107" s="194"/>
      <c r="Q107" s="194"/>
      <c r="R107" s="194"/>
      <c r="S107" s="194"/>
      <c r="T107" s="194"/>
      <c r="U107" s="194"/>
      <c r="V107" s="317">
        <f>$V$50</f>
        <v>5.0000000000000002E-5</v>
      </c>
      <c r="W107" s="318"/>
      <c r="X107" s="318"/>
      <c r="Y107" s="318"/>
      <c r="Z107" s="128" t="s">
        <v>434</v>
      </c>
      <c r="AA107" s="193" t="s">
        <v>354</v>
      </c>
      <c r="AB107" s="193"/>
      <c r="AC107" s="193"/>
      <c r="AD107" s="193"/>
      <c r="AE107" s="193"/>
      <c r="AF107" s="195" t="s">
        <v>355</v>
      </c>
      <c r="AG107" s="195"/>
      <c r="AH107" s="195"/>
      <c r="AI107" s="195">
        <v>1</v>
      </c>
      <c r="AJ107" s="195"/>
      <c r="AK107" s="196">
        <f>(V107/SQRT(3))*AI107</f>
        <v>2.8867513459481293E-5</v>
      </c>
      <c r="AL107" s="196"/>
      <c r="AM107" s="196"/>
      <c r="AN107" s="196"/>
      <c r="AO107" s="197"/>
      <c r="AP107" s="304" t="str">
        <f t="shared" si="34"/>
        <v>∞</v>
      </c>
      <c r="AQ107" s="305"/>
      <c r="AR107" s="305"/>
      <c r="AS107" s="305"/>
      <c r="AT107" s="329"/>
      <c r="AU107" s="330"/>
      <c r="AV107" s="331"/>
      <c r="AW107" s="113"/>
      <c r="AX107" s="113"/>
      <c r="AY107" s="113"/>
      <c r="AZ107" s="113"/>
      <c r="BA107" s="113"/>
      <c r="BS107" s="97"/>
      <c r="BT107" s="97"/>
      <c r="BU107" s="97"/>
      <c r="BV107" s="97"/>
      <c r="BW107" s="97"/>
    </row>
    <row r="108" spans="1:75" s="96" customFormat="1" ht="14.85" customHeight="1">
      <c r="A108" s="109"/>
      <c r="B108" s="190" t="s">
        <v>426</v>
      </c>
      <c r="C108" s="191"/>
      <c r="D108" s="191"/>
      <c r="E108" s="191"/>
      <c r="F108" s="191"/>
      <c r="G108" s="194" t="s">
        <v>359</v>
      </c>
      <c r="H108" s="194"/>
      <c r="I108" s="194"/>
      <c r="J108" s="194"/>
      <c r="K108" s="194"/>
      <c r="L108" s="194"/>
      <c r="M108" s="194"/>
      <c r="N108" s="194"/>
      <c r="O108" s="194"/>
      <c r="P108" s="194"/>
      <c r="Q108" s="194"/>
      <c r="R108" s="194"/>
      <c r="S108" s="194"/>
      <c r="T108" s="194"/>
      <c r="U108" s="194"/>
      <c r="V108" s="317">
        <f>$V$51</f>
        <v>0.01</v>
      </c>
      <c r="W108" s="318"/>
      <c r="X108" s="318"/>
      <c r="Y108" s="318"/>
      <c r="Z108" s="128" t="s">
        <v>434</v>
      </c>
      <c r="AA108" s="193" t="s">
        <v>354</v>
      </c>
      <c r="AB108" s="193"/>
      <c r="AC108" s="193"/>
      <c r="AD108" s="193"/>
      <c r="AE108" s="193"/>
      <c r="AF108" s="195" t="s">
        <v>355</v>
      </c>
      <c r="AG108" s="195"/>
      <c r="AH108" s="195"/>
      <c r="AI108" s="195">
        <v>1</v>
      </c>
      <c r="AJ108" s="195"/>
      <c r="AK108" s="196">
        <f>(V108/SQRT(3))*AI108</f>
        <v>5.773502691896258E-3</v>
      </c>
      <c r="AL108" s="196"/>
      <c r="AM108" s="196"/>
      <c r="AN108" s="196"/>
      <c r="AO108" s="197"/>
      <c r="AP108" s="304" t="str">
        <f t="shared" si="34"/>
        <v>∞</v>
      </c>
      <c r="AQ108" s="305"/>
      <c r="AR108" s="305"/>
      <c r="AS108" s="305"/>
      <c r="AT108" s="329"/>
      <c r="AU108" s="330"/>
      <c r="AV108" s="331"/>
      <c r="AW108" s="113"/>
      <c r="AX108" s="113"/>
      <c r="AY108" s="113"/>
      <c r="AZ108" s="113"/>
      <c r="BA108" s="113"/>
      <c r="BS108" s="97"/>
      <c r="BT108" s="97"/>
      <c r="BU108" s="97"/>
      <c r="BV108" s="97"/>
      <c r="BW108" s="97"/>
    </row>
    <row r="109" spans="1:75" s="96" customFormat="1" ht="14.85" customHeight="1">
      <c r="A109" s="109"/>
      <c r="B109" s="190" t="s">
        <v>427</v>
      </c>
      <c r="C109" s="191"/>
      <c r="D109" s="191"/>
      <c r="E109" s="191"/>
      <c r="F109" s="191"/>
      <c r="G109" s="194" t="s">
        <v>360</v>
      </c>
      <c r="H109" s="194"/>
      <c r="I109" s="194"/>
      <c r="J109" s="194"/>
      <c r="K109" s="194"/>
      <c r="L109" s="194"/>
      <c r="M109" s="194"/>
      <c r="N109" s="194"/>
      <c r="O109" s="194"/>
      <c r="P109" s="194"/>
      <c r="Q109" s="194"/>
      <c r="R109" s="194"/>
      <c r="S109" s="194"/>
      <c r="T109" s="194"/>
      <c r="U109" s="194"/>
      <c r="V109" s="317">
        <f>$V$52</f>
        <v>0.01</v>
      </c>
      <c r="W109" s="318"/>
      <c r="X109" s="318"/>
      <c r="Y109" s="318"/>
      <c r="Z109" s="128" t="s">
        <v>434</v>
      </c>
      <c r="AA109" s="193" t="s">
        <v>354</v>
      </c>
      <c r="AB109" s="193"/>
      <c r="AC109" s="193"/>
      <c r="AD109" s="193"/>
      <c r="AE109" s="193"/>
      <c r="AF109" s="195" t="s">
        <v>355</v>
      </c>
      <c r="AG109" s="195"/>
      <c r="AH109" s="195"/>
      <c r="AI109" s="195">
        <v>1</v>
      </c>
      <c r="AJ109" s="195"/>
      <c r="AK109" s="196">
        <f t="shared" ref="AK109:AK111" si="35">(V109/SQRT(3))*AI109</f>
        <v>5.773502691896258E-3</v>
      </c>
      <c r="AL109" s="196"/>
      <c r="AM109" s="196"/>
      <c r="AN109" s="196"/>
      <c r="AO109" s="197"/>
      <c r="AP109" s="304" t="str">
        <f t="shared" si="34"/>
        <v>∞</v>
      </c>
      <c r="AQ109" s="305"/>
      <c r="AR109" s="305"/>
      <c r="AS109" s="305"/>
      <c r="AT109" s="329"/>
      <c r="AU109" s="330"/>
      <c r="AV109" s="331"/>
      <c r="AW109" s="113"/>
      <c r="AX109" s="113"/>
      <c r="AY109" s="113"/>
      <c r="AZ109" s="113"/>
      <c r="BA109" s="113"/>
      <c r="BS109" s="97"/>
      <c r="BT109" s="97"/>
      <c r="BU109" s="97"/>
      <c r="BV109" s="97"/>
      <c r="BW109" s="97"/>
    </row>
    <row r="110" spans="1:75" s="96" customFormat="1" ht="14.85" customHeight="1">
      <c r="A110" s="109"/>
      <c r="B110" s="190" t="s">
        <v>428</v>
      </c>
      <c r="C110" s="191"/>
      <c r="D110" s="191"/>
      <c r="E110" s="191"/>
      <c r="F110" s="191"/>
      <c r="G110" s="194" t="s">
        <v>361</v>
      </c>
      <c r="H110" s="194"/>
      <c r="I110" s="194"/>
      <c r="J110" s="194"/>
      <c r="K110" s="194"/>
      <c r="L110" s="194"/>
      <c r="M110" s="194"/>
      <c r="N110" s="194"/>
      <c r="O110" s="194"/>
      <c r="P110" s="194"/>
      <c r="Q110" s="194"/>
      <c r="R110" s="194"/>
      <c r="S110" s="194"/>
      <c r="T110" s="194"/>
      <c r="U110" s="194"/>
      <c r="V110" s="317" t="e">
        <f>$AB$3/2</f>
        <v>#VALUE!</v>
      </c>
      <c r="W110" s="318"/>
      <c r="X110" s="318"/>
      <c r="Y110" s="318"/>
      <c r="Z110" s="128" t="s">
        <v>434</v>
      </c>
      <c r="AA110" s="193" t="s">
        <v>354</v>
      </c>
      <c r="AB110" s="193"/>
      <c r="AC110" s="193"/>
      <c r="AD110" s="193"/>
      <c r="AE110" s="193"/>
      <c r="AF110" s="195" t="s">
        <v>355</v>
      </c>
      <c r="AG110" s="195"/>
      <c r="AH110" s="195"/>
      <c r="AI110" s="195">
        <v>1</v>
      </c>
      <c r="AJ110" s="195"/>
      <c r="AK110" s="196" t="e">
        <f t="shared" si="35"/>
        <v>#VALUE!</v>
      </c>
      <c r="AL110" s="196"/>
      <c r="AM110" s="196"/>
      <c r="AN110" s="196"/>
      <c r="AO110" s="197"/>
      <c r="AP110" s="304" t="str">
        <f t="shared" si="34"/>
        <v>∞</v>
      </c>
      <c r="AQ110" s="305"/>
      <c r="AR110" s="305"/>
      <c r="AS110" s="305"/>
      <c r="AT110" s="329"/>
      <c r="AU110" s="330"/>
      <c r="AV110" s="331"/>
      <c r="AW110" s="113"/>
      <c r="AX110" s="113"/>
      <c r="AY110" s="113"/>
      <c r="AZ110" s="113"/>
      <c r="BA110" s="113"/>
      <c r="BS110" s="97"/>
      <c r="BT110" s="97"/>
      <c r="BU110" s="97"/>
      <c r="BV110" s="97"/>
      <c r="BW110" s="97"/>
    </row>
    <row r="111" spans="1:75" s="96" customFormat="1" ht="14.85" customHeight="1">
      <c r="A111" s="109"/>
      <c r="B111" s="190" t="s">
        <v>429</v>
      </c>
      <c r="C111" s="191"/>
      <c r="D111" s="191"/>
      <c r="E111" s="191"/>
      <c r="F111" s="191"/>
      <c r="G111" s="194" t="s">
        <v>362</v>
      </c>
      <c r="H111" s="194"/>
      <c r="I111" s="194"/>
      <c r="J111" s="194"/>
      <c r="K111" s="194"/>
      <c r="L111" s="194"/>
      <c r="M111" s="194"/>
      <c r="N111" s="194"/>
      <c r="O111" s="194"/>
      <c r="P111" s="194"/>
      <c r="Q111" s="194"/>
      <c r="R111" s="194"/>
      <c r="S111" s="194"/>
      <c r="T111" s="194"/>
      <c r="U111" s="194"/>
      <c r="V111" s="317" t="str">
        <f>$V$24</f>
        <v/>
      </c>
      <c r="W111" s="318"/>
      <c r="X111" s="318"/>
      <c r="Y111" s="318"/>
      <c r="Z111" s="128" t="s">
        <v>434</v>
      </c>
      <c r="AA111" s="193" t="s">
        <v>354</v>
      </c>
      <c r="AB111" s="193"/>
      <c r="AC111" s="193"/>
      <c r="AD111" s="193"/>
      <c r="AE111" s="193"/>
      <c r="AF111" s="195" t="s">
        <v>355</v>
      </c>
      <c r="AG111" s="195"/>
      <c r="AH111" s="195"/>
      <c r="AI111" s="195">
        <v>1</v>
      </c>
      <c r="AJ111" s="195"/>
      <c r="AK111" s="196" t="e">
        <f t="shared" si="35"/>
        <v>#VALUE!</v>
      </c>
      <c r="AL111" s="196"/>
      <c r="AM111" s="196"/>
      <c r="AN111" s="196"/>
      <c r="AO111" s="197"/>
      <c r="AP111" s="304" t="str">
        <f t="shared" si="34"/>
        <v>∞</v>
      </c>
      <c r="AQ111" s="305"/>
      <c r="AR111" s="305"/>
      <c r="AS111" s="305"/>
      <c r="AT111" s="329"/>
      <c r="AU111" s="330"/>
      <c r="AV111" s="331"/>
      <c r="AW111" s="113"/>
      <c r="AX111" s="113"/>
      <c r="AY111" s="113"/>
      <c r="AZ111" s="113"/>
      <c r="BA111" s="113"/>
      <c r="BS111" s="97"/>
      <c r="BT111" s="97"/>
      <c r="BU111" s="97"/>
      <c r="BV111" s="97"/>
      <c r="BW111" s="97"/>
    </row>
    <row r="112" spans="1:75" ht="14.85" customHeight="1">
      <c r="A112" s="109"/>
      <c r="B112" s="190" t="s">
        <v>430</v>
      </c>
      <c r="C112" s="191"/>
      <c r="D112" s="191"/>
      <c r="E112" s="191"/>
      <c r="F112" s="191"/>
      <c r="G112" s="194" t="s">
        <v>363</v>
      </c>
      <c r="H112" s="194"/>
      <c r="I112" s="194"/>
      <c r="J112" s="194"/>
      <c r="K112" s="194"/>
      <c r="L112" s="194"/>
      <c r="M112" s="194"/>
      <c r="N112" s="194"/>
      <c r="O112" s="194"/>
      <c r="P112" s="194"/>
      <c r="Q112" s="194"/>
      <c r="R112" s="194"/>
      <c r="S112" s="194"/>
      <c r="T112" s="194"/>
      <c r="U112" s="194"/>
      <c r="V112" s="317">
        <v>0</v>
      </c>
      <c r="W112" s="318"/>
      <c r="X112" s="318"/>
      <c r="Y112" s="318"/>
      <c r="Z112" s="128" t="s">
        <v>434</v>
      </c>
      <c r="AA112" s="193" t="s">
        <v>354</v>
      </c>
      <c r="AB112" s="193"/>
      <c r="AC112" s="193"/>
      <c r="AD112" s="193"/>
      <c r="AE112" s="193"/>
      <c r="AF112" s="195" t="s">
        <v>355</v>
      </c>
      <c r="AG112" s="195"/>
      <c r="AH112" s="195"/>
      <c r="AI112" s="195">
        <v>1</v>
      </c>
      <c r="AJ112" s="195"/>
      <c r="AK112" s="196">
        <f>(V112/SQRT(3))*AI112</f>
        <v>0</v>
      </c>
      <c r="AL112" s="196"/>
      <c r="AM112" s="196"/>
      <c r="AN112" s="196"/>
      <c r="AO112" s="197"/>
      <c r="AP112" s="304" t="str">
        <f t="shared" si="34"/>
        <v>∞</v>
      </c>
      <c r="AQ112" s="305"/>
      <c r="AR112" s="305"/>
      <c r="AS112" s="305"/>
      <c r="AT112" s="329"/>
      <c r="AU112" s="330"/>
      <c r="AV112" s="331"/>
      <c r="AW112" s="113"/>
      <c r="AX112" s="113"/>
      <c r="AY112" s="113"/>
      <c r="AZ112" s="113"/>
      <c r="BA112" s="113"/>
    </row>
    <row r="113" spans="1:75" ht="14.85" customHeight="1">
      <c r="A113" s="109"/>
      <c r="B113" s="190" t="s">
        <v>431</v>
      </c>
      <c r="C113" s="191"/>
      <c r="D113" s="191"/>
      <c r="E113" s="191"/>
      <c r="F113" s="191"/>
      <c r="G113" s="194" t="s">
        <v>364</v>
      </c>
      <c r="H113" s="194"/>
      <c r="I113" s="194"/>
      <c r="J113" s="194"/>
      <c r="K113" s="194"/>
      <c r="L113" s="194"/>
      <c r="M113" s="194"/>
      <c r="N113" s="194"/>
      <c r="O113" s="194"/>
      <c r="P113" s="194"/>
      <c r="Q113" s="194"/>
      <c r="R113" s="194"/>
      <c r="S113" s="194"/>
      <c r="T113" s="194"/>
      <c r="U113" s="194"/>
      <c r="V113" s="317" t="str">
        <f>$E$16</f>
        <v/>
      </c>
      <c r="W113" s="318"/>
      <c r="X113" s="318"/>
      <c r="Y113" s="318"/>
      <c r="Z113" s="128" t="s">
        <v>434</v>
      </c>
      <c r="AA113" s="193" t="s">
        <v>37</v>
      </c>
      <c r="AB113" s="193"/>
      <c r="AC113" s="193"/>
      <c r="AD113" s="193"/>
      <c r="AE113" s="193"/>
      <c r="AF113" s="195">
        <v>1</v>
      </c>
      <c r="AG113" s="195"/>
      <c r="AH113" s="195"/>
      <c r="AI113" s="195">
        <f>IF($B$8="","",1)</f>
        <v>1</v>
      </c>
      <c r="AJ113" s="195"/>
      <c r="AK113" s="196" t="e">
        <f t="shared" ref="AK113" si="36">(V113/AF113)*AI113</f>
        <v>#VALUE!</v>
      </c>
      <c r="AL113" s="196"/>
      <c r="AM113" s="196"/>
      <c r="AN113" s="196"/>
      <c r="AO113" s="197"/>
      <c r="AP113" s="304">
        <v>9</v>
      </c>
      <c r="AQ113" s="305"/>
      <c r="AR113" s="305"/>
      <c r="AS113" s="305"/>
      <c r="AT113" s="329"/>
      <c r="AU113" s="330"/>
      <c r="AV113" s="331"/>
      <c r="AW113" s="113"/>
      <c r="AX113" s="113"/>
      <c r="AY113" s="113"/>
      <c r="AZ113" s="113"/>
      <c r="BA113" s="113"/>
    </row>
    <row r="114" spans="1:75" ht="14.85" customHeight="1" thickBot="1">
      <c r="A114" s="109"/>
      <c r="B114" s="306" t="s">
        <v>432</v>
      </c>
      <c r="C114" s="307"/>
      <c r="D114" s="307"/>
      <c r="E114" s="307"/>
      <c r="F114" s="307"/>
      <c r="G114" s="340" t="s">
        <v>365</v>
      </c>
      <c r="H114" s="340"/>
      <c r="I114" s="340"/>
      <c r="J114" s="340"/>
      <c r="K114" s="340"/>
      <c r="L114" s="340"/>
      <c r="M114" s="340"/>
      <c r="N114" s="340"/>
      <c r="O114" s="340"/>
      <c r="P114" s="340"/>
      <c r="Q114" s="340"/>
      <c r="R114" s="340"/>
      <c r="S114" s="340"/>
      <c r="T114" s="340"/>
      <c r="U114" s="340"/>
      <c r="V114" s="319" t="str">
        <f>$U$16</f>
        <v/>
      </c>
      <c r="W114" s="320"/>
      <c r="X114" s="320"/>
      <c r="Y114" s="320"/>
      <c r="Z114" s="129" t="s">
        <v>434</v>
      </c>
      <c r="AA114" s="308" t="s">
        <v>37</v>
      </c>
      <c r="AB114" s="308"/>
      <c r="AC114" s="308"/>
      <c r="AD114" s="308"/>
      <c r="AE114" s="308"/>
      <c r="AF114" s="309">
        <v>1</v>
      </c>
      <c r="AG114" s="309"/>
      <c r="AH114" s="309"/>
      <c r="AI114" s="309">
        <f>IF($B$8="","",1)</f>
        <v>1</v>
      </c>
      <c r="AJ114" s="309"/>
      <c r="AK114" s="310" t="e">
        <f>(V114/AF114)*AI114</f>
        <v>#VALUE!</v>
      </c>
      <c r="AL114" s="310"/>
      <c r="AM114" s="310"/>
      <c r="AN114" s="310"/>
      <c r="AO114" s="311"/>
      <c r="AP114" s="304">
        <v>9</v>
      </c>
      <c r="AQ114" s="305"/>
      <c r="AR114" s="305"/>
      <c r="AS114" s="305"/>
      <c r="AT114" s="329"/>
      <c r="AU114" s="330"/>
      <c r="AV114" s="331"/>
      <c r="AW114" s="113"/>
      <c r="AX114" s="113"/>
      <c r="AY114" s="113"/>
      <c r="AZ114" s="113"/>
      <c r="BA114" s="113"/>
    </row>
    <row r="115" spans="1:75" ht="14.85" customHeight="1" thickTop="1" thickBot="1">
      <c r="A115" s="109"/>
      <c r="B115" s="338" t="s">
        <v>433</v>
      </c>
      <c r="C115" s="339"/>
      <c r="D115" s="339"/>
      <c r="E115" s="339"/>
      <c r="F115" s="339"/>
      <c r="G115" s="340" t="s">
        <v>366</v>
      </c>
      <c r="H115" s="340" t="s">
        <v>366</v>
      </c>
      <c r="I115" s="340" t="s">
        <v>366</v>
      </c>
      <c r="J115" s="340" t="s">
        <v>366</v>
      </c>
      <c r="K115" s="340" t="s">
        <v>366</v>
      </c>
      <c r="L115" s="340" t="s">
        <v>366</v>
      </c>
      <c r="M115" s="340" t="s">
        <v>366</v>
      </c>
      <c r="N115" s="340" t="s">
        <v>366</v>
      </c>
      <c r="O115" s="340" t="s">
        <v>366</v>
      </c>
      <c r="P115" s="340" t="s">
        <v>366</v>
      </c>
      <c r="Q115" s="340" t="s">
        <v>366</v>
      </c>
      <c r="R115" s="340" t="s">
        <v>366</v>
      </c>
      <c r="S115" s="340" t="s">
        <v>366</v>
      </c>
      <c r="T115" s="340" t="s">
        <v>366</v>
      </c>
      <c r="U115" s="340" t="s">
        <v>366</v>
      </c>
      <c r="V115" s="357"/>
      <c r="W115" s="358"/>
      <c r="X115" s="358"/>
      <c r="Y115" s="358"/>
      <c r="Z115" s="130"/>
      <c r="AA115" s="359" t="s">
        <v>37</v>
      </c>
      <c r="AB115" s="359"/>
      <c r="AC115" s="359"/>
      <c r="AD115" s="359"/>
      <c r="AE115" s="360"/>
      <c r="AF115" s="349"/>
      <c r="AG115" s="350"/>
      <c r="AH115" s="350"/>
      <c r="AI115" s="350"/>
      <c r="AJ115" s="351"/>
      <c r="AK115" s="343" t="e">
        <f>SQRT(SUMSQ(AK103:AO114))</f>
        <v>#VALUE!</v>
      </c>
      <c r="AL115" s="344"/>
      <c r="AM115" s="344"/>
      <c r="AN115" s="344"/>
      <c r="AO115" s="344"/>
      <c r="AP115" s="322" t="e">
        <f>IF(V114&lt;0.000000001,"∞",(AK115^4/((AK114^4/AP114)+(AK113^4/AP113))))</f>
        <v>#VALUE!</v>
      </c>
      <c r="AQ115" s="323"/>
      <c r="AR115" s="323"/>
      <c r="AS115" s="323"/>
      <c r="AT115" s="329"/>
      <c r="AU115" s="330"/>
      <c r="AV115" s="331"/>
      <c r="AW115" s="113"/>
      <c r="AX115" s="113"/>
      <c r="AY115" s="113"/>
      <c r="AZ115" s="113"/>
      <c r="BA115" s="113"/>
    </row>
    <row r="116" spans="1:75" ht="14.85" customHeight="1" thickTop="1" thickBot="1">
      <c r="A116" s="109"/>
      <c r="B116" s="338" t="s">
        <v>368</v>
      </c>
      <c r="C116" s="339"/>
      <c r="D116" s="339"/>
      <c r="E116" s="339"/>
      <c r="F116" s="339"/>
      <c r="G116" s="340" t="s">
        <v>369</v>
      </c>
      <c r="H116" s="340" t="s">
        <v>369</v>
      </c>
      <c r="I116" s="340" t="s">
        <v>369</v>
      </c>
      <c r="J116" s="340" t="s">
        <v>369</v>
      </c>
      <c r="K116" s="340" t="s">
        <v>369</v>
      </c>
      <c r="L116" s="340" t="s">
        <v>369</v>
      </c>
      <c r="M116" s="340" t="s">
        <v>369</v>
      </c>
      <c r="N116" s="340" t="s">
        <v>369</v>
      </c>
      <c r="O116" s="340" t="s">
        <v>369</v>
      </c>
      <c r="P116" s="340" t="s">
        <v>369</v>
      </c>
      <c r="Q116" s="340" t="s">
        <v>369</v>
      </c>
      <c r="R116" s="340" t="s">
        <v>369</v>
      </c>
      <c r="S116" s="340" t="s">
        <v>369</v>
      </c>
      <c r="T116" s="340" t="s">
        <v>369</v>
      </c>
      <c r="U116" s="340" t="s">
        <v>369</v>
      </c>
      <c r="V116" s="341"/>
      <c r="W116" s="342"/>
      <c r="X116" s="342"/>
      <c r="Y116" s="342"/>
      <c r="Z116" s="131"/>
      <c r="AA116" s="345" t="s">
        <v>370</v>
      </c>
      <c r="AB116" s="346"/>
      <c r="AC116" s="347" t="e">
        <f>IF(AP115="∞",2,TINV(0.0455,AP115))</f>
        <v>#VALUE!</v>
      </c>
      <c r="AD116" s="348"/>
      <c r="AE116" s="348"/>
      <c r="AF116" s="352"/>
      <c r="AG116" s="353"/>
      <c r="AH116" s="353"/>
      <c r="AI116" s="353"/>
      <c r="AJ116" s="354"/>
      <c r="AK116" s="343" t="e">
        <f>AK115*AC116</f>
        <v>#VALUE!</v>
      </c>
      <c r="AL116" s="344"/>
      <c r="AM116" s="344"/>
      <c r="AN116" s="344"/>
      <c r="AO116" s="344"/>
      <c r="AP116" s="324" t="s">
        <v>367</v>
      </c>
      <c r="AQ116" s="325" t="s">
        <v>367</v>
      </c>
      <c r="AR116" s="325" t="s">
        <v>367</v>
      </c>
      <c r="AS116" s="325"/>
      <c r="AT116" s="332"/>
      <c r="AU116" s="333"/>
      <c r="AV116" s="334"/>
      <c r="AW116" s="113"/>
      <c r="AX116" s="113"/>
      <c r="AY116" s="113"/>
      <c r="AZ116" s="113"/>
      <c r="BA116" s="113"/>
    </row>
    <row r="117" spans="1:75" ht="14.85" customHeight="1" thickTop="1" thickBot="1">
      <c r="A117" s="109"/>
      <c r="B117" s="139"/>
      <c r="C117" s="139"/>
      <c r="D117" s="139"/>
      <c r="E117" s="139"/>
      <c r="F117" s="139"/>
      <c r="G117" s="126"/>
      <c r="H117" s="126"/>
      <c r="I117" s="126"/>
      <c r="J117" s="126"/>
      <c r="K117" s="126"/>
      <c r="L117" s="126"/>
      <c r="M117" s="126"/>
      <c r="N117" s="126"/>
      <c r="O117" s="126"/>
      <c r="P117" s="126"/>
      <c r="Q117" s="126"/>
      <c r="R117" s="126"/>
      <c r="S117" s="126"/>
      <c r="T117" s="126"/>
      <c r="U117" s="126"/>
      <c r="V117" s="132"/>
      <c r="W117" s="132"/>
      <c r="X117" s="132"/>
      <c r="Y117" s="132"/>
      <c r="Z117" s="133"/>
      <c r="AA117" s="134"/>
      <c r="AB117" s="134"/>
      <c r="AC117" s="374" t="s">
        <v>371</v>
      </c>
      <c r="AD117" s="375"/>
      <c r="AE117" s="369">
        <f>IF($J$5&lt;0,0.04,0.03)</f>
        <v>0.03</v>
      </c>
      <c r="AF117" s="369"/>
      <c r="AG117" s="370"/>
      <c r="AH117" s="371" t="s">
        <v>372</v>
      </c>
      <c r="AI117" s="369"/>
      <c r="AJ117" s="369"/>
      <c r="AK117" s="372" t="e">
        <f>IF(AK116&lt;AE117,AE117,ROUNDUP(AK116,3))</f>
        <v>#VALUE!</v>
      </c>
      <c r="AL117" s="372"/>
      <c r="AM117" s="372"/>
      <c r="AN117" s="372"/>
      <c r="AO117" s="373"/>
      <c r="AP117" s="134"/>
      <c r="AQ117" s="134"/>
      <c r="AR117" s="134"/>
      <c r="AS117" s="132"/>
      <c r="AT117" s="132"/>
      <c r="AU117" s="132"/>
      <c r="AV117" s="132"/>
      <c r="AW117" s="113"/>
      <c r="AX117" s="113"/>
      <c r="AY117" s="113"/>
      <c r="AZ117" s="113"/>
      <c r="BA117" s="113"/>
    </row>
    <row r="118" spans="1:75" ht="14.85" customHeight="1" thickTop="1">
      <c r="A118" s="109"/>
      <c r="B118" s="139"/>
      <c r="C118" s="139"/>
      <c r="D118" s="139"/>
      <c r="E118" s="139"/>
      <c r="F118" s="139"/>
      <c r="G118" s="121"/>
      <c r="H118" s="121"/>
      <c r="I118" s="121"/>
      <c r="J118" s="121"/>
      <c r="K118" s="121"/>
      <c r="L118" s="121"/>
      <c r="M118" s="121"/>
      <c r="N118" s="121"/>
      <c r="O118" s="121"/>
      <c r="P118" s="121"/>
      <c r="Q118" s="121"/>
      <c r="R118" s="121"/>
      <c r="S118" s="121"/>
      <c r="T118" s="121"/>
      <c r="U118" s="121"/>
      <c r="V118" s="113"/>
      <c r="W118" s="113"/>
      <c r="X118" s="113"/>
      <c r="Y118" s="113"/>
      <c r="Z118" s="123"/>
      <c r="AA118" s="124"/>
      <c r="AB118" s="124"/>
      <c r="AC118" s="124"/>
      <c r="AD118" s="124"/>
      <c r="AE118" s="124"/>
      <c r="AF118" s="125"/>
      <c r="AG118" s="125"/>
      <c r="AH118" s="125"/>
      <c r="AI118" s="125"/>
      <c r="AJ118" s="125"/>
      <c r="AK118" s="113"/>
      <c r="AL118" s="113"/>
      <c r="AM118" s="113"/>
      <c r="AN118" s="113"/>
      <c r="AO118" s="113"/>
      <c r="AP118" s="124"/>
      <c r="AQ118" s="124"/>
      <c r="AR118" s="124"/>
      <c r="AS118" s="113"/>
      <c r="AT118" s="113"/>
      <c r="AU118" s="113"/>
      <c r="AV118" s="113"/>
      <c r="AW118" s="113"/>
      <c r="AX118" s="113"/>
      <c r="AY118" s="113"/>
      <c r="AZ118" s="113"/>
      <c r="BA118" s="113"/>
    </row>
    <row r="119" spans="1:75" ht="14.85" customHeight="1">
      <c r="A119" s="101"/>
      <c r="B119" s="135"/>
      <c r="C119" s="135"/>
      <c r="D119" s="135"/>
      <c r="E119" s="135"/>
      <c r="F119" s="135"/>
      <c r="G119" s="135"/>
      <c r="H119" s="135"/>
      <c r="I119" s="136"/>
      <c r="J119" s="136"/>
      <c r="K119" s="136"/>
      <c r="L119" s="136"/>
      <c r="M119" s="136"/>
      <c r="N119" s="136"/>
      <c r="O119" s="136"/>
      <c r="P119" s="136"/>
      <c r="Q119" s="136"/>
      <c r="R119" s="136"/>
      <c r="S119" s="136"/>
      <c r="T119" s="136"/>
      <c r="U119" s="136"/>
      <c r="V119" s="136"/>
      <c r="W119" s="136"/>
      <c r="X119" s="136"/>
      <c r="Y119" s="136"/>
      <c r="Z119" s="136"/>
      <c r="AA119" s="136"/>
      <c r="AB119" s="136"/>
      <c r="AC119" s="136"/>
      <c r="AD119" s="136"/>
      <c r="AE119" s="136"/>
      <c r="AF119" s="136"/>
      <c r="AG119" s="136"/>
      <c r="AH119" s="136"/>
      <c r="AI119" s="136"/>
      <c r="AJ119" s="136"/>
      <c r="AK119" s="136"/>
      <c r="AL119" s="136"/>
      <c r="AM119" s="136"/>
      <c r="AS119" s="265" t="s">
        <v>5</v>
      </c>
      <c r="AT119" s="265"/>
      <c r="AU119" s="265"/>
      <c r="AV119" s="275">
        <f>AV80+1</f>
        <v>10</v>
      </c>
      <c r="AW119" s="275"/>
      <c r="AX119" s="94" t="s">
        <v>6</v>
      </c>
      <c r="AY119" s="275">
        <f>$AY$1</f>
        <v>1</v>
      </c>
      <c r="AZ119" s="275"/>
      <c r="BA119" s="101"/>
      <c r="BU119" s="112"/>
      <c r="BV119" s="112"/>
    </row>
    <row r="120" spans="1:75" ht="14.85" customHeight="1">
      <c r="A120" s="101"/>
      <c r="B120" s="135"/>
      <c r="C120" s="135"/>
      <c r="D120" s="135"/>
      <c r="E120" s="135"/>
      <c r="F120" s="135"/>
      <c r="G120" s="135"/>
      <c r="H120" s="135"/>
      <c r="I120" s="136"/>
      <c r="J120" s="136"/>
      <c r="K120" s="136"/>
      <c r="L120" s="136"/>
      <c r="M120" s="136"/>
      <c r="N120" s="136"/>
      <c r="O120" s="136"/>
      <c r="P120" s="136"/>
      <c r="Q120" s="136"/>
      <c r="R120" s="136"/>
      <c r="S120" s="136"/>
      <c r="T120" s="136"/>
      <c r="U120" s="136"/>
      <c r="V120" s="136"/>
      <c r="W120" s="136"/>
      <c r="X120" s="136"/>
      <c r="Y120" s="136"/>
      <c r="Z120" s="136"/>
      <c r="AA120" s="136"/>
      <c r="AB120" s="136"/>
      <c r="AC120" s="136"/>
      <c r="AD120" s="136"/>
      <c r="AE120" s="136"/>
      <c r="AF120" s="136"/>
      <c r="AG120" s="136"/>
      <c r="AH120" s="136"/>
      <c r="AI120" s="136"/>
      <c r="AJ120" s="136"/>
      <c r="AK120" s="136"/>
      <c r="AL120" s="136"/>
      <c r="AM120" s="136"/>
      <c r="AQ120" s="98"/>
      <c r="BA120" s="101"/>
      <c r="BU120" s="112"/>
      <c r="BV120" s="112"/>
    </row>
    <row r="121" spans="1:75" ht="14.25" customHeight="1" thickBot="1">
      <c r="A121" s="101"/>
      <c r="B121" s="91" t="s">
        <v>346</v>
      </c>
      <c r="C121" s="101"/>
      <c r="E121" s="101"/>
      <c r="H121" s="103"/>
      <c r="I121" s="137"/>
      <c r="J121" s="138"/>
      <c r="K121" s="138"/>
      <c r="L121" s="138"/>
      <c r="M121" s="137"/>
      <c r="N121" s="138"/>
      <c r="O121" s="138"/>
      <c r="P121" s="138"/>
      <c r="Q121" s="137"/>
      <c r="R121" s="138"/>
      <c r="S121" s="138"/>
      <c r="T121" s="138"/>
      <c r="U121" s="137"/>
      <c r="V121" s="138"/>
      <c r="W121" s="138"/>
      <c r="X121" s="138"/>
      <c r="Y121" s="137"/>
      <c r="Z121" s="138"/>
      <c r="AA121" s="138"/>
      <c r="AB121" s="138"/>
      <c r="AC121" s="137"/>
      <c r="AD121" s="138"/>
      <c r="AE121" s="138"/>
      <c r="AF121" s="138"/>
      <c r="AG121" s="137"/>
      <c r="AH121" s="138"/>
      <c r="AI121" s="138"/>
      <c r="AJ121" s="138"/>
      <c r="AK121" s="137"/>
      <c r="AL121" s="138"/>
      <c r="AM121" s="138"/>
      <c r="AN121" s="138"/>
      <c r="AO121" s="272" t="s">
        <v>7</v>
      </c>
      <c r="AP121" s="272"/>
      <c r="AQ121" s="272"/>
      <c r="AR121" s="272"/>
      <c r="AS121" s="272"/>
      <c r="AT121" s="272"/>
      <c r="AU121" s="272"/>
      <c r="AV121" s="179" t="str">
        <f>$AV$82</f>
        <v xml:space="preserve"> /69 </v>
      </c>
      <c r="AW121" s="179"/>
      <c r="AX121" s="179"/>
      <c r="AY121" s="179"/>
      <c r="AZ121" s="179"/>
      <c r="BA121" s="101"/>
      <c r="BU121" s="112"/>
      <c r="BV121" s="112"/>
    </row>
    <row r="122" spans="1:75" ht="14.85" customHeight="1" thickTop="1" thickBot="1">
      <c r="B122" s="355" t="s">
        <v>347</v>
      </c>
      <c r="C122" s="356"/>
      <c r="D122" s="356"/>
      <c r="E122" s="356"/>
      <c r="F122" s="356"/>
      <c r="G122" s="312" t="s">
        <v>348</v>
      </c>
      <c r="H122" s="312"/>
      <c r="I122" s="312"/>
      <c r="J122" s="312"/>
      <c r="K122" s="312"/>
      <c r="L122" s="312"/>
      <c r="M122" s="312"/>
      <c r="N122" s="312"/>
      <c r="O122" s="312"/>
      <c r="P122" s="312"/>
      <c r="Q122" s="312"/>
      <c r="R122" s="312"/>
      <c r="S122" s="312"/>
      <c r="T122" s="312"/>
      <c r="U122" s="312"/>
      <c r="V122" s="187" t="s">
        <v>417</v>
      </c>
      <c r="W122" s="187"/>
      <c r="X122" s="187"/>
      <c r="Y122" s="187"/>
      <c r="Z122" s="187"/>
      <c r="AA122" s="186" t="s">
        <v>418</v>
      </c>
      <c r="AB122" s="187"/>
      <c r="AC122" s="187"/>
      <c r="AD122" s="187"/>
      <c r="AE122" s="187"/>
      <c r="AF122" s="187" t="s">
        <v>349</v>
      </c>
      <c r="AG122" s="187"/>
      <c r="AH122" s="187"/>
      <c r="AI122" s="187" t="s">
        <v>350</v>
      </c>
      <c r="AJ122" s="187"/>
      <c r="AK122" s="186" t="s">
        <v>419</v>
      </c>
      <c r="AL122" s="187"/>
      <c r="AM122" s="187"/>
      <c r="AN122" s="187"/>
      <c r="AO122" s="187"/>
      <c r="AP122" s="361" t="s">
        <v>420</v>
      </c>
      <c r="AQ122" s="362"/>
      <c r="AR122" s="362"/>
      <c r="AS122" s="362"/>
      <c r="AT122" s="326" t="str">
        <f>IF(Y10="","","5")</f>
        <v/>
      </c>
      <c r="AU122" s="327"/>
      <c r="AV122" s="328"/>
      <c r="AW122" s="113"/>
      <c r="AX122" s="113"/>
      <c r="AY122" s="113"/>
      <c r="AZ122" s="113"/>
      <c r="BA122" s="113"/>
    </row>
    <row r="123" spans="1:75" ht="14.85" customHeight="1" thickTop="1" thickBot="1">
      <c r="A123" s="122"/>
      <c r="B123" s="355"/>
      <c r="C123" s="356"/>
      <c r="D123" s="356"/>
      <c r="E123" s="356"/>
      <c r="F123" s="356"/>
      <c r="G123" s="312"/>
      <c r="H123" s="312"/>
      <c r="I123" s="312"/>
      <c r="J123" s="312"/>
      <c r="K123" s="312"/>
      <c r="L123" s="312"/>
      <c r="M123" s="312"/>
      <c r="N123" s="312"/>
      <c r="O123" s="312"/>
      <c r="P123" s="312"/>
      <c r="Q123" s="312"/>
      <c r="R123" s="312"/>
      <c r="S123" s="312"/>
      <c r="T123" s="312"/>
      <c r="U123" s="312"/>
      <c r="V123" s="187"/>
      <c r="W123" s="187"/>
      <c r="X123" s="187"/>
      <c r="Y123" s="187"/>
      <c r="Z123" s="187"/>
      <c r="AA123" s="187"/>
      <c r="AB123" s="187"/>
      <c r="AC123" s="187"/>
      <c r="AD123" s="187"/>
      <c r="AE123" s="187"/>
      <c r="AF123" s="187"/>
      <c r="AG123" s="187"/>
      <c r="AH123" s="187"/>
      <c r="AI123" s="187"/>
      <c r="AJ123" s="187"/>
      <c r="AK123" s="187"/>
      <c r="AL123" s="187"/>
      <c r="AM123" s="187"/>
      <c r="AN123" s="187"/>
      <c r="AO123" s="187"/>
      <c r="AP123" s="363"/>
      <c r="AQ123" s="364"/>
      <c r="AR123" s="364"/>
      <c r="AS123" s="364"/>
      <c r="AT123" s="329"/>
      <c r="AU123" s="330"/>
      <c r="AV123" s="331"/>
      <c r="AW123" s="113"/>
      <c r="AX123" s="113"/>
      <c r="AY123" s="113"/>
      <c r="AZ123" s="113"/>
      <c r="BA123" s="113"/>
    </row>
    <row r="124" spans="1:75" ht="14.85" customHeight="1" thickTop="1">
      <c r="A124" s="109"/>
      <c r="B124" s="188" t="s">
        <v>421</v>
      </c>
      <c r="C124" s="189"/>
      <c r="D124" s="189"/>
      <c r="E124" s="189"/>
      <c r="F124" s="189"/>
      <c r="G124" s="321" t="s">
        <v>351</v>
      </c>
      <c r="H124" s="321"/>
      <c r="I124" s="321"/>
      <c r="J124" s="321"/>
      <c r="K124" s="321"/>
      <c r="L124" s="321"/>
      <c r="M124" s="321"/>
      <c r="N124" s="321"/>
      <c r="O124" s="321"/>
      <c r="P124" s="321"/>
      <c r="Q124" s="321"/>
      <c r="R124" s="321"/>
      <c r="S124" s="321"/>
      <c r="T124" s="321"/>
      <c r="U124" s="321"/>
      <c r="V124" s="367">
        <f>$V$46</f>
        <v>3.0000000000000001E-3</v>
      </c>
      <c r="W124" s="368"/>
      <c r="X124" s="368"/>
      <c r="Y124" s="368"/>
      <c r="Z124" s="127" t="s">
        <v>434</v>
      </c>
      <c r="AA124" s="192" t="s">
        <v>37</v>
      </c>
      <c r="AB124" s="192"/>
      <c r="AC124" s="192"/>
      <c r="AD124" s="192"/>
      <c r="AE124" s="192"/>
      <c r="AF124" s="289">
        <v>2</v>
      </c>
      <c r="AG124" s="289"/>
      <c r="AH124" s="289"/>
      <c r="AI124" s="289">
        <v>1</v>
      </c>
      <c r="AJ124" s="289"/>
      <c r="AK124" s="290">
        <f>(V124/AF124)*AI124</f>
        <v>1.5E-3</v>
      </c>
      <c r="AL124" s="290"/>
      <c r="AM124" s="290"/>
      <c r="AN124" s="290"/>
      <c r="AO124" s="291"/>
      <c r="AP124" s="365" t="str">
        <f t="shared" ref="AP124:AP133" si="37">IF($B$8="","","∞")</f>
        <v>∞</v>
      </c>
      <c r="AQ124" s="366"/>
      <c r="AR124" s="366"/>
      <c r="AS124" s="366"/>
      <c r="AT124" s="329"/>
      <c r="AU124" s="330"/>
      <c r="AV124" s="331"/>
      <c r="AW124" s="113"/>
      <c r="AX124" s="113"/>
      <c r="AY124" s="113"/>
      <c r="AZ124" s="113"/>
      <c r="BA124" s="113"/>
    </row>
    <row r="125" spans="1:75" ht="14.85" customHeight="1">
      <c r="A125" s="109"/>
      <c r="B125" s="190" t="s">
        <v>422</v>
      </c>
      <c r="C125" s="191"/>
      <c r="D125" s="191"/>
      <c r="E125" s="191"/>
      <c r="F125" s="191"/>
      <c r="G125" s="194" t="s">
        <v>352</v>
      </c>
      <c r="H125" s="194"/>
      <c r="I125" s="194"/>
      <c r="J125" s="194"/>
      <c r="K125" s="194"/>
      <c r="L125" s="194"/>
      <c r="M125" s="194"/>
      <c r="N125" s="194"/>
      <c r="O125" s="194"/>
      <c r="P125" s="194"/>
      <c r="Q125" s="194"/>
      <c r="R125" s="194"/>
      <c r="S125" s="194"/>
      <c r="T125" s="194"/>
      <c r="U125" s="194"/>
      <c r="V125" s="317">
        <f>$V$47</f>
        <v>1.6000000000000001E-3</v>
      </c>
      <c r="W125" s="318"/>
      <c r="X125" s="318"/>
      <c r="Y125" s="318"/>
      <c r="Z125" s="128" t="s">
        <v>353</v>
      </c>
      <c r="AA125" s="193" t="s">
        <v>354</v>
      </c>
      <c r="AB125" s="193"/>
      <c r="AC125" s="193"/>
      <c r="AD125" s="193"/>
      <c r="AE125" s="193"/>
      <c r="AF125" s="195" t="s">
        <v>355</v>
      </c>
      <c r="AG125" s="195"/>
      <c r="AH125" s="195"/>
      <c r="AI125" s="195">
        <v>10</v>
      </c>
      <c r="AJ125" s="195"/>
      <c r="AK125" s="196">
        <f>(V125/SQRT(3))*AI125</f>
        <v>9.2376043070340128E-3</v>
      </c>
      <c r="AL125" s="196"/>
      <c r="AM125" s="196"/>
      <c r="AN125" s="196"/>
      <c r="AO125" s="197"/>
      <c r="AP125" s="304" t="str">
        <f t="shared" si="37"/>
        <v>∞</v>
      </c>
      <c r="AQ125" s="305"/>
      <c r="AR125" s="305"/>
      <c r="AS125" s="305"/>
      <c r="AT125" s="329"/>
      <c r="AU125" s="330"/>
      <c r="AV125" s="331"/>
      <c r="AW125" s="113"/>
      <c r="AX125" s="113"/>
      <c r="AY125" s="113"/>
      <c r="AZ125" s="113"/>
      <c r="BA125" s="113"/>
    </row>
    <row r="126" spans="1:75" ht="14.85" customHeight="1">
      <c r="A126" s="109"/>
      <c r="B126" s="190" t="s">
        <v>423</v>
      </c>
      <c r="C126" s="191"/>
      <c r="D126" s="191"/>
      <c r="E126" s="191"/>
      <c r="F126" s="191"/>
      <c r="G126" s="194" t="s">
        <v>356</v>
      </c>
      <c r="H126" s="194"/>
      <c r="I126" s="194"/>
      <c r="J126" s="194"/>
      <c r="K126" s="194"/>
      <c r="L126" s="194"/>
      <c r="M126" s="194"/>
      <c r="N126" s="194"/>
      <c r="O126" s="194"/>
      <c r="P126" s="194"/>
      <c r="Q126" s="194"/>
      <c r="R126" s="194"/>
      <c r="S126" s="194"/>
      <c r="T126" s="194"/>
      <c r="U126" s="194"/>
      <c r="V126" s="317">
        <f>$V$48</f>
        <v>1E-3</v>
      </c>
      <c r="W126" s="318"/>
      <c r="X126" s="318"/>
      <c r="Y126" s="318"/>
      <c r="Z126" s="128" t="s">
        <v>353</v>
      </c>
      <c r="AA126" s="193" t="s">
        <v>354</v>
      </c>
      <c r="AB126" s="193"/>
      <c r="AC126" s="193"/>
      <c r="AD126" s="193"/>
      <c r="AE126" s="193"/>
      <c r="AF126" s="195">
        <v>2</v>
      </c>
      <c r="AG126" s="195"/>
      <c r="AH126" s="195"/>
      <c r="AI126" s="195">
        <v>10</v>
      </c>
      <c r="AJ126" s="195"/>
      <c r="AK126" s="196">
        <f>(V126/AF126)*AI126</f>
        <v>5.0000000000000001E-3</v>
      </c>
      <c r="AL126" s="196"/>
      <c r="AM126" s="196"/>
      <c r="AN126" s="196"/>
      <c r="AO126" s="197"/>
      <c r="AP126" s="304" t="str">
        <f t="shared" si="37"/>
        <v>∞</v>
      </c>
      <c r="AQ126" s="305"/>
      <c r="AR126" s="305"/>
      <c r="AS126" s="305"/>
      <c r="AT126" s="329"/>
      <c r="AU126" s="330"/>
      <c r="AV126" s="331"/>
      <c r="AW126" s="113"/>
      <c r="AX126" s="113"/>
      <c r="AY126" s="113"/>
      <c r="AZ126" s="113"/>
      <c r="BA126" s="113"/>
    </row>
    <row r="127" spans="1:75" ht="14.85" customHeight="1">
      <c r="A127" s="109"/>
      <c r="B127" s="190" t="s">
        <v>424</v>
      </c>
      <c r="C127" s="191"/>
      <c r="D127" s="191"/>
      <c r="E127" s="191"/>
      <c r="F127" s="191"/>
      <c r="G127" s="194" t="s">
        <v>357</v>
      </c>
      <c r="H127" s="194"/>
      <c r="I127" s="194"/>
      <c r="J127" s="194"/>
      <c r="K127" s="194"/>
      <c r="L127" s="194"/>
      <c r="M127" s="194"/>
      <c r="N127" s="194"/>
      <c r="O127" s="194"/>
      <c r="P127" s="194"/>
      <c r="Q127" s="194"/>
      <c r="R127" s="194"/>
      <c r="S127" s="194"/>
      <c r="T127" s="194"/>
      <c r="U127" s="194"/>
      <c r="V127" s="317">
        <f>$V$49</f>
        <v>1E-3</v>
      </c>
      <c r="W127" s="318"/>
      <c r="X127" s="318"/>
      <c r="Y127" s="318"/>
      <c r="Z127" s="128" t="s">
        <v>353</v>
      </c>
      <c r="AA127" s="193" t="s">
        <v>354</v>
      </c>
      <c r="AB127" s="193"/>
      <c r="AC127" s="193"/>
      <c r="AD127" s="193"/>
      <c r="AE127" s="193"/>
      <c r="AF127" s="195" t="s">
        <v>355</v>
      </c>
      <c r="AG127" s="195"/>
      <c r="AH127" s="195"/>
      <c r="AI127" s="195">
        <v>10</v>
      </c>
      <c r="AJ127" s="195"/>
      <c r="AK127" s="196">
        <f>(V127/SQRT(3))*AI127</f>
        <v>5.773502691896258E-3</v>
      </c>
      <c r="AL127" s="196"/>
      <c r="AM127" s="196"/>
      <c r="AN127" s="196"/>
      <c r="AO127" s="197"/>
      <c r="AP127" s="304" t="str">
        <f t="shared" si="37"/>
        <v>∞</v>
      </c>
      <c r="AQ127" s="305"/>
      <c r="AR127" s="305"/>
      <c r="AS127" s="305"/>
      <c r="AT127" s="329"/>
      <c r="AU127" s="330"/>
      <c r="AV127" s="331"/>
      <c r="AW127" s="113"/>
      <c r="AX127" s="113"/>
      <c r="AY127" s="113"/>
      <c r="AZ127" s="113"/>
      <c r="BA127" s="113"/>
    </row>
    <row r="128" spans="1:75" s="96" customFormat="1" ht="14.85" customHeight="1">
      <c r="A128" s="109"/>
      <c r="B128" s="190" t="s">
        <v>425</v>
      </c>
      <c r="C128" s="191"/>
      <c r="D128" s="191"/>
      <c r="E128" s="191"/>
      <c r="F128" s="191"/>
      <c r="G128" s="194" t="s">
        <v>358</v>
      </c>
      <c r="H128" s="194"/>
      <c r="I128" s="194"/>
      <c r="J128" s="194"/>
      <c r="K128" s="194"/>
      <c r="L128" s="194"/>
      <c r="M128" s="194"/>
      <c r="N128" s="194"/>
      <c r="O128" s="194"/>
      <c r="P128" s="194"/>
      <c r="Q128" s="194"/>
      <c r="R128" s="194"/>
      <c r="S128" s="194"/>
      <c r="T128" s="194"/>
      <c r="U128" s="194"/>
      <c r="V128" s="317">
        <f>$V$50</f>
        <v>5.0000000000000002E-5</v>
      </c>
      <c r="W128" s="318"/>
      <c r="X128" s="318"/>
      <c r="Y128" s="318"/>
      <c r="Z128" s="128" t="s">
        <v>434</v>
      </c>
      <c r="AA128" s="193" t="s">
        <v>354</v>
      </c>
      <c r="AB128" s="193"/>
      <c r="AC128" s="193"/>
      <c r="AD128" s="193"/>
      <c r="AE128" s="193"/>
      <c r="AF128" s="195" t="s">
        <v>355</v>
      </c>
      <c r="AG128" s="195"/>
      <c r="AH128" s="195"/>
      <c r="AI128" s="195">
        <v>1</v>
      </c>
      <c r="AJ128" s="195"/>
      <c r="AK128" s="196">
        <f>(V128/SQRT(3))*AI128</f>
        <v>2.8867513459481293E-5</v>
      </c>
      <c r="AL128" s="196"/>
      <c r="AM128" s="196"/>
      <c r="AN128" s="196"/>
      <c r="AO128" s="197"/>
      <c r="AP128" s="304" t="str">
        <f t="shared" si="37"/>
        <v>∞</v>
      </c>
      <c r="AQ128" s="305"/>
      <c r="AR128" s="305"/>
      <c r="AS128" s="305"/>
      <c r="AT128" s="329"/>
      <c r="AU128" s="330"/>
      <c r="AV128" s="331"/>
      <c r="AW128" s="113"/>
      <c r="AX128" s="113"/>
      <c r="AY128" s="113"/>
      <c r="AZ128" s="113"/>
      <c r="BA128" s="113"/>
      <c r="BS128" s="97"/>
      <c r="BT128" s="97"/>
      <c r="BU128" s="97"/>
      <c r="BV128" s="97"/>
      <c r="BW128" s="97"/>
    </row>
    <row r="129" spans="1:75" s="96" customFormat="1" ht="14.85" customHeight="1">
      <c r="A129" s="109"/>
      <c r="B129" s="190" t="s">
        <v>426</v>
      </c>
      <c r="C129" s="191"/>
      <c r="D129" s="191"/>
      <c r="E129" s="191"/>
      <c r="F129" s="191"/>
      <c r="G129" s="194" t="s">
        <v>359</v>
      </c>
      <c r="H129" s="194"/>
      <c r="I129" s="194"/>
      <c r="J129" s="194"/>
      <c r="K129" s="194"/>
      <c r="L129" s="194"/>
      <c r="M129" s="194"/>
      <c r="N129" s="194"/>
      <c r="O129" s="194"/>
      <c r="P129" s="194"/>
      <c r="Q129" s="194"/>
      <c r="R129" s="194"/>
      <c r="S129" s="194"/>
      <c r="T129" s="194"/>
      <c r="U129" s="194"/>
      <c r="V129" s="317">
        <f>$V$51</f>
        <v>0.01</v>
      </c>
      <c r="W129" s="318"/>
      <c r="X129" s="318"/>
      <c r="Y129" s="318"/>
      <c r="Z129" s="128" t="s">
        <v>434</v>
      </c>
      <c r="AA129" s="193" t="s">
        <v>354</v>
      </c>
      <c r="AB129" s="193"/>
      <c r="AC129" s="193"/>
      <c r="AD129" s="193"/>
      <c r="AE129" s="193"/>
      <c r="AF129" s="195" t="s">
        <v>355</v>
      </c>
      <c r="AG129" s="195"/>
      <c r="AH129" s="195"/>
      <c r="AI129" s="195">
        <v>1</v>
      </c>
      <c r="AJ129" s="195"/>
      <c r="AK129" s="196">
        <f>(V129/SQRT(3))*AI129</f>
        <v>5.773502691896258E-3</v>
      </c>
      <c r="AL129" s="196"/>
      <c r="AM129" s="196"/>
      <c r="AN129" s="196"/>
      <c r="AO129" s="197"/>
      <c r="AP129" s="304" t="str">
        <f t="shared" si="37"/>
        <v>∞</v>
      </c>
      <c r="AQ129" s="305"/>
      <c r="AR129" s="305"/>
      <c r="AS129" s="305"/>
      <c r="AT129" s="329"/>
      <c r="AU129" s="330"/>
      <c r="AV129" s="331"/>
      <c r="AW129" s="113"/>
      <c r="AX129" s="113"/>
      <c r="AY129" s="113"/>
      <c r="AZ129" s="113"/>
      <c r="BA129" s="113"/>
      <c r="BS129" s="97"/>
      <c r="BT129" s="97"/>
      <c r="BU129" s="97"/>
      <c r="BV129" s="97"/>
      <c r="BW129" s="97"/>
    </row>
    <row r="130" spans="1:75" s="96" customFormat="1" ht="14.85" customHeight="1">
      <c r="A130" s="109"/>
      <c r="B130" s="190" t="s">
        <v>427</v>
      </c>
      <c r="C130" s="191"/>
      <c r="D130" s="191"/>
      <c r="E130" s="191"/>
      <c r="F130" s="191"/>
      <c r="G130" s="194" t="s">
        <v>360</v>
      </c>
      <c r="H130" s="194"/>
      <c r="I130" s="194"/>
      <c r="J130" s="194"/>
      <c r="K130" s="194"/>
      <c r="L130" s="194"/>
      <c r="M130" s="194"/>
      <c r="N130" s="194"/>
      <c r="O130" s="194"/>
      <c r="P130" s="194"/>
      <c r="Q130" s="194"/>
      <c r="R130" s="194"/>
      <c r="S130" s="194"/>
      <c r="T130" s="194"/>
      <c r="U130" s="194"/>
      <c r="V130" s="317">
        <f>$V$52</f>
        <v>0.01</v>
      </c>
      <c r="W130" s="318"/>
      <c r="X130" s="318"/>
      <c r="Y130" s="318"/>
      <c r="Z130" s="128" t="s">
        <v>434</v>
      </c>
      <c r="AA130" s="193" t="s">
        <v>354</v>
      </c>
      <c r="AB130" s="193"/>
      <c r="AC130" s="193"/>
      <c r="AD130" s="193"/>
      <c r="AE130" s="193"/>
      <c r="AF130" s="195" t="s">
        <v>355</v>
      </c>
      <c r="AG130" s="195"/>
      <c r="AH130" s="195"/>
      <c r="AI130" s="195">
        <v>1</v>
      </c>
      <c r="AJ130" s="195"/>
      <c r="AK130" s="196">
        <f t="shared" ref="AK130:AK132" si="38">(V130/SQRT(3))*AI130</f>
        <v>5.773502691896258E-3</v>
      </c>
      <c r="AL130" s="196"/>
      <c r="AM130" s="196"/>
      <c r="AN130" s="196"/>
      <c r="AO130" s="197"/>
      <c r="AP130" s="304" t="str">
        <f t="shared" si="37"/>
        <v>∞</v>
      </c>
      <c r="AQ130" s="305"/>
      <c r="AR130" s="305"/>
      <c r="AS130" s="305"/>
      <c r="AT130" s="329"/>
      <c r="AU130" s="330"/>
      <c r="AV130" s="331"/>
      <c r="AW130" s="113"/>
      <c r="AX130" s="113"/>
      <c r="AY130" s="113"/>
      <c r="AZ130" s="113"/>
      <c r="BA130" s="113"/>
      <c r="BS130" s="97"/>
      <c r="BT130" s="97"/>
      <c r="BU130" s="97"/>
      <c r="BV130" s="97"/>
      <c r="BW130" s="97"/>
    </row>
    <row r="131" spans="1:75" s="96" customFormat="1" ht="14.85" customHeight="1">
      <c r="A131" s="109"/>
      <c r="B131" s="190" t="s">
        <v>428</v>
      </c>
      <c r="C131" s="191"/>
      <c r="D131" s="191"/>
      <c r="E131" s="191"/>
      <c r="F131" s="191"/>
      <c r="G131" s="194" t="s">
        <v>361</v>
      </c>
      <c r="H131" s="194"/>
      <c r="I131" s="194"/>
      <c r="J131" s="194"/>
      <c r="K131" s="194"/>
      <c r="L131" s="194"/>
      <c r="M131" s="194"/>
      <c r="N131" s="194"/>
      <c r="O131" s="194"/>
      <c r="P131" s="194"/>
      <c r="Q131" s="194"/>
      <c r="R131" s="194"/>
      <c r="S131" s="194"/>
      <c r="T131" s="194"/>
      <c r="U131" s="194"/>
      <c r="V131" s="317" t="e">
        <f>$AB$3/2</f>
        <v>#VALUE!</v>
      </c>
      <c r="W131" s="318"/>
      <c r="X131" s="318"/>
      <c r="Y131" s="318"/>
      <c r="Z131" s="128" t="s">
        <v>434</v>
      </c>
      <c r="AA131" s="193" t="s">
        <v>354</v>
      </c>
      <c r="AB131" s="193"/>
      <c r="AC131" s="193"/>
      <c r="AD131" s="193"/>
      <c r="AE131" s="193"/>
      <c r="AF131" s="195" t="s">
        <v>355</v>
      </c>
      <c r="AG131" s="195"/>
      <c r="AH131" s="195"/>
      <c r="AI131" s="195">
        <v>1</v>
      </c>
      <c r="AJ131" s="195"/>
      <c r="AK131" s="196" t="e">
        <f t="shared" si="38"/>
        <v>#VALUE!</v>
      </c>
      <c r="AL131" s="196"/>
      <c r="AM131" s="196"/>
      <c r="AN131" s="196"/>
      <c r="AO131" s="197"/>
      <c r="AP131" s="304" t="str">
        <f t="shared" si="37"/>
        <v>∞</v>
      </c>
      <c r="AQ131" s="305"/>
      <c r="AR131" s="305"/>
      <c r="AS131" s="305"/>
      <c r="AT131" s="329"/>
      <c r="AU131" s="330"/>
      <c r="AV131" s="331"/>
      <c r="AW131" s="113"/>
      <c r="AX131" s="113"/>
      <c r="AY131" s="113"/>
      <c r="AZ131" s="113"/>
      <c r="BA131" s="113"/>
      <c r="BS131" s="97"/>
      <c r="BT131" s="97"/>
      <c r="BU131" s="97"/>
      <c r="BV131" s="97"/>
      <c r="BW131" s="97"/>
    </row>
    <row r="132" spans="1:75" s="96" customFormat="1" ht="14.85" customHeight="1">
      <c r="A132" s="109"/>
      <c r="B132" s="190" t="s">
        <v>429</v>
      </c>
      <c r="C132" s="191"/>
      <c r="D132" s="191"/>
      <c r="E132" s="191"/>
      <c r="F132" s="191"/>
      <c r="G132" s="194" t="s">
        <v>362</v>
      </c>
      <c r="H132" s="194"/>
      <c r="I132" s="194"/>
      <c r="J132" s="194"/>
      <c r="K132" s="194"/>
      <c r="L132" s="194"/>
      <c r="M132" s="194"/>
      <c r="N132" s="194"/>
      <c r="O132" s="194"/>
      <c r="P132" s="194"/>
      <c r="Q132" s="194"/>
      <c r="R132" s="194"/>
      <c r="S132" s="194"/>
      <c r="T132" s="194"/>
      <c r="U132" s="194"/>
      <c r="V132" s="317" t="str">
        <f>$Z$24</f>
        <v/>
      </c>
      <c r="W132" s="318"/>
      <c r="X132" s="318"/>
      <c r="Y132" s="318"/>
      <c r="Z132" s="128" t="s">
        <v>434</v>
      </c>
      <c r="AA132" s="193" t="s">
        <v>354</v>
      </c>
      <c r="AB132" s="193"/>
      <c r="AC132" s="193"/>
      <c r="AD132" s="193"/>
      <c r="AE132" s="193"/>
      <c r="AF132" s="195" t="s">
        <v>355</v>
      </c>
      <c r="AG132" s="195"/>
      <c r="AH132" s="195"/>
      <c r="AI132" s="195">
        <v>1</v>
      </c>
      <c r="AJ132" s="195"/>
      <c r="AK132" s="196" t="e">
        <f t="shared" si="38"/>
        <v>#VALUE!</v>
      </c>
      <c r="AL132" s="196"/>
      <c r="AM132" s="196"/>
      <c r="AN132" s="196"/>
      <c r="AO132" s="197"/>
      <c r="AP132" s="304" t="str">
        <f t="shared" si="37"/>
        <v>∞</v>
      </c>
      <c r="AQ132" s="305"/>
      <c r="AR132" s="305"/>
      <c r="AS132" s="305"/>
      <c r="AT132" s="329"/>
      <c r="AU132" s="330"/>
      <c r="AV132" s="331"/>
      <c r="AW132" s="113"/>
      <c r="AX132" s="113"/>
      <c r="AY132" s="113"/>
      <c r="AZ132" s="113"/>
      <c r="BA132" s="113"/>
      <c r="BS132" s="97"/>
      <c r="BT132" s="97"/>
      <c r="BU132" s="97"/>
      <c r="BV132" s="97"/>
      <c r="BW132" s="97"/>
    </row>
    <row r="133" spans="1:75" s="96" customFormat="1" ht="14.85" customHeight="1">
      <c r="A133" s="109"/>
      <c r="B133" s="190" t="s">
        <v>430</v>
      </c>
      <c r="C133" s="191"/>
      <c r="D133" s="191"/>
      <c r="E133" s="191"/>
      <c r="F133" s="191"/>
      <c r="G133" s="194" t="s">
        <v>363</v>
      </c>
      <c r="H133" s="194"/>
      <c r="I133" s="194"/>
      <c r="J133" s="194"/>
      <c r="K133" s="194"/>
      <c r="L133" s="194"/>
      <c r="M133" s="194"/>
      <c r="N133" s="194"/>
      <c r="O133" s="194"/>
      <c r="P133" s="194"/>
      <c r="Q133" s="194"/>
      <c r="R133" s="194"/>
      <c r="S133" s="194"/>
      <c r="T133" s="194"/>
      <c r="U133" s="194"/>
      <c r="V133" s="317">
        <v>0</v>
      </c>
      <c r="W133" s="318"/>
      <c r="X133" s="318"/>
      <c r="Y133" s="318"/>
      <c r="Z133" s="128" t="s">
        <v>434</v>
      </c>
      <c r="AA133" s="193" t="s">
        <v>354</v>
      </c>
      <c r="AB133" s="193"/>
      <c r="AC133" s="193"/>
      <c r="AD133" s="193"/>
      <c r="AE133" s="193"/>
      <c r="AF133" s="195" t="s">
        <v>355</v>
      </c>
      <c r="AG133" s="195"/>
      <c r="AH133" s="195"/>
      <c r="AI133" s="195">
        <v>1</v>
      </c>
      <c r="AJ133" s="195"/>
      <c r="AK133" s="196">
        <f>(V133/SQRT(3))*AI133</f>
        <v>0</v>
      </c>
      <c r="AL133" s="196"/>
      <c r="AM133" s="196"/>
      <c r="AN133" s="196"/>
      <c r="AO133" s="197"/>
      <c r="AP133" s="304" t="str">
        <f t="shared" si="37"/>
        <v>∞</v>
      </c>
      <c r="AQ133" s="305"/>
      <c r="AR133" s="305"/>
      <c r="AS133" s="305"/>
      <c r="AT133" s="329"/>
      <c r="AU133" s="330"/>
      <c r="AV133" s="331"/>
      <c r="AW133" s="113"/>
      <c r="AX133" s="113"/>
      <c r="AY133" s="113"/>
      <c r="AZ133" s="113"/>
      <c r="BA133" s="113"/>
      <c r="BS133" s="97"/>
      <c r="BT133" s="97"/>
      <c r="BU133" s="97"/>
      <c r="BV133" s="97"/>
      <c r="BW133" s="97"/>
    </row>
    <row r="134" spans="1:75" s="96" customFormat="1" ht="14.85" customHeight="1">
      <c r="A134" s="109"/>
      <c r="B134" s="190" t="s">
        <v>431</v>
      </c>
      <c r="C134" s="191"/>
      <c r="D134" s="191"/>
      <c r="E134" s="191"/>
      <c r="F134" s="191"/>
      <c r="G134" s="194" t="s">
        <v>364</v>
      </c>
      <c r="H134" s="194"/>
      <c r="I134" s="194"/>
      <c r="J134" s="194"/>
      <c r="K134" s="194"/>
      <c r="L134" s="194"/>
      <c r="M134" s="194"/>
      <c r="N134" s="194"/>
      <c r="O134" s="194"/>
      <c r="P134" s="194"/>
      <c r="Q134" s="194"/>
      <c r="R134" s="194"/>
      <c r="S134" s="194"/>
      <c r="T134" s="194"/>
      <c r="U134" s="194"/>
      <c r="V134" s="317" t="str">
        <f>$E$16</f>
        <v/>
      </c>
      <c r="W134" s="318"/>
      <c r="X134" s="318"/>
      <c r="Y134" s="318"/>
      <c r="Z134" s="128" t="s">
        <v>434</v>
      </c>
      <c r="AA134" s="193" t="s">
        <v>37</v>
      </c>
      <c r="AB134" s="193"/>
      <c r="AC134" s="193"/>
      <c r="AD134" s="193"/>
      <c r="AE134" s="193"/>
      <c r="AF134" s="195">
        <v>1</v>
      </c>
      <c r="AG134" s="195"/>
      <c r="AH134" s="195"/>
      <c r="AI134" s="195">
        <f>IF($B$8="","",1)</f>
        <v>1</v>
      </c>
      <c r="AJ134" s="195"/>
      <c r="AK134" s="196" t="e">
        <f t="shared" ref="AK134" si="39">(V134/AF134)*AI134</f>
        <v>#VALUE!</v>
      </c>
      <c r="AL134" s="196"/>
      <c r="AM134" s="196"/>
      <c r="AN134" s="196"/>
      <c r="AO134" s="197"/>
      <c r="AP134" s="304">
        <v>9</v>
      </c>
      <c r="AQ134" s="305"/>
      <c r="AR134" s="305"/>
      <c r="AS134" s="305"/>
      <c r="AT134" s="329"/>
      <c r="AU134" s="330"/>
      <c r="AV134" s="331"/>
      <c r="AW134" s="113"/>
      <c r="AX134" s="113"/>
      <c r="AY134" s="113"/>
      <c r="AZ134" s="113"/>
      <c r="BA134" s="113"/>
      <c r="BS134" s="97"/>
      <c r="BT134" s="97"/>
      <c r="BU134" s="97"/>
      <c r="BV134" s="97"/>
      <c r="BW134" s="97"/>
    </row>
    <row r="135" spans="1:75" s="96" customFormat="1" ht="14.85" customHeight="1" thickBot="1">
      <c r="A135" s="109"/>
      <c r="B135" s="306" t="s">
        <v>432</v>
      </c>
      <c r="C135" s="307"/>
      <c r="D135" s="307"/>
      <c r="E135" s="307"/>
      <c r="F135" s="307"/>
      <c r="G135" s="340" t="s">
        <v>365</v>
      </c>
      <c r="H135" s="340"/>
      <c r="I135" s="340"/>
      <c r="J135" s="340"/>
      <c r="K135" s="340"/>
      <c r="L135" s="340"/>
      <c r="M135" s="340"/>
      <c r="N135" s="340"/>
      <c r="O135" s="340"/>
      <c r="P135" s="340"/>
      <c r="Q135" s="340"/>
      <c r="R135" s="340"/>
      <c r="S135" s="340"/>
      <c r="T135" s="340"/>
      <c r="U135" s="340"/>
      <c r="V135" s="319" t="str">
        <f>$Y$16</f>
        <v/>
      </c>
      <c r="W135" s="320"/>
      <c r="X135" s="320"/>
      <c r="Y135" s="320"/>
      <c r="Z135" s="129" t="s">
        <v>434</v>
      </c>
      <c r="AA135" s="308" t="s">
        <v>37</v>
      </c>
      <c r="AB135" s="308"/>
      <c r="AC135" s="308"/>
      <c r="AD135" s="308"/>
      <c r="AE135" s="308"/>
      <c r="AF135" s="309">
        <v>1</v>
      </c>
      <c r="AG135" s="309"/>
      <c r="AH135" s="309"/>
      <c r="AI135" s="309">
        <f>IF($B$8="","",1)</f>
        <v>1</v>
      </c>
      <c r="AJ135" s="309"/>
      <c r="AK135" s="310" t="e">
        <f>(V135/AF135)*AI135</f>
        <v>#VALUE!</v>
      </c>
      <c r="AL135" s="310"/>
      <c r="AM135" s="310"/>
      <c r="AN135" s="310"/>
      <c r="AO135" s="311"/>
      <c r="AP135" s="304">
        <v>9</v>
      </c>
      <c r="AQ135" s="305"/>
      <c r="AR135" s="305"/>
      <c r="AS135" s="305"/>
      <c r="AT135" s="329"/>
      <c r="AU135" s="330"/>
      <c r="AV135" s="331"/>
      <c r="AW135" s="113"/>
      <c r="AX135" s="113"/>
      <c r="AY135" s="113"/>
      <c r="AZ135" s="113"/>
      <c r="BA135" s="113"/>
      <c r="BS135" s="97"/>
      <c r="BT135" s="97"/>
      <c r="BU135" s="97"/>
      <c r="BV135" s="97"/>
      <c r="BW135" s="97"/>
    </row>
    <row r="136" spans="1:75" s="96" customFormat="1" ht="14.85" customHeight="1" thickTop="1" thickBot="1">
      <c r="A136" s="109"/>
      <c r="B136" s="338" t="s">
        <v>433</v>
      </c>
      <c r="C136" s="339"/>
      <c r="D136" s="339"/>
      <c r="E136" s="339"/>
      <c r="F136" s="339"/>
      <c r="G136" s="340" t="s">
        <v>366</v>
      </c>
      <c r="H136" s="340" t="s">
        <v>366</v>
      </c>
      <c r="I136" s="340" t="s">
        <v>366</v>
      </c>
      <c r="J136" s="340" t="s">
        <v>366</v>
      </c>
      <c r="K136" s="340" t="s">
        <v>366</v>
      </c>
      <c r="L136" s="340" t="s">
        <v>366</v>
      </c>
      <c r="M136" s="340" t="s">
        <v>366</v>
      </c>
      <c r="N136" s="340" t="s">
        <v>366</v>
      </c>
      <c r="O136" s="340" t="s">
        <v>366</v>
      </c>
      <c r="P136" s="340" t="s">
        <v>366</v>
      </c>
      <c r="Q136" s="340" t="s">
        <v>366</v>
      </c>
      <c r="R136" s="340" t="s">
        <v>366</v>
      </c>
      <c r="S136" s="340" t="s">
        <v>366</v>
      </c>
      <c r="T136" s="340" t="s">
        <v>366</v>
      </c>
      <c r="U136" s="340" t="s">
        <v>366</v>
      </c>
      <c r="V136" s="357"/>
      <c r="W136" s="358"/>
      <c r="X136" s="358"/>
      <c r="Y136" s="358"/>
      <c r="Z136" s="130"/>
      <c r="AA136" s="359" t="s">
        <v>37</v>
      </c>
      <c r="AB136" s="359"/>
      <c r="AC136" s="359"/>
      <c r="AD136" s="359"/>
      <c r="AE136" s="360"/>
      <c r="AF136" s="349"/>
      <c r="AG136" s="350"/>
      <c r="AH136" s="350"/>
      <c r="AI136" s="350"/>
      <c r="AJ136" s="351"/>
      <c r="AK136" s="343" t="e">
        <f>SQRT(SUMSQ(AK124:AO135))</f>
        <v>#VALUE!</v>
      </c>
      <c r="AL136" s="344"/>
      <c r="AM136" s="344"/>
      <c r="AN136" s="344"/>
      <c r="AO136" s="344"/>
      <c r="AP136" s="322" t="e">
        <f>IF(V135&lt;0.000000001,"∞",(AK136^4/((AK135^4/AP135)+(AK134^4/AP134))))</f>
        <v>#VALUE!</v>
      </c>
      <c r="AQ136" s="323"/>
      <c r="AR136" s="323"/>
      <c r="AS136" s="323"/>
      <c r="AT136" s="329"/>
      <c r="AU136" s="330"/>
      <c r="AV136" s="331"/>
      <c r="AW136" s="113"/>
      <c r="AX136" s="113"/>
      <c r="AY136" s="113"/>
      <c r="AZ136" s="113"/>
      <c r="BA136" s="113"/>
      <c r="BS136" s="97"/>
      <c r="BT136" s="97"/>
      <c r="BU136" s="97"/>
      <c r="BV136" s="97"/>
      <c r="BW136" s="97"/>
    </row>
    <row r="137" spans="1:75" s="96" customFormat="1" ht="14.85" customHeight="1" thickTop="1" thickBot="1">
      <c r="A137" s="109"/>
      <c r="B137" s="338" t="s">
        <v>368</v>
      </c>
      <c r="C137" s="339"/>
      <c r="D137" s="339"/>
      <c r="E137" s="339"/>
      <c r="F137" s="339"/>
      <c r="G137" s="340" t="s">
        <v>369</v>
      </c>
      <c r="H137" s="340" t="s">
        <v>369</v>
      </c>
      <c r="I137" s="340" t="s">
        <v>369</v>
      </c>
      <c r="J137" s="340" t="s">
        <v>369</v>
      </c>
      <c r="K137" s="340" t="s">
        <v>369</v>
      </c>
      <c r="L137" s="340" t="s">
        <v>369</v>
      </c>
      <c r="M137" s="340" t="s">
        <v>369</v>
      </c>
      <c r="N137" s="340" t="s">
        <v>369</v>
      </c>
      <c r="O137" s="340" t="s">
        <v>369</v>
      </c>
      <c r="P137" s="340" t="s">
        <v>369</v>
      </c>
      <c r="Q137" s="340" t="s">
        <v>369</v>
      </c>
      <c r="R137" s="340" t="s">
        <v>369</v>
      </c>
      <c r="S137" s="340" t="s">
        <v>369</v>
      </c>
      <c r="T137" s="340" t="s">
        <v>369</v>
      </c>
      <c r="U137" s="340" t="s">
        <v>369</v>
      </c>
      <c r="V137" s="341"/>
      <c r="W137" s="342"/>
      <c r="X137" s="342"/>
      <c r="Y137" s="342"/>
      <c r="Z137" s="131"/>
      <c r="AA137" s="345" t="s">
        <v>370</v>
      </c>
      <c r="AB137" s="346"/>
      <c r="AC137" s="347" t="e">
        <f>IF(AP136="∞",2,TINV(0.0455,AP136))</f>
        <v>#VALUE!</v>
      </c>
      <c r="AD137" s="348"/>
      <c r="AE137" s="348"/>
      <c r="AF137" s="352"/>
      <c r="AG137" s="353"/>
      <c r="AH137" s="353"/>
      <c r="AI137" s="353"/>
      <c r="AJ137" s="354"/>
      <c r="AK137" s="343" t="e">
        <f>AK136*AC137</f>
        <v>#VALUE!</v>
      </c>
      <c r="AL137" s="344"/>
      <c r="AM137" s="344"/>
      <c r="AN137" s="344"/>
      <c r="AO137" s="344"/>
      <c r="AP137" s="324" t="s">
        <v>367</v>
      </c>
      <c r="AQ137" s="325" t="s">
        <v>367</v>
      </c>
      <c r="AR137" s="325" t="s">
        <v>367</v>
      </c>
      <c r="AS137" s="325"/>
      <c r="AT137" s="332"/>
      <c r="AU137" s="333"/>
      <c r="AV137" s="334"/>
      <c r="AW137" s="113"/>
      <c r="AX137" s="113"/>
      <c r="AY137" s="113"/>
      <c r="AZ137" s="113"/>
      <c r="BA137" s="113"/>
      <c r="BS137" s="97"/>
      <c r="BT137" s="97"/>
      <c r="BU137" s="97"/>
      <c r="BV137" s="97"/>
      <c r="BW137" s="97"/>
    </row>
    <row r="138" spans="1:75" s="96" customFormat="1" ht="14.85" customHeight="1" thickTop="1" thickBot="1">
      <c r="A138" s="109"/>
      <c r="B138" s="139"/>
      <c r="C138" s="139"/>
      <c r="D138" s="139"/>
      <c r="E138" s="139"/>
      <c r="F138" s="139"/>
      <c r="G138" s="126"/>
      <c r="H138" s="126"/>
      <c r="I138" s="126"/>
      <c r="J138" s="126"/>
      <c r="K138" s="126"/>
      <c r="L138" s="126"/>
      <c r="M138" s="126"/>
      <c r="N138" s="126"/>
      <c r="O138" s="126"/>
      <c r="P138" s="126"/>
      <c r="Q138" s="126"/>
      <c r="R138" s="126"/>
      <c r="S138" s="126"/>
      <c r="T138" s="126"/>
      <c r="U138" s="126"/>
      <c r="V138" s="132"/>
      <c r="W138" s="132"/>
      <c r="X138" s="132"/>
      <c r="Y138" s="132"/>
      <c r="Z138" s="133"/>
      <c r="AA138" s="134"/>
      <c r="AB138" s="134"/>
      <c r="AC138" s="374" t="s">
        <v>371</v>
      </c>
      <c r="AD138" s="375"/>
      <c r="AE138" s="369">
        <f>IF($J$5&lt;0,0.04,0.03)</f>
        <v>0.03</v>
      </c>
      <c r="AF138" s="369"/>
      <c r="AG138" s="370"/>
      <c r="AH138" s="371" t="s">
        <v>372</v>
      </c>
      <c r="AI138" s="369"/>
      <c r="AJ138" s="369"/>
      <c r="AK138" s="372" t="e">
        <f>IF(AK137&lt;AE138,AE138,ROUNDUP(AK137,3))</f>
        <v>#VALUE!</v>
      </c>
      <c r="AL138" s="372"/>
      <c r="AM138" s="372"/>
      <c r="AN138" s="372"/>
      <c r="AO138" s="373"/>
      <c r="AP138" s="134"/>
      <c r="AQ138" s="134"/>
      <c r="AR138" s="134"/>
      <c r="AS138" s="132"/>
      <c r="AT138" s="132"/>
      <c r="AU138" s="132"/>
      <c r="AV138" s="132"/>
      <c r="AW138" s="113"/>
      <c r="AX138" s="113"/>
      <c r="AY138" s="113"/>
      <c r="AZ138" s="113"/>
      <c r="BA138" s="113"/>
      <c r="BS138" s="97"/>
      <c r="BT138" s="97"/>
      <c r="BU138" s="97"/>
      <c r="BV138" s="97"/>
      <c r="BW138" s="97"/>
    </row>
    <row r="139" spans="1:75" s="96" customFormat="1" ht="14.85" customHeight="1" thickTop="1" thickBot="1">
      <c r="A139" s="109"/>
      <c r="B139" s="139"/>
      <c r="C139" s="139"/>
      <c r="D139" s="139"/>
      <c r="E139" s="139"/>
      <c r="F139" s="139"/>
      <c r="G139" s="121"/>
      <c r="H139" s="121"/>
      <c r="I139" s="121"/>
      <c r="J139" s="121"/>
      <c r="K139" s="121"/>
      <c r="L139" s="121"/>
      <c r="M139" s="121"/>
      <c r="N139" s="121"/>
      <c r="O139" s="121"/>
      <c r="P139" s="121"/>
      <c r="Q139" s="121"/>
      <c r="R139" s="121"/>
      <c r="S139" s="121"/>
      <c r="T139" s="121"/>
      <c r="U139" s="121"/>
      <c r="V139" s="113"/>
      <c r="W139" s="113"/>
      <c r="X139" s="113"/>
      <c r="Y139" s="113"/>
      <c r="Z139" s="123"/>
      <c r="AA139" s="124"/>
      <c r="AB139" s="124"/>
      <c r="AC139" s="124"/>
      <c r="AD139" s="124"/>
      <c r="AE139" s="124"/>
      <c r="AF139" s="125"/>
      <c r="AG139" s="125"/>
      <c r="AH139" s="125"/>
      <c r="AI139" s="125"/>
      <c r="AJ139" s="125"/>
      <c r="AK139" s="113"/>
      <c r="AL139" s="113"/>
      <c r="AM139" s="113"/>
      <c r="AN139" s="113"/>
      <c r="AO139" s="113"/>
      <c r="AP139" s="124"/>
      <c r="AQ139" s="124"/>
      <c r="AR139" s="124"/>
      <c r="AS139" s="113"/>
      <c r="AT139" s="113"/>
      <c r="AU139" s="113"/>
      <c r="AV139" s="113"/>
      <c r="AW139" s="113"/>
      <c r="AX139" s="113"/>
      <c r="AY139" s="113"/>
      <c r="AZ139" s="113"/>
      <c r="BA139" s="113"/>
      <c r="BS139" s="97"/>
      <c r="BT139" s="97"/>
      <c r="BU139" s="97"/>
      <c r="BV139" s="97"/>
      <c r="BW139" s="97"/>
    </row>
    <row r="140" spans="1:75" s="96" customFormat="1" ht="14.85" customHeight="1" thickTop="1" thickBot="1">
      <c r="A140" s="91"/>
      <c r="B140" s="355" t="s">
        <v>347</v>
      </c>
      <c r="C140" s="356"/>
      <c r="D140" s="356"/>
      <c r="E140" s="356"/>
      <c r="F140" s="356"/>
      <c r="G140" s="312" t="s">
        <v>348</v>
      </c>
      <c r="H140" s="312"/>
      <c r="I140" s="312"/>
      <c r="J140" s="312"/>
      <c r="K140" s="312"/>
      <c r="L140" s="312"/>
      <c r="M140" s="312"/>
      <c r="N140" s="312"/>
      <c r="O140" s="312"/>
      <c r="P140" s="312"/>
      <c r="Q140" s="312"/>
      <c r="R140" s="312"/>
      <c r="S140" s="312"/>
      <c r="T140" s="312"/>
      <c r="U140" s="312"/>
      <c r="V140" s="187" t="s">
        <v>417</v>
      </c>
      <c r="W140" s="187"/>
      <c r="X140" s="187"/>
      <c r="Y140" s="187"/>
      <c r="Z140" s="187"/>
      <c r="AA140" s="186" t="s">
        <v>418</v>
      </c>
      <c r="AB140" s="187"/>
      <c r="AC140" s="187"/>
      <c r="AD140" s="187"/>
      <c r="AE140" s="187"/>
      <c r="AF140" s="187" t="s">
        <v>349</v>
      </c>
      <c r="AG140" s="187"/>
      <c r="AH140" s="187"/>
      <c r="AI140" s="187" t="s">
        <v>350</v>
      </c>
      <c r="AJ140" s="187"/>
      <c r="AK140" s="186" t="s">
        <v>419</v>
      </c>
      <c r="AL140" s="187"/>
      <c r="AM140" s="187"/>
      <c r="AN140" s="187"/>
      <c r="AO140" s="187"/>
      <c r="AP140" s="361" t="s">
        <v>420</v>
      </c>
      <c r="AQ140" s="362"/>
      <c r="AR140" s="362"/>
      <c r="AS140" s="362"/>
      <c r="AT140" s="326" t="str">
        <f>IF(AC10="","","6")</f>
        <v/>
      </c>
      <c r="AU140" s="327"/>
      <c r="AV140" s="328"/>
      <c r="AW140" s="113"/>
      <c r="AX140" s="113"/>
      <c r="AY140" s="113"/>
      <c r="AZ140" s="113"/>
      <c r="BA140" s="113"/>
      <c r="BS140" s="97"/>
      <c r="BT140" s="97"/>
      <c r="BU140" s="97"/>
      <c r="BV140" s="97"/>
      <c r="BW140" s="97"/>
    </row>
    <row r="141" spans="1:75" s="96" customFormat="1" ht="14.85" customHeight="1" thickTop="1" thickBot="1">
      <c r="A141" s="122"/>
      <c r="B141" s="355"/>
      <c r="C141" s="356"/>
      <c r="D141" s="356"/>
      <c r="E141" s="356"/>
      <c r="F141" s="356"/>
      <c r="G141" s="312"/>
      <c r="H141" s="312"/>
      <c r="I141" s="312"/>
      <c r="J141" s="312"/>
      <c r="K141" s="312"/>
      <c r="L141" s="312"/>
      <c r="M141" s="312"/>
      <c r="N141" s="312"/>
      <c r="O141" s="312"/>
      <c r="P141" s="312"/>
      <c r="Q141" s="312"/>
      <c r="R141" s="312"/>
      <c r="S141" s="312"/>
      <c r="T141" s="312"/>
      <c r="U141" s="312"/>
      <c r="V141" s="187"/>
      <c r="W141" s="187"/>
      <c r="X141" s="187"/>
      <c r="Y141" s="187"/>
      <c r="Z141" s="187"/>
      <c r="AA141" s="187"/>
      <c r="AB141" s="187"/>
      <c r="AC141" s="187"/>
      <c r="AD141" s="187"/>
      <c r="AE141" s="187"/>
      <c r="AF141" s="187"/>
      <c r="AG141" s="187"/>
      <c r="AH141" s="187"/>
      <c r="AI141" s="187"/>
      <c r="AJ141" s="187"/>
      <c r="AK141" s="187"/>
      <c r="AL141" s="187"/>
      <c r="AM141" s="187"/>
      <c r="AN141" s="187"/>
      <c r="AO141" s="187"/>
      <c r="AP141" s="363"/>
      <c r="AQ141" s="364"/>
      <c r="AR141" s="364"/>
      <c r="AS141" s="364"/>
      <c r="AT141" s="329"/>
      <c r="AU141" s="330"/>
      <c r="AV141" s="331"/>
      <c r="AW141" s="113"/>
      <c r="AX141" s="113"/>
      <c r="AY141" s="113"/>
      <c r="AZ141" s="113"/>
      <c r="BA141" s="113"/>
      <c r="BS141" s="97"/>
      <c r="BT141" s="97"/>
      <c r="BU141" s="97"/>
      <c r="BV141" s="97"/>
      <c r="BW141" s="97"/>
    </row>
    <row r="142" spans="1:75" s="96" customFormat="1" ht="14.85" customHeight="1" thickTop="1">
      <c r="A142" s="109"/>
      <c r="B142" s="188" t="s">
        <v>421</v>
      </c>
      <c r="C142" s="189"/>
      <c r="D142" s="189"/>
      <c r="E142" s="189"/>
      <c r="F142" s="189"/>
      <c r="G142" s="321" t="s">
        <v>351</v>
      </c>
      <c r="H142" s="321"/>
      <c r="I142" s="321"/>
      <c r="J142" s="321"/>
      <c r="K142" s="321"/>
      <c r="L142" s="321"/>
      <c r="M142" s="321"/>
      <c r="N142" s="321"/>
      <c r="O142" s="321"/>
      <c r="P142" s="321"/>
      <c r="Q142" s="321"/>
      <c r="R142" s="321"/>
      <c r="S142" s="321"/>
      <c r="T142" s="321"/>
      <c r="U142" s="321"/>
      <c r="V142" s="367">
        <f>$V$46</f>
        <v>3.0000000000000001E-3</v>
      </c>
      <c r="W142" s="368"/>
      <c r="X142" s="368"/>
      <c r="Y142" s="368"/>
      <c r="Z142" s="127" t="s">
        <v>434</v>
      </c>
      <c r="AA142" s="192" t="s">
        <v>37</v>
      </c>
      <c r="AB142" s="192"/>
      <c r="AC142" s="192"/>
      <c r="AD142" s="192"/>
      <c r="AE142" s="192"/>
      <c r="AF142" s="289">
        <v>2</v>
      </c>
      <c r="AG142" s="289"/>
      <c r="AH142" s="289"/>
      <c r="AI142" s="289">
        <v>1</v>
      </c>
      <c r="AJ142" s="289"/>
      <c r="AK142" s="290">
        <f>(V142/AF142)*AI142</f>
        <v>1.5E-3</v>
      </c>
      <c r="AL142" s="290"/>
      <c r="AM142" s="290"/>
      <c r="AN142" s="290"/>
      <c r="AO142" s="291"/>
      <c r="AP142" s="365" t="str">
        <f t="shared" ref="AP142:AP151" si="40">IF($B$8="","","∞")</f>
        <v>∞</v>
      </c>
      <c r="AQ142" s="366"/>
      <c r="AR142" s="366"/>
      <c r="AS142" s="366"/>
      <c r="AT142" s="329"/>
      <c r="AU142" s="330"/>
      <c r="AV142" s="331"/>
      <c r="AW142" s="113"/>
      <c r="AX142" s="113"/>
      <c r="AY142" s="113"/>
      <c r="AZ142" s="113"/>
      <c r="BA142" s="113"/>
      <c r="BS142" s="97"/>
      <c r="BT142" s="97"/>
      <c r="BU142" s="97"/>
      <c r="BV142" s="97"/>
      <c r="BW142" s="97"/>
    </row>
    <row r="143" spans="1:75" s="96" customFormat="1" ht="14.85" customHeight="1">
      <c r="A143" s="109"/>
      <c r="B143" s="190" t="s">
        <v>422</v>
      </c>
      <c r="C143" s="191"/>
      <c r="D143" s="191"/>
      <c r="E143" s="191"/>
      <c r="F143" s="191"/>
      <c r="G143" s="194" t="s">
        <v>352</v>
      </c>
      <c r="H143" s="194"/>
      <c r="I143" s="194"/>
      <c r="J143" s="194"/>
      <c r="K143" s="194"/>
      <c r="L143" s="194"/>
      <c r="M143" s="194"/>
      <c r="N143" s="194"/>
      <c r="O143" s="194"/>
      <c r="P143" s="194"/>
      <c r="Q143" s="194"/>
      <c r="R143" s="194"/>
      <c r="S143" s="194"/>
      <c r="T143" s="194"/>
      <c r="U143" s="194"/>
      <c r="V143" s="317">
        <f>$V$47</f>
        <v>1.6000000000000001E-3</v>
      </c>
      <c r="W143" s="318"/>
      <c r="X143" s="318"/>
      <c r="Y143" s="318"/>
      <c r="Z143" s="128" t="s">
        <v>353</v>
      </c>
      <c r="AA143" s="193" t="s">
        <v>354</v>
      </c>
      <c r="AB143" s="193"/>
      <c r="AC143" s="193"/>
      <c r="AD143" s="193"/>
      <c r="AE143" s="193"/>
      <c r="AF143" s="195" t="s">
        <v>355</v>
      </c>
      <c r="AG143" s="195"/>
      <c r="AH143" s="195"/>
      <c r="AI143" s="195">
        <v>10</v>
      </c>
      <c r="AJ143" s="195"/>
      <c r="AK143" s="196">
        <f>(V143/SQRT(3))*AI143</f>
        <v>9.2376043070340128E-3</v>
      </c>
      <c r="AL143" s="196"/>
      <c r="AM143" s="196"/>
      <c r="AN143" s="196"/>
      <c r="AO143" s="197"/>
      <c r="AP143" s="304" t="str">
        <f t="shared" si="40"/>
        <v>∞</v>
      </c>
      <c r="AQ143" s="305"/>
      <c r="AR143" s="305"/>
      <c r="AS143" s="305"/>
      <c r="AT143" s="329"/>
      <c r="AU143" s="330"/>
      <c r="AV143" s="331"/>
      <c r="AW143" s="113"/>
      <c r="AX143" s="113"/>
      <c r="AY143" s="113"/>
      <c r="AZ143" s="113"/>
      <c r="BA143" s="113"/>
      <c r="BS143" s="97"/>
      <c r="BT143" s="97"/>
      <c r="BU143" s="97"/>
      <c r="BV143" s="97"/>
      <c r="BW143" s="97"/>
    </row>
    <row r="144" spans="1:75" ht="14.85" customHeight="1">
      <c r="A144" s="109"/>
      <c r="B144" s="190" t="s">
        <v>423</v>
      </c>
      <c r="C144" s="191"/>
      <c r="D144" s="191"/>
      <c r="E144" s="191"/>
      <c r="F144" s="191"/>
      <c r="G144" s="194" t="s">
        <v>356</v>
      </c>
      <c r="H144" s="194"/>
      <c r="I144" s="194"/>
      <c r="J144" s="194"/>
      <c r="K144" s="194"/>
      <c r="L144" s="194"/>
      <c r="M144" s="194"/>
      <c r="N144" s="194"/>
      <c r="O144" s="194"/>
      <c r="P144" s="194"/>
      <c r="Q144" s="194"/>
      <c r="R144" s="194"/>
      <c r="S144" s="194"/>
      <c r="T144" s="194"/>
      <c r="U144" s="194"/>
      <c r="V144" s="317">
        <f>$V$48</f>
        <v>1E-3</v>
      </c>
      <c r="W144" s="318"/>
      <c r="X144" s="318"/>
      <c r="Y144" s="318"/>
      <c r="Z144" s="128" t="s">
        <v>353</v>
      </c>
      <c r="AA144" s="193" t="s">
        <v>354</v>
      </c>
      <c r="AB144" s="193"/>
      <c r="AC144" s="193"/>
      <c r="AD144" s="193"/>
      <c r="AE144" s="193"/>
      <c r="AF144" s="195">
        <v>2</v>
      </c>
      <c r="AG144" s="195"/>
      <c r="AH144" s="195"/>
      <c r="AI144" s="195">
        <v>10</v>
      </c>
      <c r="AJ144" s="195"/>
      <c r="AK144" s="196">
        <f>(V144/AF144)*AI144</f>
        <v>5.0000000000000001E-3</v>
      </c>
      <c r="AL144" s="196"/>
      <c r="AM144" s="196"/>
      <c r="AN144" s="196"/>
      <c r="AO144" s="197"/>
      <c r="AP144" s="304" t="str">
        <f t="shared" si="40"/>
        <v>∞</v>
      </c>
      <c r="AQ144" s="305"/>
      <c r="AR144" s="305"/>
      <c r="AS144" s="305"/>
      <c r="AT144" s="329"/>
      <c r="AU144" s="330"/>
      <c r="AV144" s="331"/>
      <c r="AW144" s="113"/>
      <c r="AX144" s="113"/>
      <c r="AY144" s="113"/>
      <c r="AZ144" s="113"/>
      <c r="BA144" s="113"/>
    </row>
    <row r="145" spans="1:74" ht="14.85" customHeight="1">
      <c r="A145" s="109"/>
      <c r="B145" s="190" t="s">
        <v>424</v>
      </c>
      <c r="C145" s="191"/>
      <c r="D145" s="191"/>
      <c r="E145" s="191"/>
      <c r="F145" s="191"/>
      <c r="G145" s="194" t="s">
        <v>357</v>
      </c>
      <c r="H145" s="194"/>
      <c r="I145" s="194"/>
      <c r="J145" s="194"/>
      <c r="K145" s="194"/>
      <c r="L145" s="194"/>
      <c r="M145" s="194"/>
      <c r="N145" s="194"/>
      <c r="O145" s="194"/>
      <c r="P145" s="194"/>
      <c r="Q145" s="194"/>
      <c r="R145" s="194"/>
      <c r="S145" s="194"/>
      <c r="T145" s="194"/>
      <c r="U145" s="194"/>
      <c r="V145" s="317">
        <f>$V$49</f>
        <v>1E-3</v>
      </c>
      <c r="W145" s="318"/>
      <c r="X145" s="318"/>
      <c r="Y145" s="318"/>
      <c r="Z145" s="128" t="s">
        <v>353</v>
      </c>
      <c r="AA145" s="193" t="s">
        <v>354</v>
      </c>
      <c r="AB145" s="193"/>
      <c r="AC145" s="193"/>
      <c r="AD145" s="193"/>
      <c r="AE145" s="193"/>
      <c r="AF145" s="195" t="s">
        <v>355</v>
      </c>
      <c r="AG145" s="195"/>
      <c r="AH145" s="195"/>
      <c r="AI145" s="195">
        <v>10</v>
      </c>
      <c r="AJ145" s="195"/>
      <c r="AK145" s="196">
        <f>(V145/SQRT(3))*AI145</f>
        <v>5.773502691896258E-3</v>
      </c>
      <c r="AL145" s="196"/>
      <c r="AM145" s="196"/>
      <c r="AN145" s="196"/>
      <c r="AO145" s="197"/>
      <c r="AP145" s="304" t="str">
        <f t="shared" si="40"/>
        <v>∞</v>
      </c>
      <c r="AQ145" s="305"/>
      <c r="AR145" s="305"/>
      <c r="AS145" s="305"/>
      <c r="AT145" s="329"/>
      <c r="AU145" s="330"/>
      <c r="AV145" s="331"/>
      <c r="AW145" s="113"/>
      <c r="AX145" s="113"/>
      <c r="AY145" s="113"/>
      <c r="AZ145" s="113"/>
      <c r="BA145" s="113"/>
    </row>
    <row r="146" spans="1:74" ht="14.85" customHeight="1">
      <c r="A146" s="109"/>
      <c r="B146" s="190" t="s">
        <v>425</v>
      </c>
      <c r="C146" s="191"/>
      <c r="D146" s="191"/>
      <c r="E146" s="191"/>
      <c r="F146" s="191"/>
      <c r="G146" s="194" t="s">
        <v>358</v>
      </c>
      <c r="H146" s="194"/>
      <c r="I146" s="194"/>
      <c r="J146" s="194"/>
      <c r="K146" s="194"/>
      <c r="L146" s="194"/>
      <c r="M146" s="194"/>
      <c r="N146" s="194"/>
      <c r="O146" s="194"/>
      <c r="P146" s="194"/>
      <c r="Q146" s="194"/>
      <c r="R146" s="194"/>
      <c r="S146" s="194"/>
      <c r="T146" s="194"/>
      <c r="U146" s="194"/>
      <c r="V146" s="317">
        <f>$V$50</f>
        <v>5.0000000000000002E-5</v>
      </c>
      <c r="W146" s="318"/>
      <c r="X146" s="318"/>
      <c r="Y146" s="318"/>
      <c r="Z146" s="128" t="s">
        <v>434</v>
      </c>
      <c r="AA146" s="193" t="s">
        <v>354</v>
      </c>
      <c r="AB146" s="193"/>
      <c r="AC146" s="193"/>
      <c r="AD146" s="193"/>
      <c r="AE146" s="193"/>
      <c r="AF146" s="195" t="s">
        <v>355</v>
      </c>
      <c r="AG146" s="195"/>
      <c r="AH146" s="195"/>
      <c r="AI146" s="195">
        <v>1</v>
      </c>
      <c r="AJ146" s="195"/>
      <c r="AK146" s="196">
        <f>(V146/SQRT(3))*AI146</f>
        <v>2.8867513459481293E-5</v>
      </c>
      <c r="AL146" s="196"/>
      <c r="AM146" s="196"/>
      <c r="AN146" s="196"/>
      <c r="AO146" s="197"/>
      <c r="AP146" s="304" t="str">
        <f t="shared" si="40"/>
        <v>∞</v>
      </c>
      <c r="AQ146" s="305"/>
      <c r="AR146" s="305"/>
      <c r="AS146" s="305"/>
      <c r="AT146" s="329"/>
      <c r="AU146" s="330"/>
      <c r="AV146" s="331"/>
      <c r="AW146" s="113"/>
      <c r="AX146" s="113"/>
      <c r="AY146" s="113"/>
      <c r="AZ146" s="113"/>
      <c r="BA146" s="113"/>
    </row>
    <row r="147" spans="1:74" ht="14.85" customHeight="1">
      <c r="A147" s="109"/>
      <c r="B147" s="190" t="s">
        <v>426</v>
      </c>
      <c r="C147" s="191"/>
      <c r="D147" s="191"/>
      <c r="E147" s="191"/>
      <c r="F147" s="191"/>
      <c r="G147" s="194" t="s">
        <v>359</v>
      </c>
      <c r="H147" s="194"/>
      <c r="I147" s="194"/>
      <c r="J147" s="194"/>
      <c r="K147" s="194"/>
      <c r="L147" s="194"/>
      <c r="M147" s="194"/>
      <c r="N147" s="194"/>
      <c r="O147" s="194"/>
      <c r="P147" s="194"/>
      <c r="Q147" s="194"/>
      <c r="R147" s="194"/>
      <c r="S147" s="194"/>
      <c r="T147" s="194"/>
      <c r="U147" s="194"/>
      <c r="V147" s="317">
        <f>$V$51</f>
        <v>0.01</v>
      </c>
      <c r="W147" s="318"/>
      <c r="X147" s="318"/>
      <c r="Y147" s="318"/>
      <c r="Z147" s="128" t="s">
        <v>434</v>
      </c>
      <c r="AA147" s="193" t="s">
        <v>354</v>
      </c>
      <c r="AB147" s="193"/>
      <c r="AC147" s="193"/>
      <c r="AD147" s="193"/>
      <c r="AE147" s="193"/>
      <c r="AF147" s="195" t="s">
        <v>355</v>
      </c>
      <c r="AG147" s="195"/>
      <c r="AH147" s="195"/>
      <c r="AI147" s="195">
        <v>1</v>
      </c>
      <c r="AJ147" s="195"/>
      <c r="AK147" s="196">
        <f>(V147/SQRT(3))*AI147</f>
        <v>5.773502691896258E-3</v>
      </c>
      <c r="AL147" s="196"/>
      <c r="AM147" s="196"/>
      <c r="AN147" s="196"/>
      <c r="AO147" s="197"/>
      <c r="AP147" s="304" t="str">
        <f t="shared" si="40"/>
        <v>∞</v>
      </c>
      <c r="AQ147" s="305"/>
      <c r="AR147" s="305"/>
      <c r="AS147" s="305"/>
      <c r="AT147" s="329"/>
      <c r="AU147" s="330"/>
      <c r="AV147" s="331"/>
      <c r="AW147" s="113"/>
      <c r="AX147" s="113"/>
      <c r="AY147" s="113"/>
      <c r="AZ147" s="113"/>
      <c r="BA147" s="113"/>
    </row>
    <row r="148" spans="1:74" ht="14.85" customHeight="1">
      <c r="A148" s="109"/>
      <c r="B148" s="190" t="s">
        <v>427</v>
      </c>
      <c r="C148" s="191"/>
      <c r="D148" s="191"/>
      <c r="E148" s="191"/>
      <c r="F148" s="191"/>
      <c r="G148" s="194" t="s">
        <v>360</v>
      </c>
      <c r="H148" s="194"/>
      <c r="I148" s="194"/>
      <c r="J148" s="194"/>
      <c r="K148" s="194"/>
      <c r="L148" s="194"/>
      <c r="M148" s="194"/>
      <c r="N148" s="194"/>
      <c r="O148" s="194"/>
      <c r="P148" s="194"/>
      <c r="Q148" s="194"/>
      <c r="R148" s="194"/>
      <c r="S148" s="194"/>
      <c r="T148" s="194"/>
      <c r="U148" s="194"/>
      <c r="V148" s="317">
        <f>$V$52</f>
        <v>0.01</v>
      </c>
      <c r="W148" s="318"/>
      <c r="X148" s="318"/>
      <c r="Y148" s="318"/>
      <c r="Z148" s="128" t="s">
        <v>434</v>
      </c>
      <c r="AA148" s="193" t="s">
        <v>354</v>
      </c>
      <c r="AB148" s="193"/>
      <c r="AC148" s="193"/>
      <c r="AD148" s="193"/>
      <c r="AE148" s="193"/>
      <c r="AF148" s="195" t="s">
        <v>355</v>
      </c>
      <c r="AG148" s="195"/>
      <c r="AH148" s="195"/>
      <c r="AI148" s="195">
        <v>1</v>
      </c>
      <c r="AJ148" s="195"/>
      <c r="AK148" s="196">
        <f t="shared" ref="AK148:AK150" si="41">(V148/SQRT(3))*AI148</f>
        <v>5.773502691896258E-3</v>
      </c>
      <c r="AL148" s="196"/>
      <c r="AM148" s="196"/>
      <c r="AN148" s="196"/>
      <c r="AO148" s="197"/>
      <c r="AP148" s="304" t="str">
        <f t="shared" si="40"/>
        <v>∞</v>
      </c>
      <c r="AQ148" s="305"/>
      <c r="AR148" s="305"/>
      <c r="AS148" s="305"/>
      <c r="AT148" s="329"/>
      <c r="AU148" s="330"/>
      <c r="AV148" s="331"/>
      <c r="AW148" s="113"/>
      <c r="AX148" s="113"/>
      <c r="AY148" s="113"/>
      <c r="AZ148" s="113"/>
      <c r="BA148" s="113"/>
    </row>
    <row r="149" spans="1:74" ht="14.85" customHeight="1">
      <c r="A149" s="109"/>
      <c r="B149" s="190" t="s">
        <v>428</v>
      </c>
      <c r="C149" s="191"/>
      <c r="D149" s="191"/>
      <c r="E149" s="191"/>
      <c r="F149" s="191"/>
      <c r="G149" s="194" t="s">
        <v>361</v>
      </c>
      <c r="H149" s="194"/>
      <c r="I149" s="194"/>
      <c r="J149" s="194"/>
      <c r="K149" s="194"/>
      <c r="L149" s="194"/>
      <c r="M149" s="194"/>
      <c r="N149" s="194"/>
      <c r="O149" s="194"/>
      <c r="P149" s="194"/>
      <c r="Q149" s="194"/>
      <c r="R149" s="194"/>
      <c r="S149" s="194"/>
      <c r="T149" s="194"/>
      <c r="U149" s="194"/>
      <c r="V149" s="317" t="e">
        <f>$AB$3/2</f>
        <v>#VALUE!</v>
      </c>
      <c r="W149" s="318"/>
      <c r="X149" s="318"/>
      <c r="Y149" s="318"/>
      <c r="Z149" s="128" t="s">
        <v>434</v>
      </c>
      <c r="AA149" s="193" t="s">
        <v>354</v>
      </c>
      <c r="AB149" s="193"/>
      <c r="AC149" s="193"/>
      <c r="AD149" s="193"/>
      <c r="AE149" s="193"/>
      <c r="AF149" s="195" t="s">
        <v>355</v>
      </c>
      <c r="AG149" s="195"/>
      <c r="AH149" s="195"/>
      <c r="AI149" s="195">
        <v>1</v>
      </c>
      <c r="AJ149" s="195"/>
      <c r="AK149" s="196" t="e">
        <f t="shared" si="41"/>
        <v>#VALUE!</v>
      </c>
      <c r="AL149" s="196"/>
      <c r="AM149" s="196"/>
      <c r="AN149" s="196"/>
      <c r="AO149" s="197"/>
      <c r="AP149" s="304" t="str">
        <f t="shared" si="40"/>
        <v>∞</v>
      </c>
      <c r="AQ149" s="305"/>
      <c r="AR149" s="305"/>
      <c r="AS149" s="305"/>
      <c r="AT149" s="329"/>
      <c r="AU149" s="330"/>
      <c r="AV149" s="331"/>
      <c r="AW149" s="113"/>
      <c r="AX149" s="113"/>
      <c r="AY149" s="113"/>
      <c r="AZ149" s="113"/>
      <c r="BA149" s="113"/>
    </row>
    <row r="150" spans="1:74" ht="14.85" customHeight="1">
      <c r="A150" s="109"/>
      <c r="B150" s="190" t="s">
        <v>429</v>
      </c>
      <c r="C150" s="191"/>
      <c r="D150" s="191"/>
      <c r="E150" s="191"/>
      <c r="F150" s="191"/>
      <c r="G150" s="194" t="s">
        <v>362</v>
      </c>
      <c r="H150" s="194"/>
      <c r="I150" s="194"/>
      <c r="J150" s="194"/>
      <c r="K150" s="194"/>
      <c r="L150" s="194"/>
      <c r="M150" s="194"/>
      <c r="N150" s="194"/>
      <c r="O150" s="194"/>
      <c r="P150" s="194"/>
      <c r="Q150" s="194"/>
      <c r="R150" s="194"/>
      <c r="S150" s="194"/>
      <c r="T150" s="194"/>
      <c r="U150" s="194"/>
      <c r="V150" s="317" t="str">
        <f>$AD$24</f>
        <v/>
      </c>
      <c r="W150" s="318"/>
      <c r="X150" s="318"/>
      <c r="Y150" s="318"/>
      <c r="Z150" s="128" t="s">
        <v>434</v>
      </c>
      <c r="AA150" s="193" t="s">
        <v>354</v>
      </c>
      <c r="AB150" s="193"/>
      <c r="AC150" s="193"/>
      <c r="AD150" s="193"/>
      <c r="AE150" s="193"/>
      <c r="AF150" s="195" t="s">
        <v>355</v>
      </c>
      <c r="AG150" s="195"/>
      <c r="AH150" s="195"/>
      <c r="AI150" s="195">
        <v>1</v>
      </c>
      <c r="AJ150" s="195"/>
      <c r="AK150" s="196" t="e">
        <f t="shared" si="41"/>
        <v>#VALUE!</v>
      </c>
      <c r="AL150" s="196"/>
      <c r="AM150" s="196"/>
      <c r="AN150" s="196"/>
      <c r="AO150" s="197"/>
      <c r="AP150" s="304" t="str">
        <f t="shared" si="40"/>
        <v>∞</v>
      </c>
      <c r="AQ150" s="305"/>
      <c r="AR150" s="305"/>
      <c r="AS150" s="305"/>
      <c r="AT150" s="329"/>
      <c r="AU150" s="330"/>
      <c r="AV150" s="331"/>
      <c r="AW150" s="113"/>
      <c r="AX150" s="113"/>
      <c r="AY150" s="113"/>
      <c r="AZ150" s="113"/>
      <c r="BA150" s="113"/>
    </row>
    <row r="151" spans="1:74" ht="14.85" customHeight="1">
      <c r="A151" s="109"/>
      <c r="B151" s="190" t="s">
        <v>430</v>
      </c>
      <c r="C151" s="191"/>
      <c r="D151" s="191"/>
      <c r="E151" s="191"/>
      <c r="F151" s="191"/>
      <c r="G151" s="194" t="s">
        <v>363</v>
      </c>
      <c r="H151" s="194"/>
      <c r="I151" s="194"/>
      <c r="J151" s="194"/>
      <c r="K151" s="194"/>
      <c r="L151" s="194"/>
      <c r="M151" s="194"/>
      <c r="N151" s="194"/>
      <c r="O151" s="194"/>
      <c r="P151" s="194"/>
      <c r="Q151" s="194"/>
      <c r="R151" s="194"/>
      <c r="S151" s="194"/>
      <c r="T151" s="194"/>
      <c r="U151" s="194"/>
      <c r="V151" s="317">
        <v>0</v>
      </c>
      <c r="W151" s="318"/>
      <c r="X151" s="318"/>
      <c r="Y151" s="318"/>
      <c r="Z151" s="128" t="s">
        <v>434</v>
      </c>
      <c r="AA151" s="193" t="s">
        <v>354</v>
      </c>
      <c r="AB151" s="193"/>
      <c r="AC151" s="193"/>
      <c r="AD151" s="193"/>
      <c r="AE151" s="193"/>
      <c r="AF151" s="195" t="s">
        <v>355</v>
      </c>
      <c r="AG151" s="195"/>
      <c r="AH151" s="195"/>
      <c r="AI151" s="195">
        <v>1</v>
      </c>
      <c r="AJ151" s="195"/>
      <c r="AK151" s="196">
        <f>(V151/SQRT(3))*AI151</f>
        <v>0</v>
      </c>
      <c r="AL151" s="196"/>
      <c r="AM151" s="196"/>
      <c r="AN151" s="196"/>
      <c r="AO151" s="197"/>
      <c r="AP151" s="304" t="str">
        <f t="shared" si="40"/>
        <v>∞</v>
      </c>
      <c r="AQ151" s="305"/>
      <c r="AR151" s="305"/>
      <c r="AS151" s="305"/>
      <c r="AT151" s="329"/>
      <c r="AU151" s="330"/>
      <c r="AV151" s="331"/>
      <c r="AW151" s="113"/>
      <c r="AX151" s="113"/>
      <c r="AY151" s="113"/>
      <c r="AZ151" s="113"/>
      <c r="BA151" s="113"/>
    </row>
    <row r="152" spans="1:74" ht="14.85" customHeight="1">
      <c r="A152" s="109"/>
      <c r="B152" s="190" t="s">
        <v>431</v>
      </c>
      <c r="C152" s="191"/>
      <c r="D152" s="191"/>
      <c r="E152" s="191"/>
      <c r="F152" s="191"/>
      <c r="G152" s="194" t="s">
        <v>364</v>
      </c>
      <c r="H152" s="194"/>
      <c r="I152" s="194"/>
      <c r="J152" s="194"/>
      <c r="K152" s="194"/>
      <c r="L152" s="194"/>
      <c r="M152" s="194"/>
      <c r="N152" s="194"/>
      <c r="O152" s="194"/>
      <c r="P152" s="194"/>
      <c r="Q152" s="194"/>
      <c r="R152" s="194"/>
      <c r="S152" s="194"/>
      <c r="T152" s="194"/>
      <c r="U152" s="194"/>
      <c r="V152" s="317" t="str">
        <f>$E$16</f>
        <v/>
      </c>
      <c r="W152" s="318"/>
      <c r="X152" s="318"/>
      <c r="Y152" s="318"/>
      <c r="Z152" s="128" t="s">
        <v>434</v>
      </c>
      <c r="AA152" s="193" t="s">
        <v>37</v>
      </c>
      <c r="AB152" s="193"/>
      <c r="AC152" s="193"/>
      <c r="AD152" s="193"/>
      <c r="AE152" s="193"/>
      <c r="AF152" s="195">
        <v>1</v>
      </c>
      <c r="AG152" s="195"/>
      <c r="AH152" s="195"/>
      <c r="AI152" s="195">
        <f>IF($B$8="","",1)</f>
        <v>1</v>
      </c>
      <c r="AJ152" s="195"/>
      <c r="AK152" s="196" t="e">
        <f t="shared" ref="AK152" si="42">(V152/AF152)*AI152</f>
        <v>#VALUE!</v>
      </c>
      <c r="AL152" s="196"/>
      <c r="AM152" s="196"/>
      <c r="AN152" s="196"/>
      <c r="AO152" s="197"/>
      <c r="AP152" s="304">
        <v>9</v>
      </c>
      <c r="AQ152" s="305"/>
      <c r="AR152" s="305"/>
      <c r="AS152" s="305"/>
      <c r="AT152" s="329"/>
      <c r="AU152" s="330"/>
      <c r="AV152" s="331"/>
      <c r="AW152" s="113"/>
      <c r="AX152" s="113"/>
      <c r="AY152" s="113"/>
      <c r="AZ152" s="113"/>
      <c r="BA152" s="113"/>
    </row>
    <row r="153" spans="1:74" ht="14.85" customHeight="1" thickBot="1">
      <c r="A153" s="109"/>
      <c r="B153" s="306" t="s">
        <v>432</v>
      </c>
      <c r="C153" s="307"/>
      <c r="D153" s="307"/>
      <c r="E153" s="307"/>
      <c r="F153" s="307"/>
      <c r="G153" s="340" t="s">
        <v>365</v>
      </c>
      <c r="H153" s="340"/>
      <c r="I153" s="340"/>
      <c r="J153" s="340"/>
      <c r="K153" s="340"/>
      <c r="L153" s="340"/>
      <c r="M153" s="340"/>
      <c r="N153" s="340"/>
      <c r="O153" s="340"/>
      <c r="P153" s="340"/>
      <c r="Q153" s="340"/>
      <c r="R153" s="340"/>
      <c r="S153" s="340"/>
      <c r="T153" s="340"/>
      <c r="U153" s="340"/>
      <c r="V153" s="319" t="str">
        <f>$AC$16</f>
        <v/>
      </c>
      <c r="W153" s="320"/>
      <c r="X153" s="320"/>
      <c r="Y153" s="320"/>
      <c r="Z153" s="129" t="s">
        <v>434</v>
      </c>
      <c r="AA153" s="308" t="s">
        <v>37</v>
      </c>
      <c r="AB153" s="308"/>
      <c r="AC153" s="308"/>
      <c r="AD153" s="308"/>
      <c r="AE153" s="308"/>
      <c r="AF153" s="309">
        <v>1</v>
      </c>
      <c r="AG153" s="309"/>
      <c r="AH153" s="309"/>
      <c r="AI153" s="309">
        <f>IF($B$8="","",1)</f>
        <v>1</v>
      </c>
      <c r="AJ153" s="309"/>
      <c r="AK153" s="310" t="e">
        <f>(V153/AF153)*AI153</f>
        <v>#VALUE!</v>
      </c>
      <c r="AL153" s="310"/>
      <c r="AM153" s="310"/>
      <c r="AN153" s="310"/>
      <c r="AO153" s="311"/>
      <c r="AP153" s="304">
        <v>9</v>
      </c>
      <c r="AQ153" s="305"/>
      <c r="AR153" s="305"/>
      <c r="AS153" s="305"/>
      <c r="AT153" s="329"/>
      <c r="AU153" s="330"/>
      <c r="AV153" s="331"/>
      <c r="AW153" s="113"/>
      <c r="AX153" s="113"/>
      <c r="AY153" s="113"/>
      <c r="AZ153" s="113"/>
      <c r="BA153" s="113"/>
    </row>
    <row r="154" spans="1:74" ht="14.85" customHeight="1" thickTop="1" thickBot="1">
      <c r="A154" s="109"/>
      <c r="B154" s="338" t="s">
        <v>433</v>
      </c>
      <c r="C154" s="339"/>
      <c r="D154" s="339"/>
      <c r="E154" s="339"/>
      <c r="F154" s="339"/>
      <c r="G154" s="340" t="s">
        <v>366</v>
      </c>
      <c r="H154" s="340" t="s">
        <v>366</v>
      </c>
      <c r="I154" s="340" t="s">
        <v>366</v>
      </c>
      <c r="J154" s="340" t="s">
        <v>366</v>
      </c>
      <c r="K154" s="340" t="s">
        <v>366</v>
      </c>
      <c r="L154" s="340" t="s">
        <v>366</v>
      </c>
      <c r="M154" s="340" t="s">
        <v>366</v>
      </c>
      <c r="N154" s="340" t="s">
        <v>366</v>
      </c>
      <c r="O154" s="340" t="s">
        <v>366</v>
      </c>
      <c r="P154" s="340" t="s">
        <v>366</v>
      </c>
      <c r="Q154" s="340" t="s">
        <v>366</v>
      </c>
      <c r="R154" s="340" t="s">
        <v>366</v>
      </c>
      <c r="S154" s="340" t="s">
        <v>366</v>
      </c>
      <c r="T154" s="340" t="s">
        <v>366</v>
      </c>
      <c r="U154" s="340" t="s">
        <v>366</v>
      </c>
      <c r="V154" s="357"/>
      <c r="W154" s="358"/>
      <c r="X154" s="358"/>
      <c r="Y154" s="358"/>
      <c r="Z154" s="130"/>
      <c r="AA154" s="359" t="s">
        <v>37</v>
      </c>
      <c r="AB154" s="359"/>
      <c r="AC154" s="359"/>
      <c r="AD154" s="359"/>
      <c r="AE154" s="360"/>
      <c r="AF154" s="349"/>
      <c r="AG154" s="350"/>
      <c r="AH154" s="350"/>
      <c r="AI154" s="350"/>
      <c r="AJ154" s="351"/>
      <c r="AK154" s="343" t="e">
        <f>SQRT(SUMSQ(AK142:AO153))</f>
        <v>#VALUE!</v>
      </c>
      <c r="AL154" s="344"/>
      <c r="AM154" s="344"/>
      <c r="AN154" s="344"/>
      <c r="AO154" s="344"/>
      <c r="AP154" s="322" t="e">
        <f>IF(V153&lt;0.000000001,"∞",(AK154^4/((AK153^4/AP153)+(AK152^4/AP152))))</f>
        <v>#VALUE!</v>
      </c>
      <c r="AQ154" s="323"/>
      <c r="AR154" s="323"/>
      <c r="AS154" s="323"/>
      <c r="AT154" s="329"/>
      <c r="AU154" s="330"/>
      <c r="AV154" s="331"/>
      <c r="AW154" s="113"/>
      <c r="AX154" s="113"/>
      <c r="AY154" s="113"/>
      <c r="AZ154" s="113"/>
      <c r="BA154" s="113"/>
    </row>
    <row r="155" spans="1:74" ht="14.85" customHeight="1" thickTop="1" thickBot="1">
      <c r="A155" s="109"/>
      <c r="B155" s="338" t="s">
        <v>368</v>
      </c>
      <c r="C155" s="339"/>
      <c r="D155" s="339"/>
      <c r="E155" s="339"/>
      <c r="F155" s="339"/>
      <c r="G155" s="340" t="s">
        <v>369</v>
      </c>
      <c r="H155" s="340" t="s">
        <v>369</v>
      </c>
      <c r="I155" s="340" t="s">
        <v>369</v>
      </c>
      <c r="J155" s="340" t="s">
        <v>369</v>
      </c>
      <c r="K155" s="340" t="s">
        <v>369</v>
      </c>
      <c r="L155" s="340" t="s">
        <v>369</v>
      </c>
      <c r="M155" s="340" t="s">
        <v>369</v>
      </c>
      <c r="N155" s="340" t="s">
        <v>369</v>
      </c>
      <c r="O155" s="340" t="s">
        <v>369</v>
      </c>
      <c r="P155" s="340" t="s">
        <v>369</v>
      </c>
      <c r="Q155" s="340" t="s">
        <v>369</v>
      </c>
      <c r="R155" s="340" t="s">
        <v>369</v>
      </c>
      <c r="S155" s="340" t="s">
        <v>369</v>
      </c>
      <c r="T155" s="340" t="s">
        <v>369</v>
      </c>
      <c r="U155" s="340" t="s">
        <v>369</v>
      </c>
      <c r="V155" s="341"/>
      <c r="W155" s="342"/>
      <c r="X155" s="342"/>
      <c r="Y155" s="342"/>
      <c r="Z155" s="131"/>
      <c r="AA155" s="345" t="s">
        <v>370</v>
      </c>
      <c r="AB155" s="346"/>
      <c r="AC155" s="347" t="e">
        <f>IF(AP154="∞",2,TINV(0.0455,AP154))</f>
        <v>#VALUE!</v>
      </c>
      <c r="AD155" s="348"/>
      <c r="AE155" s="348"/>
      <c r="AF155" s="352"/>
      <c r="AG155" s="353"/>
      <c r="AH155" s="353"/>
      <c r="AI155" s="353"/>
      <c r="AJ155" s="354"/>
      <c r="AK155" s="343" t="e">
        <f>AK154*AC155</f>
        <v>#VALUE!</v>
      </c>
      <c r="AL155" s="344"/>
      <c r="AM155" s="344"/>
      <c r="AN155" s="344"/>
      <c r="AO155" s="344"/>
      <c r="AP155" s="324" t="s">
        <v>367</v>
      </c>
      <c r="AQ155" s="325" t="s">
        <v>367</v>
      </c>
      <c r="AR155" s="325" t="s">
        <v>367</v>
      </c>
      <c r="AS155" s="325"/>
      <c r="AT155" s="332"/>
      <c r="AU155" s="333"/>
      <c r="AV155" s="334"/>
      <c r="AW155" s="113"/>
      <c r="AX155" s="113"/>
      <c r="AY155" s="113"/>
      <c r="AZ155" s="113"/>
      <c r="BA155" s="113"/>
    </row>
    <row r="156" spans="1:74" ht="14.85" customHeight="1" thickTop="1" thickBot="1">
      <c r="A156" s="109"/>
      <c r="B156" s="139"/>
      <c r="C156" s="139"/>
      <c r="D156" s="139"/>
      <c r="E156" s="139"/>
      <c r="F156" s="139"/>
      <c r="G156" s="126"/>
      <c r="H156" s="126"/>
      <c r="I156" s="126"/>
      <c r="J156" s="126"/>
      <c r="K156" s="126"/>
      <c r="L156" s="126"/>
      <c r="M156" s="126"/>
      <c r="N156" s="126"/>
      <c r="O156" s="126"/>
      <c r="P156" s="126"/>
      <c r="Q156" s="126"/>
      <c r="R156" s="126"/>
      <c r="S156" s="126"/>
      <c r="T156" s="126"/>
      <c r="U156" s="126"/>
      <c r="V156" s="132"/>
      <c r="W156" s="132"/>
      <c r="X156" s="132"/>
      <c r="Y156" s="132"/>
      <c r="Z156" s="133"/>
      <c r="AA156" s="134"/>
      <c r="AB156" s="134"/>
      <c r="AC156" s="374" t="s">
        <v>371</v>
      </c>
      <c r="AD156" s="375"/>
      <c r="AE156" s="369">
        <f>IF($J$5&lt;0,0.04,0.03)</f>
        <v>0.03</v>
      </c>
      <c r="AF156" s="369"/>
      <c r="AG156" s="370"/>
      <c r="AH156" s="371" t="s">
        <v>372</v>
      </c>
      <c r="AI156" s="369"/>
      <c r="AJ156" s="369"/>
      <c r="AK156" s="372" t="e">
        <f>IF(AK155&lt;AE156,AE156,ROUNDUP(AK155,3))</f>
        <v>#VALUE!</v>
      </c>
      <c r="AL156" s="372"/>
      <c r="AM156" s="372"/>
      <c r="AN156" s="372"/>
      <c r="AO156" s="373"/>
      <c r="AP156" s="134"/>
      <c r="AQ156" s="134"/>
      <c r="AR156" s="134"/>
      <c r="AS156" s="132"/>
      <c r="AT156" s="132"/>
      <c r="AU156" s="132"/>
      <c r="AV156" s="132"/>
      <c r="AW156" s="113"/>
      <c r="AX156" s="113"/>
      <c r="AY156" s="113"/>
      <c r="AZ156" s="113"/>
      <c r="BA156" s="113"/>
    </row>
    <row r="157" spans="1:74" ht="14.85" customHeight="1" thickTop="1">
      <c r="A157" s="109"/>
      <c r="B157" s="139"/>
      <c r="C157" s="139"/>
      <c r="D157" s="139"/>
      <c r="E157" s="139"/>
      <c r="F157" s="139"/>
      <c r="G157" s="121"/>
      <c r="H157" s="121"/>
      <c r="I157" s="121"/>
      <c r="J157" s="121"/>
      <c r="K157" s="121"/>
      <c r="L157" s="121"/>
      <c r="M157" s="121"/>
      <c r="N157" s="121"/>
      <c r="O157" s="121"/>
      <c r="P157" s="121"/>
      <c r="Q157" s="121"/>
      <c r="R157" s="121"/>
      <c r="S157" s="121"/>
      <c r="T157" s="121"/>
      <c r="U157" s="121"/>
      <c r="V157" s="113"/>
      <c r="W157" s="113"/>
      <c r="X157" s="113"/>
      <c r="Y157" s="113"/>
      <c r="Z157" s="123"/>
      <c r="AA157" s="124"/>
      <c r="AB157" s="124"/>
      <c r="AC157" s="124"/>
      <c r="AD157" s="124"/>
      <c r="AE157" s="124"/>
      <c r="AF157" s="125"/>
      <c r="AG157" s="125"/>
      <c r="AH157" s="125"/>
      <c r="AI157" s="125"/>
      <c r="AJ157" s="125"/>
      <c r="AK157" s="113"/>
      <c r="AL157" s="113"/>
      <c r="AM157" s="113"/>
      <c r="AN157" s="113"/>
      <c r="AO157" s="113"/>
      <c r="AP157" s="124"/>
      <c r="AQ157" s="124"/>
      <c r="AR157" s="124"/>
      <c r="AS157" s="113"/>
      <c r="AT157" s="113"/>
      <c r="AU157" s="113"/>
      <c r="AV157" s="113"/>
      <c r="AW157" s="113"/>
      <c r="AX157" s="113"/>
      <c r="AY157" s="113"/>
      <c r="AZ157" s="113"/>
      <c r="BA157" s="113"/>
    </row>
    <row r="158" spans="1:74" ht="14.85" customHeight="1">
      <c r="A158" s="101"/>
      <c r="B158" s="135"/>
      <c r="C158" s="135"/>
      <c r="D158" s="135"/>
      <c r="E158" s="135"/>
      <c r="F158" s="135"/>
      <c r="G158" s="135"/>
      <c r="H158" s="135"/>
      <c r="I158" s="136"/>
      <c r="J158" s="136"/>
      <c r="K158" s="136"/>
      <c r="L158" s="136"/>
      <c r="M158" s="136"/>
      <c r="N158" s="136"/>
      <c r="O158" s="136"/>
      <c r="P158" s="136"/>
      <c r="Q158" s="136"/>
      <c r="R158" s="136"/>
      <c r="S158" s="136"/>
      <c r="T158" s="136"/>
      <c r="U158" s="136"/>
      <c r="V158" s="136"/>
      <c r="W158" s="136"/>
      <c r="X158" s="136"/>
      <c r="Y158" s="136"/>
      <c r="Z158" s="136"/>
      <c r="AA158" s="136"/>
      <c r="AB158" s="136"/>
      <c r="AC158" s="136"/>
      <c r="AD158" s="136"/>
      <c r="AE158" s="136"/>
      <c r="AF158" s="136"/>
      <c r="AG158" s="136"/>
      <c r="AH158" s="136"/>
      <c r="AI158" s="136"/>
      <c r="AJ158" s="136"/>
      <c r="AK158" s="136"/>
      <c r="AL158" s="136"/>
      <c r="AM158" s="136"/>
      <c r="AS158" s="265" t="s">
        <v>5</v>
      </c>
      <c r="AT158" s="265"/>
      <c r="AU158" s="265"/>
      <c r="AV158" s="275">
        <f>AV119+1</f>
        <v>11</v>
      </c>
      <c r="AW158" s="275"/>
      <c r="AX158" s="94" t="s">
        <v>6</v>
      </c>
      <c r="AY158" s="275">
        <f>$AY$1</f>
        <v>1</v>
      </c>
      <c r="AZ158" s="275"/>
      <c r="BA158" s="101"/>
      <c r="BU158" s="112"/>
      <c r="BV158" s="112"/>
    </row>
    <row r="159" spans="1:74" ht="14.85" customHeight="1">
      <c r="A159" s="101"/>
      <c r="B159" s="135"/>
      <c r="C159" s="135"/>
      <c r="D159" s="135"/>
      <c r="E159" s="135"/>
      <c r="F159" s="135"/>
      <c r="G159" s="135"/>
      <c r="H159" s="135"/>
      <c r="I159" s="136"/>
      <c r="J159" s="136"/>
      <c r="K159" s="136"/>
      <c r="L159" s="136"/>
      <c r="M159" s="136"/>
      <c r="N159" s="136"/>
      <c r="O159" s="136"/>
      <c r="P159" s="136"/>
      <c r="Q159" s="136"/>
      <c r="R159" s="136"/>
      <c r="S159" s="136"/>
      <c r="T159" s="136"/>
      <c r="U159" s="136"/>
      <c r="V159" s="136"/>
      <c r="W159" s="136"/>
      <c r="X159" s="136"/>
      <c r="Y159" s="136"/>
      <c r="Z159" s="136"/>
      <c r="AA159" s="136"/>
      <c r="AB159" s="136"/>
      <c r="AC159" s="136"/>
      <c r="AD159" s="136"/>
      <c r="AE159" s="136"/>
      <c r="AF159" s="136"/>
      <c r="AG159" s="136"/>
      <c r="AH159" s="136"/>
      <c r="AI159" s="136"/>
      <c r="AJ159" s="136"/>
      <c r="AK159" s="136"/>
      <c r="AL159" s="136"/>
      <c r="AM159" s="136"/>
      <c r="AQ159" s="98"/>
      <c r="BA159" s="101"/>
      <c r="BU159" s="112"/>
      <c r="BV159" s="112"/>
    </row>
    <row r="160" spans="1:74" ht="14.25" customHeight="1" thickBot="1">
      <c r="A160" s="101"/>
      <c r="B160" s="91" t="s">
        <v>346</v>
      </c>
      <c r="C160" s="101"/>
      <c r="E160" s="101"/>
      <c r="H160" s="103"/>
      <c r="I160" s="137"/>
      <c r="J160" s="138"/>
      <c r="K160" s="138"/>
      <c r="L160" s="138"/>
      <c r="M160" s="137"/>
      <c r="N160" s="138"/>
      <c r="O160" s="138"/>
      <c r="P160" s="138"/>
      <c r="Q160" s="137"/>
      <c r="R160" s="138"/>
      <c r="S160" s="138"/>
      <c r="T160" s="138"/>
      <c r="U160" s="137"/>
      <c r="V160" s="138"/>
      <c r="W160" s="138"/>
      <c r="X160" s="138"/>
      <c r="Y160" s="137"/>
      <c r="Z160" s="138"/>
      <c r="AA160" s="138"/>
      <c r="AB160" s="138"/>
      <c r="AC160" s="137"/>
      <c r="AD160" s="138"/>
      <c r="AE160" s="138"/>
      <c r="AF160" s="138"/>
      <c r="AG160" s="137"/>
      <c r="AH160" s="138"/>
      <c r="AI160" s="138"/>
      <c r="AJ160" s="138"/>
      <c r="AK160" s="137"/>
      <c r="AL160" s="138"/>
      <c r="AM160" s="138"/>
      <c r="AN160" s="138"/>
      <c r="AO160" s="272" t="s">
        <v>7</v>
      </c>
      <c r="AP160" s="272"/>
      <c r="AQ160" s="272"/>
      <c r="AR160" s="272"/>
      <c r="AS160" s="272"/>
      <c r="AT160" s="272"/>
      <c r="AU160" s="272"/>
      <c r="AV160" s="179" t="str">
        <f>$AV$121</f>
        <v xml:space="preserve"> /69 </v>
      </c>
      <c r="AW160" s="179"/>
      <c r="AX160" s="179"/>
      <c r="AY160" s="179"/>
      <c r="AZ160" s="179"/>
      <c r="BA160" s="101"/>
      <c r="BU160" s="112"/>
      <c r="BV160" s="112"/>
    </row>
    <row r="161" spans="1:75" ht="14.85" customHeight="1" thickTop="1" thickBot="1">
      <c r="B161" s="355" t="s">
        <v>347</v>
      </c>
      <c r="C161" s="356"/>
      <c r="D161" s="356"/>
      <c r="E161" s="356"/>
      <c r="F161" s="356"/>
      <c r="G161" s="312" t="s">
        <v>348</v>
      </c>
      <c r="H161" s="312"/>
      <c r="I161" s="312"/>
      <c r="J161" s="312"/>
      <c r="K161" s="312"/>
      <c r="L161" s="312"/>
      <c r="M161" s="312"/>
      <c r="N161" s="312"/>
      <c r="O161" s="312"/>
      <c r="P161" s="312"/>
      <c r="Q161" s="312"/>
      <c r="R161" s="312"/>
      <c r="S161" s="312"/>
      <c r="T161" s="312"/>
      <c r="U161" s="312"/>
      <c r="V161" s="187" t="s">
        <v>417</v>
      </c>
      <c r="W161" s="187"/>
      <c r="X161" s="187"/>
      <c r="Y161" s="187"/>
      <c r="Z161" s="187"/>
      <c r="AA161" s="186" t="s">
        <v>418</v>
      </c>
      <c r="AB161" s="187"/>
      <c r="AC161" s="187"/>
      <c r="AD161" s="187"/>
      <c r="AE161" s="187"/>
      <c r="AF161" s="187" t="s">
        <v>349</v>
      </c>
      <c r="AG161" s="187"/>
      <c r="AH161" s="187"/>
      <c r="AI161" s="187" t="s">
        <v>350</v>
      </c>
      <c r="AJ161" s="187"/>
      <c r="AK161" s="186" t="s">
        <v>419</v>
      </c>
      <c r="AL161" s="187"/>
      <c r="AM161" s="187"/>
      <c r="AN161" s="187"/>
      <c r="AO161" s="187"/>
      <c r="AP161" s="361" t="s">
        <v>420</v>
      </c>
      <c r="AQ161" s="362"/>
      <c r="AR161" s="362"/>
      <c r="AS161" s="362"/>
      <c r="AT161" s="326" t="str">
        <f>IF(AG10="","","7")</f>
        <v/>
      </c>
      <c r="AU161" s="327"/>
      <c r="AV161" s="328"/>
      <c r="AW161" s="113"/>
      <c r="AX161" s="113"/>
      <c r="AY161" s="113"/>
      <c r="AZ161" s="113"/>
      <c r="BA161" s="113"/>
    </row>
    <row r="162" spans="1:75" ht="14.85" customHeight="1" thickTop="1" thickBot="1">
      <c r="A162" s="122"/>
      <c r="B162" s="355"/>
      <c r="C162" s="356"/>
      <c r="D162" s="356"/>
      <c r="E162" s="356"/>
      <c r="F162" s="356"/>
      <c r="G162" s="312"/>
      <c r="H162" s="312"/>
      <c r="I162" s="312"/>
      <c r="J162" s="312"/>
      <c r="K162" s="312"/>
      <c r="L162" s="312"/>
      <c r="M162" s="312"/>
      <c r="N162" s="312"/>
      <c r="O162" s="312"/>
      <c r="P162" s="312"/>
      <c r="Q162" s="312"/>
      <c r="R162" s="312"/>
      <c r="S162" s="312"/>
      <c r="T162" s="312"/>
      <c r="U162" s="312"/>
      <c r="V162" s="187"/>
      <c r="W162" s="187"/>
      <c r="X162" s="187"/>
      <c r="Y162" s="187"/>
      <c r="Z162" s="187"/>
      <c r="AA162" s="187"/>
      <c r="AB162" s="187"/>
      <c r="AC162" s="187"/>
      <c r="AD162" s="187"/>
      <c r="AE162" s="187"/>
      <c r="AF162" s="187"/>
      <c r="AG162" s="187"/>
      <c r="AH162" s="187"/>
      <c r="AI162" s="187"/>
      <c r="AJ162" s="187"/>
      <c r="AK162" s="187"/>
      <c r="AL162" s="187"/>
      <c r="AM162" s="187"/>
      <c r="AN162" s="187"/>
      <c r="AO162" s="187"/>
      <c r="AP162" s="363"/>
      <c r="AQ162" s="364"/>
      <c r="AR162" s="364"/>
      <c r="AS162" s="364"/>
      <c r="AT162" s="329"/>
      <c r="AU162" s="330"/>
      <c r="AV162" s="331"/>
      <c r="AW162" s="113"/>
      <c r="AX162" s="113"/>
      <c r="AY162" s="113"/>
      <c r="AZ162" s="113"/>
      <c r="BA162" s="113"/>
    </row>
    <row r="163" spans="1:75" ht="14.85" customHeight="1" thickTop="1">
      <c r="A163" s="109"/>
      <c r="B163" s="188" t="s">
        <v>421</v>
      </c>
      <c r="C163" s="189"/>
      <c r="D163" s="189"/>
      <c r="E163" s="189"/>
      <c r="F163" s="189"/>
      <c r="G163" s="321" t="s">
        <v>351</v>
      </c>
      <c r="H163" s="321"/>
      <c r="I163" s="321"/>
      <c r="J163" s="321"/>
      <c r="K163" s="321"/>
      <c r="L163" s="321"/>
      <c r="M163" s="321"/>
      <c r="N163" s="321"/>
      <c r="O163" s="321"/>
      <c r="P163" s="321"/>
      <c r="Q163" s="321"/>
      <c r="R163" s="321"/>
      <c r="S163" s="321"/>
      <c r="T163" s="321"/>
      <c r="U163" s="321"/>
      <c r="V163" s="367">
        <f>$V$46</f>
        <v>3.0000000000000001E-3</v>
      </c>
      <c r="W163" s="368"/>
      <c r="X163" s="368"/>
      <c r="Y163" s="368"/>
      <c r="Z163" s="127" t="s">
        <v>434</v>
      </c>
      <c r="AA163" s="192" t="s">
        <v>37</v>
      </c>
      <c r="AB163" s="192"/>
      <c r="AC163" s="192"/>
      <c r="AD163" s="192"/>
      <c r="AE163" s="192"/>
      <c r="AF163" s="289">
        <v>2</v>
      </c>
      <c r="AG163" s="289"/>
      <c r="AH163" s="289"/>
      <c r="AI163" s="289">
        <v>1</v>
      </c>
      <c r="AJ163" s="289"/>
      <c r="AK163" s="290">
        <f>(V163/AF163)*AI163</f>
        <v>1.5E-3</v>
      </c>
      <c r="AL163" s="290"/>
      <c r="AM163" s="290"/>
      <c r="AN163" s="290"/>
      <c r="AO163" s="291"/>
      <c r="AP163" s="365" t="str">
        <f t="shared" ref="AP163:AP172" si="43">IF($B$8="","","∞")</f>
        <v>∞</v>
      </c>
      <c r="AQ163" s="366"/>
      <c r="AR163" s="366"/>
      <c r="AS163" s="366"/>
      <c r="AT163" s="329"/>
      <c r="AU163" s="330"/>
      <c r="AV163" s="331"/>
      <c r="AW163" s="113"/>
      <c r="AX163" s="113"/>
      <c r="AY163" s="113"/>
      <c r="AZ163" s="113"/>
      <c r="BA163" s="113"/>
    </row>
    <row r="164" spans="1:75" ht="14.85" customHeight="1">
      <c r="A164" s="109"/>
      <c r="B164" s="190" t="s">
        <v>422</v>
      </c>
      <c r="C164" s="191"/>
      <c r="D164" s="191"/>
      <c r="E164" s="191"/>
      <c r="F164" s="191"/>
      <c r="G164" s="194" t="s">
        <v>352</v>
      </c>
      <c r="H164" s="194"/>
      <c r="I164" s="194"/>
      <c r="J164" s="194"/>
      <c r="K164" s="194"/>
      <c r="L164" s="194"/>
      <c r="M164" s="194"/>
      <c r="N164" s="194"/>
      <c r="O164" s="194"/>
      <c r="P164" s="194"/>
      <c r="Q164" s="194"/>
      <c r="R164" s="194"/>
      <c r="S164" s="194"/>
      <c r="T164" s="194"/>
      <c r="U164" s="194"/>
      <c r="V164" s="317">
        <f>$V$47</f>
        <v>1.6000000000000001E-3</v>
      </c>
      <c r="W164" s="318"/>
      <c r="X164" s="318"/>
      <c r="Y164" s="318"/>
      <c r="Z164" s="128" t="s">
        <v>353</v>
      </c>
      <c r="AA164" s="193" t="s">
        <v>354</v>
      </c>
      <c r="AB164" s="193"/>
      <c r="AC164" s="193"/>
      <c r="AD164" s="193"/>
      <c r="AE164" s="193"/>
      <c r="AF164" s="195" t="s">
        <v>355</v>
      </c>
      <c r="AG164" s="195"/>
      <c r="AH164" s="195"/>
      <c r="AI164" s="195">
        <v>10</v>
      </c>
      <c r="AJ164" s="195"/>
      <c r="AK164" s="196">
        <f>(V164/SQRT(3))*AI164</f>
        <v>9.2376043070340128E-3</v>
      </c>
      <c r="AL164" s="196"/>
      <c r="AM164" s="196"/>
      <c r="AN164" s="196"/>
      <c r="AO164" s="197"/>
      <c r="AP164" s="304" t="str">
        <f t="shared" si="43"/>
        <v>∞</v>
      </c>
      <c r="AQ164" s="305"/>
      <c r="AR164" s="305"/>
      <c r="AS164" s="305"/>
      <c r="AT164" s="329"/>
      <c r="AU164" s="330"/>
      <c r="AV164" s="331"/>
      <c r="AW164" s="113"/>
      <c r="AX164" s="113"/>
      <c r="AY164" s="113"/>
      <c r="AZ164" s="113"/>
      <c r="BA164" s="113"/>
    </row>
    <row r="165" spans="1:75" ht="14.85" customHeight="1">
      <c r="A165" s="109"/>
      <c r="B165" s="190" t="s">
        <v>423</v>
      </c>
      <c r="C165" s="191"/>
      <c r="D165" s="191"/>
      <c r="E165" s="191"/>
      <c r="F165" s="191"/>
      <c r="G165" s="194" t="s">
        <v>356</v>
      </c>
      <c r="H165" s="194"/>
      <c r="I165" s="194"/>
      <c r="J165" s="194"/>
      <c r="K165" s="194"/>
      <c r="L165" s="194"/>
      <c r="M165" s="194"/>
      <c r="N165" s="194"/>
      <c r="O165" s="194"/>
      <c r="P165" s="194"/>
      <c r="Q165" s="194"/>
      <c r="R165" s="194"/>
      <c r="S165" s="194"/>
      <c r="T165" s="194"/>
      <c r="U165" s="194"/>
      <c r="V165" s="317">
        <f>$V$48</f>
        <v>1E-3</v>
      </c>
      <c r="W165" s="318"/>
      <c r="X165" s="318"/>
      <c r="Y165" s="318"/>
      <c r="Z165" s="128" t="s">
        <v>353</v>
      </c>
      <c r="AA165" s="193" t="s">
        <v>354</v>
      </c>
      <c r="AB165" s="193"/>
      <c r="AC165" s="193"/>
      <c r="AD165" s="193"/>
      <c r="AE165" s="193"/>
      <c r="AF165" s="195">
        <v>2</v>
      </c>
      <c r="AG165" s="195"/>
      <c r="AH165" s="195"/>
      <c r="AI165" s="195">
        <v>10</v>
      </c>
      <c r="AJ165" s="195"/>
      <c r="AK165" s="196">
        <f>(V165/AF165)*AI165</f>
        <v>5.0000000000000001E-3</v>
      </c>
      <c r="AL165" s="196"/>
      <c r="AM165" s="196"/>
      <c r="AN165" s="196"/>
      <c r="AO165" s="197"/>
      <c r="AP165" s="304" t="str">
        <f t="shared" si="43"/>
        <v>∞</v>
      </c>
      <c r="AQ165" s="305"/>
      <c r="AR165" s="305"/>
      <c r="AS165" s="305"/>
      <c r="AT165" s="329"/>
      <c r="AU165" s="330"/>
      <c r="AV165" s="331"/>
      <c r="AW165" s="113"/>
      <c r="AX165" s="113"/>
      <c r="AY165" s="113"/>
      <c r="AZ165" s="113"/>
      <c r="BA165" s="113"/>
    </row>
    <row r="166" spans="1:75" ht="14.85" customHeight="1">
      <c r="A166" s="109"/>
      <c r="B166" s="190" t="s">
        <v>424</v>
      </c>
      <c r="C166" s="191"/>
      <c r="D166" s="191"/>
      <c r="E166" s="191"/>
      <c r="F166" s="191"/>
      <c r="G166" s="194" t="s">
        <v>357</v>
      </c>
      <c r="H166" s="194"/>
      <c r="I166" s="194"/>
      <c r="J166" s="194"/>
      <c r="K166" s="194"/>
      <c r="L166" s="194"/>
      <c r="M166" s="194"/>
      <c r="N166" s="194"/>
      <c r="O166" s="194"/>
      <c r="P166" s="194"/>
      <c r="Q166" s="194"/>
      <c r="R166" s="194"/>
      <c r="S166" s="194"/>
      <c r="T166" s="194"/>
      <c r="U166" s="194"/>
      <c r="V166" s="317">
        <f>$V$49</f>
        <v>1E-3</v>
      </c>
      <c r="W166" s="318"/>
      <c r="X166" s="318"/>
      <c r="Y166" s="318"/>
      <c r="Z166" s="128" t="s">
        <v>353</v>
      </c>
      <c r="AA166" s="193" t="s">
        <v>354</v>
      </c>
      <c r="AB166" s="193"/>
      <c r="AC166" s="193"/>
      <c r="AD166" s="193"/>
      <c r="AE166" s="193"/>
      <c r="AF166" s="195" t="s">
        <v>355</v>
      </c>
      <c r="AG166" s="195"/>
      <c r="AH166" s="195"/>
      <c r="AI166" s="195">
        <v>10</v>
      </c>
      <c r="AJ166" s="195"/>
      <c r="AK166" s="196">
        <f>(V166/SQRT(3))*AI166</f>
        <v>5.773502691896258E-3</v>
      </c>
      <c r="AL166" s="196"/>
      <c r="AM166" s="196"/>
      <c r="AN166" s="196"/>
      <c r="AO166" s="197"/>
      <c r="AP166" s="304" t="str">
        <f t="shared" si="43"/>
        <v>∞</v>
      </c>
      <c r="AQ166" s="305"/>
      <c r="AR166" s="305"/>
      <c r="AS166" s="305"/>
      <c r="AT166" s="329"/>
      <c r="AU166" s="330"/>
      <c r="AV166" s="331"/>
      <c r="AW166" s="113"/>
      <c r="AX166" s="113"/>
      <c r="AY166" s="113"/>
      <c r="AZ166" s="113"/>
      <c r="BA166" s="113"/>
    </row>
    <row r="167" spans="1:75" ht="14.85" customHeight="1">
      <c r="A167" s="109"/>
      <c r="B167" s="190" t="s">
        <v>425</v>
      </c>
      <c r="C167" s="191"/>
      <c r="D167" s="191"/>
      <c r="E167" s="191"/>
      <c r="F167" s="191"/>
      <c r="G167" s="194" t="s">
        <v>358</v>
      </c>
      <c r="H167" s="194"/>
      <c r="I167" s="194"/>
      <c r="J167" s="194"/>
      <c r="K167" s="194"/>
      <c r="L167" s="194"/>
      <c r="M167" s="194"/>
      <c r="N167" s="194"/>
      <c r="O167" s="194"/>
      <c r="P167" s="194"/>
      <c r="Q167" s="194"/>
      <c r="R167" s="194"/>
      <c r="S167" s="194"/>
      <c r="T167" s="194"/>
      <c r="U167" s="194"/>
      <c r="V167" s="317">
        <f>$V$50</f>
        <v>5.0000000000000002E-5</v>
      </c>
      <c r="W167" s="318"/>
      <c r="X167" s="318"/>
      <c r="Y167" s="318"/>
      <c r="Z167" s="128" t="s">
        <v>434</v>
      </c>
      <c r="AA167" s="193" t="s">
        <v>354</v>
      </c>
      <c r="AB167" s="193"/>
      <c r="AC167" s="193"/>
      <c r="AD167" s="193"/>
      <c r="AE167" s="193"/>
      <c r="AF167" s="195" t="s">
        <v>355</v>
      </c>
      <c r="AG167" s="195"/>
      <c r="AH167" s="195"/>
      <c r="AI167" s="195">
        <v>1</v>
      </c>
      <c r="AJ167" s="195"/>
      <c r="AK167" s="196">
        <f>(V167/SQRT(3))*AI167</f>
        <v>2.8867513459481293E-5</v>
      </c>
      <c r="AL167" s="196"/>
      <c r="AM167" s="196"/>
      <c r="AN167" s="196"/>
      <c r="AO167" s="197"/>
      <c r="AP167" s="304" t="str">
        <f t="shared" si="43"/>
        <v>∞</v>
      </c>
      <c r="AQ167" s="305"/>
      <c r="AR167" s="305"/>
      <c r="AS167" s="305"/>
      <c r="AT167" s="329"/>
      <c r="AU167" s="330"/>
      <c r="AV167" s="331"/>
      <c r="AW167" s="113"/>
      <c r="AX167" s="113"/>
      <c r="AY167" s="113"/>
      <c r="AZ167" s="113"/>
      <c r="BA167" s="113"/>
    </row>
    <row r="168" spans="1:75" ht="14.85" customHeight="1">
      <c r="A168" s="109"/>
      <c r="B168" s="190" t="s">
        <v>426</v>
      </c>
      <c r="C168" s="191"/>
      <c r="D168" s="191"/>
      <c r="E168" s="191"/>
      <c r="F168" s="191"/>
      <c r="G168" s="194" t="s">
        <v>359</v>
      </c>
      <c r="H168" s="194"/>
      <c r="I168" s="194"/>
      <c r="J168" s="194"/>
      <c r="K168" s="194"/>
      <c r="L168" s="194"/>
      <c r="M168" s="194"/>
      <c r="N168" s="194"/>
      <c r="O168" s="194"/>
      <c r="P168" s="194"/>
      <c r="Q168" s="194"/>
      <c r="R168" s="194"/>
      <c r="S168" s="194"/>
      <c r="T168" s="194"/>
      <c r="U168" s="194"/>
      <c r="V168" s="317">
        <f>$V$51</f>
        <v>0.01</v>
      </c>
      <c r="W168" s="318"/>
      <c r="X168" s="318"/>
      <c r="Y168" s="318"/>
      <c r="Z168" s="128" t="s">
        <v>434</v>
      </c>
      <c r="AA168" s="193" t="s">
        <v>354</v>
      </c>
      <c r="AB168" s="193"/>
      <c r="AC168" s="193"/>
      <c r="AD168" s="193"/>
      <c r="AE168" s="193"/>
      <c r="AF168" s="195" t="s">
        <v>355</v>
      </c>
      <c r="AG168" s="195"/>
      <c r="AH168" s="195"/>
      <c r="AI168" s="195">
        <v>1</v>
      </c>
      <c r="AJ168" s="195"/>
      <c r="AK168" s="196">
        <f>(V168/SQRT(3))*AI168</f>
        <v>5.773502691896258E-3</v>
      </c>
      <c r="AL168" s="196"/>
      <c r="AM168" s="196"/>
      <c r="AN168" s="196"/>
      <c r="AO168" s="197"/>
      <c r="AP168" s="304" t="str">
        <f t="shared" si="43"/>
        <v>∞</v>
      </c>
      <c r="AQ168" s="305"/>
      <c r="AR168" s="305"/>
      <c r="AS168" s="305"/>
      <c r="AT168" s="329"/>
      <c r="AU168" s="330"/>
      <c r="AV168" s="331"/>
      <c r="AW168" s="113"/>
      <c r="AX168" s="113"/>
      <c r="AY168" s="113"/>
      <c r="AZ168" s="113"/>
      <c r="BA168" s="113"/>
    </row>
    <row r="169" spans="1:75" ht="14.85" customHeight="1">
      <c r="A169" s="109"/>
      <c r="B169" s="190" t="s">
        <v>427</v>
      </c>
      <c r="C169" s="191"/>
      <c r="D169" s="191"/>
      <c r="E169" s="191"/>
      <c r="F169" s="191"/>
      <c r="G169" s="194" t="s">
        <v>360</v>
      </c>
      <c r="H169" s="194"/>
      <c r="I169" s="194"/>
      <c r="J169" s="194"/>
      <c r="K169" s="194"/>
      <c r="L169" s="194"/>
      <c r="M169" s="194"/>
      <c r="N169" s="194"/>
      <c r="O169" s="194"/>
      <c r="P169" s="194"/>
      <c r="Q169" s="194"/>
      <c r="R169" s="194"/>
      <c r="S169" s="194"/>
      <c r="T169" s="194"/>
      <c r="U169" s="194"/>
      <c r="V169" s="317">
        <f>$V$52</f>
        <v>0.01</v>
      </c>
      <c r="W169" s="318"/>
      <c r="X169" s="318"/>
      <c r="Y169" s="318"/>
      <c r="Z169" s="128" t="s">
        <v>434</v>
      </c>
      <c r="AA169" s="193" t="s">
        <v>354</v>
      </c>
      <c r="AB169" s="193"/>
      <c r="AC169" s="193"/>
      <c r="AD169" s="193"/>
      <c r="AE169" s="193"/>
      <c r="AF169" s="195" t="s">
        <v>355</v>
      </c>
      <c r="AG169" s="195"/>
      <c r="AH169" s="195"/>
      <c r="AI169" s="195">
        <v>1</v>
      </c>
      <c r="AJ169" s="195"/>
      <c r="AK169" s="196">
        <f t="shared" ref="AK169:AK171" si="44">(V169/SQRT(3))*AI169</f>
        <v>5.773502691896258E-3</v>
      </c>
      <c r="AL169" s="196"/>
      <c r="AM169" s="196"/>
      <c r="AN169" s="196"/>
      <c r="AO169" s="197"/>
      <c r="AP169" s="304" t="str">
        <f t="shared" si="43"/>
        <v>∞</v>
      </c>
      <c r="AQ169" s="305"/>
      <c r="AR169" s="305"/>
      <c r="AS169" s="305"/>
      <c r="AT169" s="329"/>
      <c r="AU169" s="330"/>
      <c r="AV169" s="331"/>
      <c r="AW169" s="113"/>
      <c r="AX169" s="113"/>
      <c r="AY169" s="113"/>
      <c r="AZ169" s="113"/>
      <c r="BA169" s="113"/>
    </row>
    <row r="170" spans="1:75" ht="14.85" customHeight="1">
      <c r="A170" s="109"/>
      <c r="B170" s="190" t="s">
        <v>428</v>
      </c>
      <c r="C170" s="191"/>
      <c r="D170" s="191"/>
      <c r="E170" s="191"/>
      <c r="F170" s="191"/>
      <c r="G170" s="194" t="s">
        <v>361</v>
      </c>
      <c r="H170" s="194"/>
      <c r="I170" s="194"/>
      <c r="J170" s="194"/>
      <c r="K170" s="194"/>
      <c r="L170" s="194"/>
      <c r="M170" s="194"/>
      <c r="N170" s="194"/>
      <c r="O170" s="194"/>
      <c r="P170" s="194"/>
      <c r="Q170" s="194"/>
      <c r="R170" s="194"/>
      <c r="S170" s="194"/>
      <c r="T170" s="194"/>
      <c r="U170" s="194"/>
      <c r="V170" s="317" t="e">
        <f>$AB$3/2</f>
        <v>#VALUE!</v>
      </c>
      <c r="W170" s="318"/>
      <c r="X170" s="318"/>
      <c r="Y170" s="318"/>
      <c r="Z170" s="128" t="s">
        <v>434</v>
      </c>
      <c r="AA170" s="193" t="s">
        <v>354</v>
      </c>
      <c r="AB170" s="193"/>
      <c r="AC170" s="193"/>
      <c r="AD170" s="193"/>
      <c r="AE170" s="193"/>
      <c r="AF170" s="195" t="s">
        <v>355</v>
      </c>
      <c r="AG170" s="195"/>
      <c r="AH170" s="195"/>
      <c r="AI170" s="195">
        <v>1</v>
      </c>
      <c r="AJ170" s="195"/>
      <c r="AK170" s="196" t="e">
        <f t="shared" si="44"/>
        <v>#VALUE!</v>
      </c>
      <c r="AL170" s="196"/>
      <c r="AM170" s="196"/>
      <c r="AN170" s="196"/>
      <c r="AO170" s="197"/>
      <c r="AP170" s="304" t="str">
        <f t="shared" si="43"/>
        <v>∞</v>
      </c>
      <c r="AQ170" s="305"/>
      <c r="AR170" s="305"/>
      <c r="AS170" s="305"/>
      <c r="AT170" s="329"/>
      <c r="AU170" s="330"/>
      <c r="AV170" s="331"/>
      <c r="AW170" s="113"/>
      <c r="AX170" s="113"/>
      <c r="AY170" s="113"/>
      <c r="AZ170" s="113"/>
      <c r="BA170" s="113"/>
    </row>
    <row r="171" spans="1:75" ht="14.85" customHeight="1">
      <c r="A171" s="109"/>
      <c r="B171" s="190" t="s">
        <v>429</v>
      </c>
      <c r="C171" s="191"/>
      <c r="D171" s="191"/>
      <c r="E171" s="191"/>
      <c r="F171" s="191"/>
      <c r="G171" s="194" t="s">
        <v>362</v>
      </c>
      <c r="H171" s="194"/>
      <c r="I171" s="194"/>
      <c r="J171" s="194"/>
      <c r="K171" s="194"/>
      <c r="L171" s="194"/>
      <c r="M171" s="194"/>
      <c r="N171" s="194"/>
      <c r="O171" s="194"/>
      <c r="P171" s="194"/>
      <c r="Q171" s="194"/>
      <c r="R171" s="194"/>
      <c r="S171" s="194"/>
      <c r="T171" s="194"/>
      <c r="U171" s="194"/>
      <c r="V171" s="317" t="str">
        <f>$AH$24</f>
        <v/>
      </c>
      <c r="W171" s="318"/>
      <c r="X171" s="318"/>
      <c r="Y171" s="318"/>
      <c r="Z171" s="128" t="s">
        <v>434</v>
      </c>
      <c r="AA171" s="193" t="s">
        <v>354</v>
      </c>
      <c r="AB171" s="193"/>
      <c r="AC171" s="193"/>
      <c r="AD171" s="193"/>
      <c r="AE171" s="193"/>
      <c r="AF171" s="195" t="s">
        <v>355</v>
      </c>
      <c r="AG171" s="195"/>
      <c r="AH171" s="195"/>
      <c r="AI171" s="195">
        <v>1</v>
      </c>
      <c r="AJ171" s="195"/>
      <c r="AK171" s="196" t="e">
        <f t="shared" si="44"/>
        <v>#VALUE!</v>
      </c>
      <c r="AL171" s="196"/>
      <c r="AM171" s="196"/>
      <c r="AN171" s="196"/>
      <c r="AO171" s="197"/>
      <c r="AP171" s="304" t="str">
        <f t="shared" si="43"/>
        <v>∞</v>
      </c>
      <c r="AQ171" s="305"/>
      <c r="AR171" s="305"/>
      <c r="AS171" s="305"/>
      <c r="AT171" s="329"/>
      <c r="AU171" s="330"/>
      <c r="AV171" s="331"/>
      <c r="AW171" s="113"/>
      <c r="AX171" s="113"/>
      <c r="AY171" s="113"/>
      <c r="AZ171" s="113"/>
      <c r="BA171" s="113"/>
    </row>
    <row r="172" spans="1:75" ht="14.85" customHeight="1">
      <c r="A172" s="109"/>
      <c r="B172" s="190" t="s">
        <v>430</v>
      </c>
      <c r="C172" s="191"/>
      <c r="D172" s="191"/>
      <c r="E172" s="191"/>
      <c r="F172" s="191"/>
      <c r="G172" s="194" t="s">
        <v>363</v>
      </c>
      <c r="H172" s="194"/>
      <c r="I172" s="194"/>
      <c r="J172" s="194"/>
      <c r="K172" s="194"/>
      <c r="L172" s="194"/>
      <c r="M172" s="194"/>
      <c r="N172" s="194"/>
      <c r="O172" s="194"/>
      <c r="P172" s="194"/>
      <c r="Q172" s="194"/>
      <c r="R172" s="194"/>
      <c r="S172" s="194"/>
      <c r="T172" s="194"/>
      <c r="U172" s="194"/>
      <c r="V172" s="317">
        <v>0</v>
      </c>
      <c r="W172" s="318"/>
      <c r="X172" s="318"/>
      <c r="Y172" s="318"/>
      <c r="Z172" s="128" t="s">
        <v>434</v>
      </c>
      <c r="AA172" s="193" t="s">
        <v>354</v>
      </c>
      <c r="AB172" s="193"/>
      <c r="AC172" s="193"/>
      <c r="AD172" s="193"/>
      <c r="AE172" s="193"/>
      <c r="AF172" s="195" t="s">
        <v>355</v>
      </c>
      <c r="AG172" s="195"/>
      <c r="AH172" s="195"/>
      <c r="AI172" s="195">
        <v>1</v>
      </c>
      <c r="AJ172" s="195"/>
      <c r="AK172" s="196">
        <f>(V172/SQRT(3))*AI172</f>
        <v>0</v>
      </c>
      <c r="AL172" s="196"/>
      <c r="AM172" s="196"/>
      <c r="AN172" s="196"/>
      <c r="AO172" s="197"/>
      <c r="AP172" s="304" t="str">
        <f t="shared" si="43"/>
        <v>∞</v>
      </c>
      <c r="AQ172" s="305"/>
      <c r="AR172" s="305"/>
      <c r="AS172" s="305"/>
      <c r="AT172" s="329"/>
      <c r="AU172" s="330"/>
      <c r="AV172" s="331"/>
      <c r="AW172" s="113"/>
      <c r="AX172" s="113"/>
      <c r="AY172" s="113"/>
      <c r="AZ172" s="113"/>
      <c r="BA172" s="113"/>
    </row>
    <row r="173" spans="1:75" ht="14.85" customHeight="1">
      <c r="A173" s="109"/>
      <c r="B173" s="190" t="s">
        <v>431</v>
      </c>
      <c r="C173" s="191"/>
      <c r="D173" s="191"/>
      <c r="E173" s="191"/>
      <c r="F173" s="191"/>
      <c r="G173" s="194" t="s">
        <v>364</v>
      </c>
      <c r="H173" s="194"/>
      <c r="I173" s="194"/>
      <c r="J173" s="194"/>
      <c r="K173" s="194"/>
      <c r="L173" s="194"/>
      <c r="M173" s="194"/>
      <c r="N173" s="194"/>
      <c r="O173" s="194"/>
      <c r="P173" s="194"/>
      <c r="Q173" s="194"/>
      <c r="R173" s="194"/>
      <c r="S173" s="194"/>
      <c r="T173" s="194"/>
      <c r="U173" s="194"/>
      <c r="V173" s="317" t="str">
        <f>$E$16</f>
        <v/>
      </c>
      <c r="W173" s="318"/>
      <c r="X173" s="318"/>
      <c r="Y173" s="318"/>
      <c r="Z173" s="128" t="s">
        <v>434</v>
      </c>
      <c r="AA173" s="193" t="s">
        <v>37</v>
      </c>
      <c r="AB173" s="193"/>
      <c r="AC173" s="193"/>
      <c r="AD173" s="193"/>
      <c r="AE173" s="193"/>
      <c r="AF173" s="195">
        <v>1</v>
      </c>
      <c r="AG173" s="195"/>
      <c r="AH173" s="195"/>
      <c r="AI173" s="195">
        <f>IF($B$8="","",1)</f>
        <v>1</v>
      </c>
      <c r="AJ173" s="195"/>
      <c r="AK173" s="196" t="e">
        <f t="shared" ref="AK173" si="45">(V173/AF173)*AI173</f>
        <v>#VALUE!</v>
      </c>
      <c r="AL173" s="196"/>
      <c r="AM173" s="196"/>
      <c r="AN173" s="196"/>
      <c r="AO173" s="197"/>
      <c r="AP173" s="304">
        <v>9</v>
      </c>
      <c r="AQ173" s="305"/>
      <c r="AR173" s="305"/>
      <c r="AS173" s="305"/>
      <c r="AT173" s="329"/>
      <c r="AU173" s="330"/>
      <c r="AV173" s="331"/>
      <c r="AW173" s="113"/>
      <c r="AX173" s="113"/>
      <c r="AY173" s="113"/>
      <c r="AZ173" s="113"/>
      <c r="BA173" s="113"/>
    </row>
    <row r="174" spans="1:75" ht="14.85" customHeight="1" thickBot="1">
      <c r="A174" s="109"/>
      <c r="B174" s="306" t="s">
        <v>432</v>
      </c>
      <c r="C174" s="307"/>
      <c r="D174" s="307"/>
      <c r="E174" s="307"/>
      <c r="F174" s="307"/>
      <c r="G174" s="340" t="s">
        <v>365</v>
      </c>
      <c r="H174" s="340"/>
      <c r="I174" s="340"/>
      <c r="J174" s="340"/>
      <c r="K174" s="340"/>
      <c r="L174" s="340"/>
      <c r="M174" s="340"/>
      <c r="N174" s="340"/>
      <c r="O174" s="340"/>
      <c r="P174" s="340"/>
      <c r="Q174" s="340"/>
      <c r="R174" s="340"/>
      <c r="S174" s="340"/>
      <c r="T174" s="340"/>
      <c r="U174" s="340"/>
      <c r="V174" s="319" t="str">
        <f>$AG$16</f>
        <v/>
      </c>
      <c r="W174" s="320"/>
      <c r="X174" s="320"/>
      <c r="Y174" s="320"/>
      <c r="Z174" s="129" t="s">
        <v>434</v>
      </c>
      <c r="AA174" s="308" t="s">
        <v>37</v>
      </c>
      <c r="AB174" s="308"/>
      <c r="AC174" s="308"/>
      <c r="AD174" s="308"/>
      <c r="AE174" s="308"/>
      <c r="AF174" s="309">
        <v>1</v>
      </c>
      <c r="AG174" s="309"/>
      <c r="AH174" s="309"/>
      <c r="AI174" s="309">
        <f>IF($B$8="","",1)</f>
        <v>1</v>
      </c>
      <c r="AJ174" s="309"/>
      <c r="AK174" s="310" t="e">
        <f>(V174/AF174)*AI174</f>
        <v>#VALUE!</v>
      </c>
      <c r="AL174" s="310"/>
      <c r="AM174" s="310"/>
      <c r="AN174" s="310"/>
      <c r="AO174" s="311"/>
      <c r="AP174" s="304">
        <v>9</v>
      </c>
      <c r="AQ174" s="305"/>
      <c r="AR174" s="305"/>
      <c r="AS174" s="305"/>
      <c r="AT174" s="329"/>
      <c r="AU174" s="330"/>
      <c r="AV174" s="331"/>
      <c r="AW174" s="113"/>
      <c r="AX174" s="113"/>
      <c r="AY174" s="113"/>
      <c r="AZ174" s="113"/>
      <c r="BA174" s="113"/>
    </row>
    <row r="175" spans="1:75" ht="14.85" customHeight="1" thickTop="1" thickBot="1">
      <c r="A175" s="109"/>
      <c r="B175" s="338" t="s">
        <v>433</v>
      </c>
      <c r="C175" s="339"/>
      <c r="D175" s="339"/>
      <c r="E175" s="339"/>
      <c r="F175" s="339"/>
      <c r="G175" s="340" t="s">
        <v>366</v>
      </c>
      <c r="H175" s="340" t="s">
        <v>366</v>
      </c>
      <c r="I175" s="340" t="s">
        <v>366</v>
      </c>
      <c r="J175" s="340" t="s">
        <v>366</v>
      </c>
      <c r="K175" s="340" t="s">
        <v>366</v>
      </c>
      <c r="L175" s="340" t="s">
        <v>366</v>
      </c>
      <c r="M175" s="340" t="s">
        <v>366</v>
      </c>
      <c r="N175" s="340" t="s">
        <v>366</v>
      </c>
      <c r="O175" s="340" t="s">
        <v>366</v>
      </c>
      <c r="P175" s="340" t="s">
        <v>366</v>
      </c>
      <c r="Q175" s="340" t="s">
        <v>366</v>
      </c>
      <c r="R175" s="340" t="s">
        <v>366</v>
      </c>
      <c r="S175" s="340" t="s">
        <v>366</v>
      </c>
      <c r="T175" s="340" t="s">
        <v>366</v>
      </c>
      <c r="U175" s="340" t="s">
        <v>366</v>
      </c>
      <c r="V175" s="357"/>
      <c r="W175" s="358"/>
      <c r="X175" s="358"/>
      <c r="Y175" s="358"/>
      <c r="Z175" s="130"/>
      <c r="AA175" s="359" t="s">
        <v>37</v>
      </c>
      <c r="AB175" s="359"/>
      <c r="AC175" s="359"/>
      <c r="AD175" s="359"/>
      <c r="AE175" s="360"/>
      <c r="AF175" s="349"/>
      <c r="AG175" s="350"/>
      <c r="AH175" s="350"/>
      <c r="AI175" s="350"/>
      <c r="AJ175" s="351"/>
      <c r="AK175" s="343" t="e">
        <f>SQRT(SUMSQ(AK163:AO174))</f>
        <v>#VALUE!</v>
      </c>
      <c r="AL175" s="344"/>
      <c r="AM175" s="344"/>
      <c r="AN175" s="344"/>
      <c r="AO175" s="344"/>
      <c r="AP175" s="322" t="e">
        <f>IF(V174&lt;0.000000001,"∞",(AK175^4/((AK174^4/AP174)+(AK173^4/AP173))))</f>
        <v>#VALUE!</v>
      </c>
      <c r="AQ175" s="323"/>
      <c r="AR175" s="323"/>
      <c r="AS175" s="323"/>
      <c r="AT175" s="329"/>
      <c r="AU175" s="330"/>
      <c r="AV175" s="331"/>
      <c r="AW175" s="113"/>
      <c r="AX175" s="113"/>
      <c r="AY175" s="113"/>
      <c r="AZ175" s="113"/>
      <c r="BA175" s="113"/>
    </row>
    <row r="176" spans="1:75" s="96" customFormat="1" ht="14.85" customHeight="1" thickTop="1" thickBot="1">
      <c r="A176" s="109"/>
      <c r="B176" s="338" t="s">
        <v>368</v>
      </c>
      <c r="C176" s="339"/>
      <c r="D176" s="339"/>
      <c r="E176" s="339"/>
      <c r="F176" s="339"/>
      <c r="G176" s="340" t="s">
        <v>369</v>
      </c>
      <c r="H176" s="340" t="s">
        <v>369</v>
      </c>
      <c r="I176" s="340" t="s">
        <v>369</v>
      </c>
      <c r="J176" s="340" t="s">
        <v>369</v>
      </c>
      <c r="K176" s="340" t="s">
        <v>369</v>
      </c>
      <c r="L176" s="340" t="s">
        <v>369</v>
      </c>
      <c r="M176" s="340" t="s">
        <v>369</v>
      </c>
      <c r="N176" s="340" t="s">
        <v>369</v>
      </c>
      <c r="O176" s="340" t="s">
        <v>369</v>
      </c>
      <c r="P176" s="340" t="s">
        <v>369</v>
      </c>
      <c r="Q176" s="340" t="s">
        <v>369</v>
      </c>
      <c r="R176" s="340" t="s">
        <v>369</v>
      </c>
      <c r="S176" s="340" t="s">
        <v>369</v>
      </c>
      <c r="T176" s="340" t="s">
        <v>369</v>
      </c>
      <c r="U176" s="340" t="s">
        <v>369</v>
      </c>
      <c r="V176" s="341"/>
      <c r="W176" s="342"/>
      <c r="X176" s="342"/>
      <c r="Y176" s="342"/>
      <c r="Z176" s="131"/>
      <c r="AA176" s="345" t="s">
        <v>370</v>
      </c>
      <c r="AB176" s="346"/>
      <c r="AC176" s="347" t="e">
        <f>IF(AP175="∞",2,TINV(0.0455,AP175))</f>
        <v>#VALUE!</v>
      </c>
      <c r="AD176" s="348"/>
      <c r="AE176" s="348"/>
      <c r="AF176" s="352"/>
      <c r="AG176" s="353"/>
      <c r="AH176" s="353"/>
      <c r="AI176" s="353"/>
      <c r="AJ176" s="354"/>
      <c r="AK176" s="343" t="e">
        <f>AK175*AC176</f>
        <v>#VALUE!</v>
      </c>
      <c r="AL176" s="344"/>
      <c r="AM176" s="344"/>
      <c r="AN176" s="344"/>
      <c r="AO176" s="344"/>
      <c r="AP176" s="324" t="s">
        <v>367</v>
      </c>
      <c r="AQ176" s="325" t="s">
        <v>367</v>
      </c>
      <c r="AR176" s="325" t="s">
        <v>367</v>
      </c>
      <c r="AS176" s="325"/>
      <c r="AT176" s="332"/>
      <c r="AU176" s="333"/>
      <c r="AV176" s="334"/>
      <c r="AW176" s="113"/>
      <c r="AX176" s="113"/>
      <c r="AY176" s="113"/>
      <c r="AZ176" s="113"/>
      <c r="BA176" s="113"/>
      <c r="BS176" s="97"/>
      <c r="BT176" s="97"/>
      <c r="BU176" s="97"/>
      <c r="BV176" s="97"/>
      <c r="BW176" s="97"/>
    </row>
    <row r="177" spans="1:75" s="96" customFormat="1" ht="14.85" customHeight="1" thickTop="1" thickBot="1">
      <c r="A177" s="109"/>
      <c r="B177" s="139"/>
      <c r="C177" s="139"/>
      <c r="D177" s="139"/>
      <c r="E177" s="139"/>
      <c r="F177" s="139"/>
      <c r="G177" s="126"/>
      <c r="H177" s="126"/>
      <c r="I177" s="126"/>
      <c r="J177" s="126"/>
      <c r="K177" s="126"/>
      <c r="L177" s="126"/>
      <c r="M177" s="126"/>
      <c r="N177" s="126"/>
      <c r="O177" s="126"/>
      <c r="P177" s="126"/>
      <c r="Q177" s="126"/>
      <c r="R177" s="126"/>
      <c r="S177" s="126"/>
      <c r="T177" s="126"/>
      <c r="U177" s="126"/>
      <c r="V177" s="132"/>
      <c r="W177" s="132"/>
      <c r="X177" s="132"/>
      <c r="Y177" s="132"/>
      <c r="Z177" s="133"/>
      <c r="AA177" s="134"/>
      <c r="AB177" s="134"/>
      <c r="AC177" s="374" t="s">
        <v>371</v>
      </c>
      <c r="AD177" s="375"/>
      <c r="AE177" s="369">
        <f>IF($J$5&lt;0,0.04,0.03)</f>
        <v>0.03</v>
      </c>
      <c r="AF177" s="369"/>
      <c r="AG177" s="370"/>
      <c r="AH177" s="371" t="s">
        <v>372</v>
      </c>
      <c r="AI177" s="369"/>
      <c r="AJ177" s="369"/>
      <c r="AK177" s="372" t="e">
        <f>IF(AK176&lt;AE177,AE177,ROUNDUP(AK176,3))</f>
        <v>#VALUE!</v>
      </c>
      <c r="AL177" s="372"/>
      <c r="AM177" s="372"/>
      <c r="AN177" s="372"/>
      <c r="AO177" s="373"/>
      <c r="AP177" s="134"/>
      <c r="AQ177" s="134"/>
      <c r="AR177" s="134"/>
      <c r="AS177" s="132"/>
      <c r="AT177" s="132"/>
      <c r="AU177" s="132"/>
      <c r="AV177" s="132"/>
      <c r="AW177" s="113"/>
      <c r="AX177" s="113"/>
      <c r="AY177" s="113"/>
      <c r="AZ177" s="113"/>
      <c r="BA177" s="113"/>
      <c r="BS177" s="97"/>
      <c r="BT177" s="97"/>
      <c r="BU177" s="97"/>
      <c r="BV177" s="97"/>
      <c r="BW177" s="97"/>
    </row>
    <row r="178" spans="1:75" s="96" customFormat="1" ht="14.85" customHeight="1" thickTop="1" thickBot="1">
      <c r="A178" s="109"/>
      <c r="B178" s="139"/>
      <c r="C178" s="139"/>
      <c r="D178" s="139"/>
      <c r="E178" s="139"/>
      <c r="F178" s="139"/>
      <c r="G178" s="121"/>
      <c r="H178" s="121"/>
      <c r="I178" s="121"/>
      <c r="J178" s="121"/>
      <c r="K178" s="121"/>
      <c r="L178" s="121"/>
      <c r="M178" s="121"/>
      <c r="N178" s="121"/>
      <c r="O178" s="121"/>
      <c r="P178" s="121"/>
      <c r="Q178" s="121"/>
      <c r="R178" s="121"/>
      <c r="S178" s="121"/>
      <c r="T178" s="121"/>
      <c r="U178" s="121"/>
      <c r="V178" s="113"/>
      <c r="W178" s="113"/>
      <c r="X178" s="113"/>
      <c r="Y178" s="113"/>
      <c r="Z178" s="123"/>
      <c r="AA178" s="124"/>
      <c r="AB178" s="124"/>
      <c r="AC178" s="124"/>
      <c r="AD178" s="124"/>
      <c r="AE178" s="124"/>
      <c r="AF178" s="125"/>
      <c r="AG178" s="125"/>
      <c r="AH178" s="125"/>
      <c r="AI178" s="125"/>
      <c r="AJ178" s="125"/>
      <c r="AK178" s="113"/>
      <c r="AL178" s="113"/>
      <c r="AM178" s="113"/>
      <c r="AN178" s="113"/>
      <c r="AO178" s="113"/>
      <c r="AP178" s="124"/>
      <c r="AQ178" s="124"/>
      <c r="AR178" s="124"/>
      <c r="AS178" s="113"/>
      <c r="AT178" s="113"/>
      <c r="AU178" s="113"/>
      <c r="AV178" s="113"/>
      <c r="AW178" s="113"/>
      <c r="AX178" s="113"/>
      <c r="AY178" s="113"/>
      <c r="AZ178" s="113"/>
      <c r="BA178" s="113"/>
      <c r="BS178" s="97"/>
      <c r="BT178" s="97"/>
      <c r="BU178" s="97"/>
      <c r="BV178" s="97"/>
      <c r="BW178" s="97"/>
    </row>
    <row r="179" spans="1:75" s="96" customFormat="1" ht="14.85" customHeight="1" thickTop="1" thickBot="1">
      <c r="A179" s="91"/>
      <c r="B179" s="355" t="s">
        <v>347</v>
      </c>
      <c r="C179" s="356"/>
      <c r="D179" s="356"/>
      <c r="E179" s="356"/>
      <c r="F179" s="356"/>
      <c r="G179" s="312" t="s">
        <v>348</v>
      </c>
      <c r="H179" s="312"/>
      <c r="I179" s="312"/>
      <c r="J179" s="312"/>
      <c r="K179" s="312"/>
      <c r="L179" s="312"/>
      <c r="M179" s="312"/>
      <c r="N179" s="312"/>
      <c r="O179" s="312"/>
      <c r="P179" s="312"/>
      <c r="Q179" s="312"/>
      <c r="R179" s="312"/>
      <c r="S179" s="312"/>
      <c r="T179" s="312"/>
      <c r="U179" s="312"/>
      <c r="V179" s="187" t="s">
        <v>417</v>
      </c>
      <c r="W179" s="187"/>
      <c r="X179" s="187"/>
      <c r="Y179" s="187"/>
      <c r="Z179" s="187"/>
      <c r="AA179" s="186" t="s">
        <v>418</v>
      </c>
      <c r="AB179" s="187"/>
      <c r="AC179" s="187"/>
      <c r="AD179" s="187"/>
      <c r="AE179" s="187"/>
      <c r="AF179" s="187" t="s">
        <v>349</v>
      </c>
      <c r="AG179" s="187"/>
      <c r="AH179" s="187"/>
      <c r="AI179" s="187" t="s">
        <v>350</v>
      </c>
      <c r="AJ179" s="187"/>
      <c r="AK179" s="186" t="s">
        <v>419</v>
      </c>
      <c r="AL179" s="187"/>
      <c r="AM179" s="187"/>
      <c r="AN179" s="187"/>
      <c r="AO179" s="187"/>
      <c r="AP179" s="361" t="s">
        <v>420</v>
      </c>
      <c r="AQ179" s="362"/>
      <c r="AR179" s="362"/>
      <c r="AS179" s="362"/>
      <c r="AT179" s="326" t="str">
        <f>IF(AK10="","","8")</f>
        <v/>
      </c>
      <c r="AU179" s="327"/>
      <c r="AV179" s="328"/>
      <c r="AW179" s="113"/>
      <c r="AX179" s="113"/>
      <c r="AY179" s="113"/>
      <c r="AZ179" s="113"/>
      <c r="BA179" s="113"/>
      <c r="BS179" s="97"/>
      <c r="BT179" s="97"/>
      <c r="BU179" s="97"/>
      <c r="BV179" s="97"/>
      <c r="BW179" s="97"/>
    </row>
    <row r="180" spans="1:75" s="96" customFormat="1" ht="14.85" customHeight="1" thickTop="1" thickBot="1">
      <c r="A180" s="122"/>
      <c r="B180" s="355"/>
      <c r="C180" s="356"/>
      <c r="D180" s="356"/>
      <c r="E180" s="356"/>
      <c r="F180" s="356"/>
      <c r="G180" s="312"/>
      <c r="H180" s="312"/>
      <c r="I180" s="312"/>
      <c r="J180" s="312"/>
      <c r="K180" s="312"/>
      <c r="L180" s="312"/>
      <c r="M180" s="312"/>
      <c r="N180" s="312"/>
      <c r="O180" s="312"/>
      <c r="P180" s="312"/>
      <c r="Q180" s="312"/>
      <c r="R180" s="312"/>
      <c r="S180" s="312"/>
      <c r="T180" s="312"/>
      <c r="U180" s="312"/>
      <c r="V180" s="187"/>
      <c r="W180" s="187"/>
      <c r="X180" s="187"/>
      <c r="Y180" s="187"/>
      <c r="Z180" s="187"/>
      <c r="AA180" s="187"/>
      <c r="AB180" s="187"/>
      <c r="AC180" s="187"/>
      <c r="AD180" s="187"/>
      <c r="AE180" s="187"/>
      <c r="AF180" s="187"/>
      <c r="AG180" s="187"/>
      <c r="AH180" s="187"/>
      <c r="AI180" s="187"/>
      <c r="AJ180" s="187"/>
      <c r="AK180" s="187"/>
      <c r="AL180" s="187"/>
      <c r="AM180" s="187"/>
      <c r="AN180" s="187"/>
      <c r="AO180" s="187"/>
      <c r="AP180" s="363"/>
      <c r="AQ180" s="364"/>
      <c r="AR180" s="364"/>
      <c r="AS180" s="364"/>
      <c r="AT180" s="329"/>
      <c r="AU180" s="330"/>
      <c r="AV180" s="331"/>
      <c r="AW180" s="113"/>
      <c r="AX180" s="113"/>
      <c r="AY180" s="113"/>
      <c r="AZ180" s="113"/>
      <c r="BA180" s="113"/>
      <c r="BS180" s="97"/>
      <c r="BT180" s="97"/>
      <c r="BU180" s="97"/>
      <c r="BV180" s="97"/>
      <c r="BW180" s="97"/>
    </row>
    <row r="181" spans="1:75" s="96" customFormat="1" ht="14.85" customHeight="1" thickTop="1">
      <c r="A181" s="109"/>
      <c r="B181" s="188" t="s">
        <v>421</v>
      </c>
      <c r="C181" s="189"/>
      <c r="D181" s="189"/>
      <c r="E181" s="189"/>
      <c r="F181" s="189"/>
      <c r="G181" s="321" t="s">
        <v>351</v>
      </c>
      <c r="H181" s="321"/>
      <c r="I181" s="321"/>
      <c r="J181" s="321"/>
      <c r="K181" s="321"/>
      <c r="L181" s="321"/>
      <c r="M181" s="321"/>
      <c r="N181" s="321"/>
      <c r="O181" s="321"/>
      <c r="P181" s="321"/>
      <c r="Q181" s="321"/>
      <c r="R181" s="321"/>
      <c r="S181" s="321"/>
      <c r="T181" s="321"/>
      <c r="U181" s="321"/>
      <c r="V181" s="367">
        <f>$V$46</f>
        <v>3.0000000000000001E-3</v>
      </c>
      <c r="W181" s="368"/>
      <c r="X181" s="368"/>
      <c r="Y181" s="368"/>
      <c r="Z181" s="127" t="s">
        <v>434</v>
      </c>
      <c r="AA181" s="192" t="s">
        <v>37</v>
      </c>
      <c r="AB181" s="192"/>
      <c r="AC181" s="192"/>
      <c r="AD181" s="192"/>
      <c r="AE181" s="192"/>
      <c r="AF181" s="289">
        <v>2</v>
      </c>
      <c r="AG181" s="289"/>
      <c r="AH181" s="289"/>
      <c r="AI181" s="289">
        <v>1</v>
      </c>
      <c r="AJ181" s="289"/>
      <c r="AK181" s="290">
        <f>(V181/AF181)*AI181</f>
        <v>1.5E-3</v>
      </c>
      <c r="AL181" s="290"/>
      <c r="AM181" s="290"/>
      <c r="AN181" s="290"/>
      <c r="AO181" s="291"/>
      <c r="AP181" s="365" t="str">
        <f t="shared" ref="AP181:AP190" si="46">IF($B$8="","","∞")</f>
        <v>∞</v>
      </c>
      <c r="AQ181" s="366"/>
      <c r="AR181" s="366"/>
      <c r="AS181" s="366"/>
      <c r="AT181" s="329"/>
      <c r="AU181" s="330"/>
      <c r="AV181" s="331"/>
      <c r="AW181" s="113"/>
      <c r="AX181" s="113"/>
      <c r="AY181" s="113"/>
      <c r="AZ181" s="113"/>
      <c r="BA181" s="113"/>
      <c r="BS181" s="97"/>
      <c r="BT181" s="97"/>
      <c r="BU181" s="97"/>
      <c r="BV181" s="97"/>
      <c r="BW181" s="97"/>
    </row>
    <row r="182" spans="1:75" s="96" customFormat="1" ht="14.85" customHeight="1">
      <c r="A182" s="109"/>
      <c r="B182" s="190" t="s">
        <v>422</v>
      </c>
      <c r="C182" s="191"/>
      <c r="D182" s="191"/>
      <c r="E182" s="191"/>
      <c r="F182" s="191"/>
      <c r="G182" s="194" t="s">
        <v>352</v>
      </c>
      <c r="H182" s="194"/>
      <c r="I182" s="194"/>
      <c r="J182" s="194"/>
      <c r="K182" s="194"/>
      <c r="L182" s="194"/>
      <c r="M182" s="194"/>
      <c r="N182" s="194"/>
      <c r="O182" s="194"/>
      <c r="P182" s="194"/>
      <c r="Q182" s="194"/>
      <c r="R182" s="194"/>
      <c r="S182" s="194"/>
      <c r="T182" s="194"/>
      <c r="U182" s="194"/>
      <c r="V182" s="317">
        <f>$V$47</f>
        <v>1.6000000000000001E-3</v>
      </c>
      <c r="W182" s="318"/>
      <c r="X182" s="318"/>
      <c r="Y182" s="318"/>
      <c r="Z182" s="128" t="s">
        <v>353</v>
      </c>
      <c r="AA182" s="193" t="s">
        <v>354</v>
      </c>
      <c r="AB182" s="193"/>
      <c r="AC182" s="193"/>
      <c r="AD182" s="193"/>
      <c r="AE182" s="193"/>
      <c r="AF182" s="195" t="s">
        <v>355</v>
      </c>
      <c r="AG182" s="195"/>
      <c r="AH182" s="195"/>
      <c r="AI182" s="195">
        <v>10</v>
      </c>
      <c r="AJ182" s="195"/>
      <c r="AK182" s="196">
        <f>(V182/SQRT(3))*AI182</f>
        <v>9.2376043070340128E-3</v>
      </c>
      <c r="AL182" s="196"/>
      <c r="AM182" s="196"/>
      <c r="AN182" s="196"/>
      <c r="AO182" s="197"/>
      <c r="AP182" s="304" t="str">
        <f t="shared" si="46"/>
        <v>∞</v>
      </c>
      <c r="AQ182" s="305"/>
      <c r="AR182" s="305"/>
      <c r="AS182" s="305"/>
      <c r="AT182" s="329"/>
      <c r="AU182" s="330"/>
      <c r="AV182" s="331"/>
      <c r="AW182" s="113"/>
      <c r="AX182" s="113"/>
      <c r="AY182" s="113"/>
      <c r="AZ182" s="113"/>
      <c r="BA182" s="113"/>
      <c r="BS182" s="97"/>
      <c r="BT182" s="97"/>
      <c r="BU182" s="97"/>
      <c r="BV182" s="97"/>
      <c r="BW182" s="97"/>
    </row>
    <row r="183" spans="1:75" s="96" customFormat="1" ht="14.85" customHeight="1">
      <c r="A183" s="109"/>
      <c r="B183" s="190" t="s">
        <v>423</v>
      </c>
      <c r="C183" s="191"/>
      <c r="D183" s="191"/>
      <c r="E183" s="191"/>
      <c r="F183" s="191"/>
      <c r="G183" s="194" t="s">
        <v>356</v>
      </c>
      <c r="H183" s="194"/>
      <c r="I183" s="194"/>
      <c r="J183" s="194"/>
      <c r="K183" s="194"/>
      <c r="L183" s="194"/>
      <c r="M183" s="194"/>
      <c r="N183" s="194"/>
      <c r="O183" s="194"/>
      <c r="P183" s="194"/>
      <c r="Q183" s="194"/>
      <c r="R183" s="194"/>
      <c r="S183" s="194"/>
      <c r="T183" s="194"/>
      <c r="U183" s="194"/>
      <c r="V183" s="317">
        <f>$V$48</f>
        <v>1E-3</v>
      </c>
      <c r="W183" s="318"/>
      <c r="X183" s="318"/>
      <c r="Y183" s="318"/>
      <c r="Z183" s="128" t="s">
        <v>353</v>
      </c>
      <c r="AA183" s="193" t="s">
        <v>354</v>
      </c>
      <c r="AB183" s="193"/>
      <c r="AC183" s="193"/>
      <c r="AD183" s="193"/>
      <c r="AE183" s="193"/>
      <c r="AF183" s="195">
        <v>2</v>
      </c>
      <c r="AG183" s="195"/>
      <c r="AH183" s="195"/>
      <c r="AI183" s="195">
        <v>10</v>
      </c>
      <c r="AJ183" s="195"/>
      <c r="AK183" s="196">
        <f>(V183/AF183)*AI183</f>
        <v>5.0000000000000001E-3</v>
      </c>
      <c r="AL183" s="196"/>
      <c r="AM183" s="196"/>
      <c r="AN183" s="196"/>
      <c r="AO183" s="197"/>
      <c r="AP183" s="304" t="str">
        <f t="shared" si="46"/>
        <v>∞</v>
      </c>
      <c r="AQ183" s="305"/>
      <c r="AR183" s="305"/>
      <c r="AS183" s="305"/>
      <c r="AT183" s="329"/>
      <c r="AU183" s="330"/>
      <c r="AV183" s="331"/>
      <c r="AW183" s="113"/>
      <c r="AX183" s="113"/>
      <c r="AY183" s="113"/>
      <c r="AZ183" s="113"/>
      <c r="BA183" s="113"/>
      <c r="BS183" s="97"/>
      <c r="BT183" s="97"/>
      <c r="BU183" s="97"/>
      <c r="BV183" s="97"/>
      <c r="BW183" s="97"/>
    </row>
    <row r="184" spans="1:75" s="96" customFormat="1" ht="14.85" customHeight="1">
      <c r="A184" s="109"/>
      <c r="B184" s="190" t="s">
        <v>424</v>
      </c>
      <c r="C184" s="191"/>
      <c r="D184" s="191"/>
      <c r="E184" s="191"/>
      <c r="F184" s="191"/>
      <c r="G184" s="194" t="s">
        <v>357</v>
      </c>
      <c r="H184" s="194"/>
      <c r="I184" s="194"/>
      <c r="J184" s="194"/>
      <c r="K184" s="194"/>
      <c r="L184" s="194"/>
      <c r="M184" s="194"/>
      <c r="N184" s="194"/>
      <c r="O184" s="194"/>
      <c r="P184" s="194"/>
      <c r="Q184" s="194"/>
      <c r="R184" s="194"/>
      <c r="S184" s="194"/>
      <c r="T184" s="194"/>
      <c r="U184" s="194"/>
      <c r="V184" s="317">
        <f>$V$49</f>
        <v>1E-3</v>
      </c>
      <c r="W184" s="318"/>
      <c r="X184" s="318"/>
      <c r="Y184" s="318"/>
      <c r="Z184" s="128" t="s">
        <v>353</v>
      </c>
      <c r="AA184" s="193" t="s">
        <v>354</v>
      </c>
      <c r="AB184" s="193"/>
      <c r="AC184" s="193"/>
      <c r="AD184" s="193"/>
      <c r="AE184" s="193"/>
      <c r="AF184" s="195" t="s">
        <v>355</v>
      </c>
      <c r="AG184" s="195"/>
      <c r="AH184" s="195"/>
      <c r="AI184" s="195">
        <v>10</v>
      </c>
      <c r="AJ184" s="195"/>
      <c r="AK184" s="196">
        <f>(V184/SQRT(3))*AI184</f>
        <v>5.773502691896258E-3</v>
      </c>
      <c r="AL184" s="196"/>
      <c r="AM184" s="196"/>
      <c r="AN184" s="196"/>
      <c r="AO184" s="197"/>
      <c r="AP184" s="304" t="str">
        <f t="shared" si="46"/>
        <v>∞</v>
      </c>
      <c r="AQ184" s="305"/>
      <c r="AR184" s="305"/>
      <c r="AS184" s="305"/>
      <c r="AT184" s="329"/>
      <c r="AU184" s="330"/>
      <c r="AV184" s="331"/>
      <c r="AW184" s="113"/>
      <c r="AX184" s="113"/>
      <c r="AY184" s="113"/>
      <c r="AZ184" s="113"/>
      <c r="BA184" s="113"/>
      <c r="BS184" s="97"/>
      <c r="BT184" s="97"/>
      <c r="BU184" s="97"/>
      <c r="BV184" s="97"/>
      <c r="BW184" s="97"/>
    </row>
    <row r="185" spans="1:75" s="96" customFormat="1" ht="14.85" customHeight="1">
      <c r="A185" s="109"/>
      <c r="B185" s="190" t="s">
        <v>425</v>
      </c>
      <c r="C185" s="191"/>
      <c r="D185" s="191"/>
      <c r="E185" s="191"/>
      <c r="F185" s="191"/>
      <c r="G185" s="194" t="s">
        <v>358</v>
      </c>
      <c r="H185" s="194"/>
      <c r="I185" s="194"/>
      <c r="J185" s="194"/>
      <c r="K185" s="194"/>
      <c r="L185" s="194"/>
      <c r="M185" s="194"/>
      <c r="N185" s="194"/>
      <c r="O185" s="194"/>
      <c r="P185" s="194"/>
      <c r="Q185" s="194"/>
      <c r="R185" s="194"/>
      <c r="S185" s="194"/>
      <c r="T185" s="194"/>
      <c r="U185" s="194"/>
      <c r="V185" s="317">
        <f>$V$50</f>
        <v>5.0000000000000002E-5</v>
      </c>
      <c r="W185" s="318"/>
      <c r="X185" s="318"/>
      <c r="Y185" s="318"/>
      <c r="Z185" s="128" t="s">
        <v>434</v>
      </c>
      <c r="AA185" s="193" t="s">
        <v>354</v>
      </c>
      <c r="AB185" s="193"/>
      <c r="AC185" s="193"/>
      <c r="AD185" s="193"/>
      <c r="AE185" s="193"/>
      <c r="AF185" s="195" t="s">
        <v>355</v>
      </c>
      <c r="AG185" s="195"/>
      <c r="AH185" s="195"/>
      <c r="AI185" s="195">
        <v>1</v>
      </c>
      <c r="AJ185" s="195"/>
      <c r="AK185" s="196">
        <f>(V185/SQRT(3))*AI185</f>
        <v>2.8867513459481293E-5</v>
      </c>
      <c r="AL185" s="196"/>
      <c r="AM185" s="196"/>
      <c r="AN185" s="196"/>
      <c r="AO185" s="197"/>
      <c r="AP185" s="304" t="str">
        <f t="shared" si="46"/>
        <v>∞</v>
      </c>
      <c r="AQ185" s="305"/>
      <c r="AR185" s="305"/>
      <c r="AS185" s="305"/>
      <c r="AT185" s="329"/>
      <c r="AU185" s="330"/>
      <c r="AV185" s="331"/>
      <c r="AW185" s="113"/>
      <c r="AX185" s="113"/>
      <c r="AY185" s="113"/>
      <c r="AZ185" s="113"/>
      <c r="BA185" s="113"/>
      <c r="BS185" s="97"/>
      <c r="BT185" s="97"/>
      <c r="BU185" s="97"/>
      <c r="BV185" s="97"/>
      <c r="BW185" s="97"/>
    </row>
    <row r="186" spans="1:75" s="96" customFormat="1" ht="14.85" customHeight="1">
      <c r="A186" s="109"/>
      <c r="B186" s="190" t="s">
        <v>426</v>
      </c>
      <c r="C186" s="191"/>
      <c r="D186" s="191"/>
      <c r="E186" s="191"/>
      <c r="F186" s="191"/>
      <c r="G186" s="194" t="s">
        <v>359</v>
      </c>
      <c r="H186" s="194"/>
      <c r="I186" s="194"/>
      <c r="J186" s="194"/>
      <c r="K186" s="194"/>
      <c r="L186" s="194"/>
      <c r="M186" s="194"/>
      <c r="N186" s="194"/>
      <c r="O186" s="194"/>
      <c r="P186" s="194"/>
      <c r="Q186" s="194"/>
      <c r="R186" s="194"/>
      <c r="S186" s="194"/>
      <c r="T186" s="194"/>
      <c r="U186" s="194"/>
      <c r="V186" s="317">
        <f>$V$51</f>
        <v>0.01</v>
      </c>
      <c r="W186" s="318"/>
      <c r="X186" s="318"/>
      <c r="Y186" s="318"/>
      <c r="Z186" s="128" t="s">
        <v>434</v>
      </c>
      <c r="AA186" s="193" t="s">
        <v>354</v>
      </c>
      <c r="AB186" s="193"/>
      <c r="AC186" s="193"/>
      <c r="AD186" s="193"/>
      <c r="AE186" s="193"/>
      <c r="AF186" s="195" t="s">
        <v>355</v>
      </c>
      <c r="AG186" s="195"/>
      <c r="AH186" s="195"/>
      <c r="AI186" s="195">
        <v>1</v>
      </c>
      <c r="AJ186" s="195"/>
      <c r="AK186" s="196">
        <f>(V186/SQRT(3))*AI186</f>
        <v>5.773502691896258E-3</v>
      </c>
      <c r="AL186" s="196"/>
      <c r="AM186" s="196"/>
      <c r="AN186" s="196"/>
      <c r="AO186" s="197"/>
      <c r="AP186" s="304" t="str">
        <f t="shared" si="46"/>
        <v>∞</v>
      </c>
      <c r="AQ186" s="305"/>
      <c r="AR186" s="305"/>
      <c r="AS186" s="305"/>
      <c r="AT186" s="329"/>
      <c r="AU186" s="330"/>
      <c r="AV186" s="331"/>
      <c r="AW186" s="113"/>
      <c r="AX186" s="113"/>
      <c r="AY186" s="113"/>
      <c r="AZ186" s="113"/>
      <c r="BA186" s="113"/>
      <c r="BS186" s="97"/>
      <c r="BT186" s="97"/>
      <c r="BU186" s="97"/>
      <c r="BV186" s="97"/>
      <c r="BW186" s="97"/>
    </row>
    <row r="187" spans="1:75" s="96" customFormat="1" ht="14.85" customHeight="1">
      <c r="A187" s="109"/>
      <c r="B187" s="190" t="s">
        <v>427</v>
      </c>
      <c r="C187" s="191"/>
      <c r="D187" s="191"/>
      <c r="E187" s="191"/>
      <c r="F187" s="191"/>
      <c r="G187" s="194" t="s">
        <v>360</v>
      </c>
      <c r="H187" s="194"/>
      <c r="I187" s="194"/>
      <c r="J187" s="194"/>
      <c r="K187" s="194"/>
      <c r="L187" s="194"/>
      <c r="M187" s="194"/>
      <c r="N187" s="194"/>
      <c r="O187" s="194"/>
      <c r="P187" s="194"/>
      <c r="Q187" s="194"/>
      <c r="R187" s="194"/>
      <c r="S187" s="194"/>
      <c r="T187" s="194"/>
      <c r="U187" s="194"/>
      <c r="V187" s="317">
        <f>$V$52</f>
        <v>0.01</v>
      </c>
      <c r="W187" s="318"/>
      <c r="X187" s="318"/>
      <c r="Y187" s="318"/>
      <c r="Z187" s="128" t="s">
        <v>434</v>
      </c>
      <c r="AA187" s="193" t="s">
        <v>354</v>
      </c>
      <c r="AB187" s="193"/>
      <c r="AC187" s="193"/>
      <c r="AD187" s="193"/>
      <c r="AE187" s="193"/>
      <c r="AF187" s="195" t="s">
        <v>355</v>
      </c>
      <c r="AG187" s="195"/>
      <c r="AH187" s="195"/>
      <c r="AI187" s="195">
        <v>1</v>
      </c>
      <c r="AJ187" s="195"/>
      <c r="AK187" s="196">
        <f t="shared" ref="AK187:AK189" si="47">(V187/SQRT(3))*AI187</f>
        <v>5.773502691896258E-3</v>
      </c>
      <c r="AL187" s="196"/>
      <c r="AM187" s="196"/>
      <c r="AN187" s="196"/>
      <c r="AO187" s="197"/>
      <c r="AP187" s="304" t="str">
        <f t="shared" si="46"/>
        <v>∞</v>
      </c>
      <c r="AQ187" s="305"/>
      <c r="AR187" s="305"/>
      <c r="AS187" s="305"/>
      <c r="AT187" s="329"/>
      <c r="AU187" s="330"/>
      <c r="AV187" s="331"/>
      <c r="AW187" s="113"/>
      <c r="AX187" s="113"/>
      <c r="AY187" s="113"/>
      <c r="AZ187" s="113"/>
      <c r="BA187" s="113"/>
      <c r="BS187" s="97"/>
      <c r="BT187" s="97"/>
      <c r="BU187" s="97"/>
      <c r="BV187" s="97"/>
      <c r="BW187" s="97"/>
    </row>
    <row r="188" spans="1:75" s="96" customFormat="1" ht="14.85" customHeight="1">
      <c r="A188" s="109"/>
      <c r="B188" s="190" t="s">
        <v>428</v>
      </c>
      <c r="C188" s="191"/>
      <c r="D188" s="191"/>
      <c r="E188" s="191"/>
      <c r="F188" s="191"/>
      <c r="G188" s="194" t="s">
        <v>361</v>
      </c>
      <c r="H188" s="194"/>
      <c r="I188" s="194"/>
      <c r="J188" s="194"/>
      <c r="K188" s="194"/>
      <c r="L188" s="194"/>
      <c r="M188" s="194"/>
      <c r="N188" s="194"/>
      <c r="O188" s="194"/>
      <c r="P188" s="194"/>
      <c r="Q188" s="194"/>
      <c r="R188" s="194"/>
      <c r="S188" s="194"/>
      <c r="T188" s="194"/>
      <c r="U188" s="194"/>
      <c r="V188" s="317" t="e">
        <f>$AB$3/2</f>
        <v>#VALUE!</v>
      </c>
      <c r="W188" s="318"/>
      <c r="X188" s="318"/>
      <c r="Y188" s="318"/>
      <c r="Z188" s="128" t="s">
        <v>434</v>
      </c>
      <c r="AA188" s="193" t="s">
        <v>354</v>
      </c>
      <c r="AB188" s="193"/>
      <c r="AC188" s="193"/>
      <c r="AD188" s="193"/>
      <c r="AE188" s="193"/>
      <c r="AF188" s="195" t="s">
        <v>355</v>
      </c>
      <c r="AG188" s="195"/>
      <c r="AH188" s="195"/>
      <c r="AI188" s="195">
        <v>1</v>
      </c>
      <c r="AJ188" s="195"/>
      <c r="AK188" s="196" t="e">
        <f t="shared" si="47"/>
        <v>#VALUE!</v>
      </c>
      <c r="AL188" s="196"/>
      <c r="AM188" s="196"/>
      <c r="AN188" s="196"/>
      <c r="AO188" s="197"/>
      <c r="AP188" s="304" t="str">
        <f t="shared" si="46"/>
        <v>∞</v>
      </c>
      <c r="AQ188" s="305"/>
      <c r="AR188" s="305"/>
      <c r="AS188" s="305"/>
      <c r="AT188" s="329"/>
      <c r="AU188" s="330"/>
      <c r="AV188" s="331"/>
      <c r="AW188" s="113"/>
      <c r="AX188" s="113"/>
      <c r="AY188" s="113"/>
      <c r="AZ188" s="113"/>
      <c r="BA188" s="113"/>
      <c r="BS188" s="97"/>
      <c r="BT188" s="97"/>
      <c r="BU188" s="97"/>
      <c r="BV188" s="97"/>
      <c r="BW188" s="97"/>
    </row>
    <row r="189" spans="1:75" s="96" customFormat="1" ht="14.85" customHeight="1">
      <c r="A189" s="109"/>
      <c r="B189" s="190" t="s">
        <v>429</v>
      </c>
      <c r="C189" s="191"/>
      <c r="D189" s="191"/>
      <c r="E189" s="191"/>
      <c r="F189" s="191"/>
      <c r="G189" s="194" t="s">
        <v>362</v>
      </c>
      <c r="H189" s="194"/>
      <c r="I189" s="194"/>
      <c r="J189" s="194"/>
      <c r="K189" s="194"/>
      <c r="L189" s="194"/>
      <c r="M189" s="194"/>
      <c r="N189" s="194"/>
      <c r="O189" s="194"/>
      <c r="P189" s="194"/>
      <c r="Q189" s="194"/>
      <c r="R189" s="194"/>
      <c r="S189" s="194"/>
      <c r="T189" s="194"/>
      <c r="U189" s="194"/>
      <c r="V189" s="317" t="str">
        <f>$AL$24</f>
        <v/>
      </c>
      <c r="W189" s="318"/>
      <c r="X189" s="318"/>
      <c r="Y189" s="318"/>
      <c r="Z189" s="128" t="s">
        <v>434</v>
      </c>
      <c r="AA189" s="193" t="s">
        <v>354</v>
      </c>
      <c r="AB189" s="193"/>
      <c r="AC189" s="193"/>
      <c r="AD189" s="193"/>
      <c r="AE189" s="193"/>
      <c r="AF189" s="195" t="s">
        <v>355</v>
      </c>
      <c r="AG189" s="195"/>
      <c r="AH189" s="195"/>
      <c r="AI189" s="195">
        <v>1</v>
      </c>
      <c r="AJ189" s="195"/>
      <c r="AK189" s="196" t="e">
        <f t="shared" si="47"/>
        <v>#VALUE!</v>
      </c>
      <c r="AL189" s="196"/>
      <c r="AM189" s="196"/>
      <c r="AN189" s="196"/>
      <c r="AO189" s="197"/>
      <c r="AP189" s="304" t="str">
        <f t="shared" si="46"/>
        <v>∞</v>
      </c>
      <c r="AQ189" s="305"/>
      <c r="AR189" s="305"/>
      <c r="AS189" s="305"/>
      <c r="AT189" s="329"/>
      <c r="AU189" s="330"/>
      <c r="AV189" s="331"/>
      <c r="AW189" s="113"/>
      <c r="AX189" s="113"/>
      <c r="AY189" s="113"/>
      <c r="AZ189" s="113"/>
      <c r="BA189" s="113"/>
      <c r="BS189" s="97"/>
      <c r="BT189" s="97"/>
      <c r="BU189" s="97"/>
      <c r="BV189" s="97"/>
      <c r="BW189" s="97"/>
    </row>
    <row r="190" spans="1:75" s="96" customFormat="1" ht="14.85" customHeight="1">
      <c r="A190" s="109"/>
      <c r="B190" s="190" t="s">
        <v>430</v>
      </c>
      <c r="C190" s="191"/>
      <c r="D190" s="191"/>
      <c r="E190" s="191"/>
      <c r="F190" s="191"/>
      <c r="G190" s="194" t="s">
        <v>363</v>
      </c>
      <c r="H190" s="194"/>
      <c r="I190" s="194"/>
      <c r="J190" s="194"/>
      <c r="K190" s="194"/>
      <c r="L190" s="194"/>
      <c r="M190" s="194"/>
      <c r="N190" s="194"/>
      <c r="O190" s="194"/>
      <c r="P190" s="194"/>
      <c r="Q190" s="194"/>
      <c r="R190" s="194"/>
      <c r="S190" s="194"/>
      <c r="T190" s="194"/>
      <c r="U190" s="194"/>
      <c r="V190" s="317">
        <v>0</v>
      </c>
      <c r="W190" s="318"/>
      <c r="X190" s="318"/>
      <c r="Y190" s="318"/>
      <c r="Z190" s="128" t="s">
        <v>434</v>
      </c>
      <c r="AA190" s="193" t="s">
        <v>354</v>
      </c>
      <c r="AB190" s="193"/>
      <c r="AC190" s="193"/>
      <c r="AD190" s="193"/>
      <c r="AE190" s="193"/>
      <c r="AF190" s="195" t="s">
        <v>355</v>
      </c>
      <c r="AG190" s="195"/>
      <c r="AH190" s="195"/>
      <c r="AI190" s="195">
        <v>1</v>
      </c>
      <c r="AJ190" s="195"/>
      <c r="AK190" s="196">
        <f>(V190/SQRT(3))*AI190</f>
        <v>0</v>
      </c>
      <c r="AL190" s="196"/>
      <c r="AM190" s="196"/>
      <c r="AN190" s="196"/>
      <c r="AO190" s="197"/>
      <c r="AP190" s="304" t="str">
        <f t="shared" si="46"/>
        <v>∞</v>
      </c>
      <c r="AQ190" s="305"/>
      <c r="AR190" s="305"/>
      <c r="AS190" s="305"/>
      <c r="AT190" s="329"/>
      <c r="AU190" s="330"/>
      <c r="AV190" s="331"/>
      <c r="AW190" s="113"/>
      <c r="AX190" s="113"/>
      <c r="AY190" s="113"/>
      <c r="AZ190" s="113"/>
      <c r="BA190" s="113"/>
      <c r="BS190" s="97"/>
      <c r="BT190" s="97"/>
      <c r="BU190" s="97"/>
      <c r="BV190" s="97"/>
      <c r="BW190" s="97"/>
    </row>
    <row r="191" spans="1:75" s="96" customFormat="1" ht="14.85" customHeight="1">
      <c r="A191" s="109"/>
      <c r="B191" s="190" t="s">
        <v>431</v>
      </c>
      <c r="C191" s="191"/>
      <c r="D191" s="191"/>
      <c r="E191" s="191"/>
      <c r="F191" s="191"/>
      <c r="G191" s="194" t="s">
        <v>364</v>
      </c>
      <c r="H191" s="194"/>
      <c r="I191" s="194"/>
      <c r="J191" s="194"/>
      <c r="K191" s="194"/>
      <c r="L191" s="194"/>
      <c r="M191" s="194"/>
      <c r="N191" s="194"/>
      <c r="O191" s="194"/>
      <c r="P191" s="194"/>
      <c r="Q191" s="194"/>
      <c r="R191" s="194"/>
      <c r="S191" s="194"/>
      <c r="T191" s="194"/>
      <c r="U191" s="194"/>
      <c r="V191" s="317" t="str">
        <f>$E$16</f>
        <v/>
      </c>
      <c r="W191" s="318"/>
      <c r="X191" s="318"/>
      <c r="Y191" s="318"/>
      <c r="Z191" s="128" t="s">
        <v>434</v>
      </c>
      <c r="AA191" s="193" t="s">
        <v>37</v>
      </c>
      <c r="AB191" s="193"/>
      <c r="AC191" s="193"/>
      <c r="AD191" s="193"/>
      <c r="AE191" s="193"/>
      <c r="AF191" s="195">
        <v>1</v>
      </c>
      <c r="AG191" s="195"/>
      <c r="AH191" s="195"/>
      <c r="AI191" s="195">
        <f>IF($B$8="","",1)</f>
        <v>1</v>
      </c>
      <c r="AJ191" s="195"/>
      <c r="AK191" s="196" t="e">
        <f t="shared" ref="AK191" si="48">(V191/AF191)*AI191</f>
        <v>#VALUE!</v>
      </c>
      <c r="AL191" s="196"/>
      <c r="AM191" s="196"/>
      <c r="AN191" s="196"/>
      <c r="AO191" s="197"/>
      <c r="AP191" s="304">
        <v>9</v>
      </c>
      <c r="AQ191" s="305"/>
      <c r="AR191" s="305"/>
      <c r="AS191" s="305"/>
      <c r="AT191" s="329"/>
      <c r="AU191" s="330"/>
      <c r="AV191" s="331"/>
      <c r="AW191" s="113"/>
      <c r="AX191" s="113"/>
      <c r="AY191" s="113"/>
      <c r="AZ191" s="113"/>
      <c r="BA191" s="113"/>
      <c r="BS191" s="97"/>
      <c r="BT191" s="97"/>
      <c r="BU191" s="97"/>
      <c r="BV191" s="97"/>
      <c r="BW191" s="97"/>
    </row>
    <row r="192" spans="1:75" ht="14.85" customHeight="1" thickBot="1">
      <c r="A192" s="109"/>
      <c r="B192" s="306" t="s">
        <v>432</v>
      </c>
      <c r="C192" s="307"/>
      <c r="D192" s="307"/>
      <c r="E192" s="307"/>
      <c r="F192" s="307"/>
      <c r="G192" s="340" t="s">
        <v>365</v>
      </c>
      <c r="H192" s="340"/>
      <c r="I192" s="340"/>
      <c r="J192" s="340"/>
      <c r="K192" s="340"/>
      <c r="L192" s="340"/>
      <c r="M192" s="340"/>
      <c r="N192" s="340"/>
      <c r="O192" s="340"/>
      <c r="P192" s="340"/>
      <c r="Q192" s="340"/>
      <c r="R192" s="340"/>
      <c r="S192" s="340"/>
      <c r="T192" s="340"/>
      <c r="U192" s="340"/>
      <c r="V192" s="319" t="str">
        <f>$AK$16</f>
        <v/>
      </c>
      <c r="W192" s="320"/>
      <c r="X192" s="320"/>
      <c r="Y192" s="320"/>
      <c r="Z192" s="129" t="s">
        <v>434</v>
      </c>
      <c r="AA192" s="308" t="s">
        <v>37</v>
      </c>
      <c r="AB192" s="308"/>
      <c r="AC192" s="308"/>
      <c r="AD192" s="308"/>
      <c r="AE192" s="308"/>
      <c r="AF192" s="309">
        <v>1</v>
      </c>
      <c r="AG192" s="309"/>
      <c r="AH192" s="309"/>
      <c r="AI192" s="309">
        <f>IF($B$8="","",1)</f>
        <v>1</v>
      </c>
      <c r="AJ192" s="309"/>
      <c r="AK192" s="310" t="e">
        <f>(V192/AF192)*AI192</f>
        <v>#VALUE!</v>
      </c>
      <c r="AL192" s="310"/>
      <c r="AM192" s="310"/>
      <c r="AN192" s="310"/>
      <c r="AO192" s="311"/>
      <c r="AP192" s="304">
        <v>9</v>
      </c>
      <c r="AQ192" s="305"/>
      <c r="AR192" s="305"/>
      <c r="AS192" s="305"/>
      <c r="AT192" s="329"/>
      <c r="AU192" s="330"/>
      <c r="AV192" s="331"/>
      <c r="AW192" s="113"/>
      <c r="AX192" s="113"/>
      <c r="AY192" s="113"/>
      <c r="AZ192" s="113"/>
      <c r="BA192" s="113"/>
    </row>
    <row r="193" spans="1:75" ht="14.85" customHeight="1" thickTop="1" thickBot="1">
      <c r="A193" s="109"/>
      <c r="B193" s="338" t="s">
        <v>433</v>
      </c>
      <c r="C193" s="339"/>
      <c r="D193" s="339"/>
      <c r="E193" s="339"/>
      <c r="F193" s="339"/>
      <c r="G193" s="340" t="s">
        <v>366</v>
      </c>
      <c r="H193" s="340" t="s">
        <v>366</v>
      </c>
      <c r="I193" s="340" t="s">
        <v>366</v>
      </c>
      <c r="J193" s="340" t="s">
        <v>366</v>
      </c>
      <c r="K193" s="340" t="s">
        <v>366</v>
      </c>
      <c r="L193" s="340" t="s">
        <v>366</v>
      </c>
      <c r="M193" s="340" t="s">
        <v>366</v>
      </c>
      <c r="N193" s="340" t="s">
        <v>366</v>
      </c>
      <c r="O193" s="340" t="s">
        <v>366</v>
      </c>
      <c r="P193" s="340" t="s">
        <v>366</v>
      </c>
      <c r="Q193" s="340" t="s">
        <v>366</v>
      </c>
      <c r="R193" s="340" t="s">
        <v>366</v>
      </c>
      <c r="S193" s="340" t="s">
        <v>366</v>
      </c>
      <c r="T193" s="340" t="s">
        <v>366</v>
      </c>
      <c r="U193" s="340" t="s">
        <v>366</v>
      </c>
      <c r="V193" s="357"/>
      <c r="W193" s="358"/>
      <c r="X193" s="358"/>
      <c r="Y193" s="358"/>
      <c r="Z193" s="130"/>
      <c r="AA193" s="359" t="s">
        <v>37</v>
      </c>
      <c r="AB193" s="359"/>
      <c r="AC193" s="359"/>
      <c r="AD193" s="359"/>
      <c r="AE193" s="360"/>
      <c r="AF193" s="349"/>
      <c r="AG193" s="350"/>
      <c r="AH193" s="350"/>
      <c r="AI193" s="350"/>
      <c r="AJ193" s="351"/>
      <c r="AK193" s="343" t="e">
        <f>SQRT(SUMSQ(AK181:AO192))</f>
        <v>#VALUE!</v>
      </c>
      <c r="AL193" s="344"/>
      <c r="AM193" s="344"/>
      <c r="AN193" s="344"/>
      <c r="AO193" s="344"/>
      <c r="AP193" s="322" t="e">
        <f>IF(V192&lt;0.000000001,"∞",(AK193^4/((AK192^4/AP192)+(AK191^4/AP191))))</f>
        <v>#VALUE!</v>
      </c>
      <c r="AQ193" s="323"/>
      <c r="AR193" s="323"/>
      <c r="AS193" s="323"/>
      <c r="AT193" s="329"/>
      <c r="AU193" s="330"/>
      <c r="AV193" s="331"/>
      <c r="AW193" s="113"/>
      <c r="AX193" s="113"/>
      <c r="AY193" s="113"/>
      <c r="AZ193" s="113"/>
      <c r="BA193" s="113"/>
    </row>
    <row r="194" spans="1:75" ht="14.85" customHeight="1" thickTop="1" thickBot="1">
      <c r="A194" s="109"/>
      <c r="B194" s="338" t="s">
        <v>368</v>
      </c>
      <c r="C194" s="339"/>
      <c r="D194" s="339"/>
      <c r="E194" s="339"/>
      <c r="F194" s="339"/>
      <c r="G194" s="340" t="s">
        <v>369</v>
      </c>
      <c r="H194" s="340" t="s">
        <v>369</v>
      </c>
      <c r="I194" s="340" t="s">
        <v>369</v>
      </c>
      <c r="J194" s="340" t="s">
        <v>369</v>
      </c>
      <c r="K194" s="340" t="s">
        <v>369</v>
      </c>
      <c r="L194" s="340" t="s">
        <v>369</v>
      </c>
      <c r="M194" s="340" t="s">
        <v>369</v>
      </c>
      <c r="N194" s="340" t="s">
        <v>369</v>
      </c>
      <c r="O194" s="340" t="s">
        <v>369</v>
      </c>
      <c r="P194" s="340" t="s">
        <v>369</v>
      </c>
      <c r="Q194" s="340" t="s">
        <v>369</v>
      </c>
      <c r="R194" s="340" t="s">
        <v>369</v>
      </c>
      <c r="S194" s="340" t="s">
        <v>369</v>
      </c>
      <c r="T194" s="340" t="s">
        <v>369</v>
      </c>
      <c r="U194" s="340" t="s">
        <v>369</v>
      </c>
      <c r="V194" s="341"/>
      <c r="W194" s="342"/>
      <c r="X194" s="342"/>
      <c r="Y194" s="342"/>
      <c r="Z194" s="131"/>
      <c r="AA194" s="345" t="s">
        <v>370</v>
      </c>
      <c r="AB194" s="346"/>
      <c r="AC194" s="347" t="e">
        <f>IF(AP193="∞",2,TINV(0.0455,AP193))</f>
        <v>#VALUE!</v>
      </c>
      <c r="AD194" s="348"/>
      <c r="AE194" s="348"/>
      <c r="AF194" s="352"/>
      <c r="AG194" s="353"/>
      <c r="AH194" s="353"/>
      <c r="AI194" s="353"/>
      <c r="AJ194" s="354"/>
      <c r="AK194" s="343" t="e">
        <f>AK193*AC194</f>
        <v>#VALUE!</v>
      </c>
      <c r="AL194" s="344"/>
      <c r="AM194" s="344"/>
      <c r="AN194" s="344"/>
      <c r="AO194" s="344"/>
      <c r="AP194" s="324" t="s">
        <v>367</v>
      </c>
      <c r="AQ194" s="325" t="s">
        <v>367</v>
      </c>
      <c r="AR194" s="325" t="s">
        <v>367</v>
      </c>
      <c r="AS194" s="325"/>
      <c r="AT194" s="332"/>
      <c r="AU194" s="333"/>
      <c r="AV194" s="334"/>
      <c r="AW194" s="113"/>
      <c r="AX194" s="113"/>
      <c r="AY194" s="113"/>
      <c r="AZ194" s="113"/>
      <c r="BA194" s="113"/>
    </row>
    <row r="195" spans="1:75" ht="14.85" customHeight="1" thickTop="1" thickBot="1">
      <c r="A195" s="109"/>
      <c r="B195" s="139"/>
      <c r="C195" s="139"/>
      <c r="D195" s="139"/>
      <c r="E195" s="139"/>
      <c r="F195" s="139"/>
      <c r="G195" s="126"/>
      <c r="H195" s="126"/>
      <c r="I195" s="126"/>
      <c r="J195" s="126"/>
      <c r="K195" s="126"/>
      <c r="L195" s="126"/>
      <c r="M195" s="126"/>
      <c r="N195" s="126"/>
      <c r="O195" s="126"/>
      <c r="P195" s="126"/>
      <c r="Q195" s="126"/>
      <c r="R195" s="126"/>
      <c r="S195" s="126"/>
      <c r="T195" s="126"/>
      <c r="U195" s="126"/>
      <c r="V195" s="132"/>
      <c r="W195" s="132"/>
      <c r="X195" s="132"/>
      <c r="Y195" s="132"/>
      <c r="Z195" s="133"/>
      <c r="AA195" s="134"/>
      <c r="AB195" s="134"/>
      <c r="AC195" s="374" t="s">
        <v>371</v>
      </c>
      <c r="AD195" s="375"/>
      <c r="AE195" s="369">
        <f>IF($J$5&lt;0,0.04,0.03)</f>
        <v>0.03</v>
      </c>
      <c r="AF195" s="369"/>
      <c r="AG195" s="370"/>
      <c r="AH195" s="371" t="s">
        <v>372</v>
      </c>
      <c r="AI195" s="369"/>
      <c r="AJ195" s="369"/>
      <c r="AK195" s="372" t="e">
        <f>IF(AK194&lt;AE195,AE195,ROUNDUP(AK194,3))</f>
        <v>#VALUE!</v>
      </c>
      <c r="AL195" s="372"/>
      <c r="AM195" s="372"/>
      <c r="AN195" s="372"/>
      <c r="AO195" s="373"/>
      <c r="AP195" s="134"/>
      <c r="AQ195" s="134"/>
      <c r="AR195" s="134"/>
      <c r="AS195" s="132"/>
      <c r="AT195" s="132"/>
      <c r="AU195" s="132"/>
      <c r="AV195" s="132"/>
      <c r="AW195" s="113"/>
      <c r="AX195" s="113"/>
      <c r="AY195" s="113"/>
      <c r="AZ195" s="113"/>
      <c r="BA195" s="113"/>
    </row>
    <row r="196" spans="1:75" ht="14.85" customHeight="1" thickTop="1">
      <c r="A196" s="109"/>
      <c r="B196" s="139"/>
      <c r="C196" s="139"/>
      <c r="D196" s="139"/>
      <c r="E196" s="139"/>
      <c r="F196" s="139"/>
      <c r="G196" s="121"/>
      <c r="H196" s="121"/>
      <c r="I196" s="121"/>
      <c r="J196" s="121"/>
      <c r="K196" s="121"/>
      <c r="L196" s="121"/>
      <c r="M196" s="121"/>
      <c r="N196" s="121"/>
      <c r="O196" s="121"/>
      <c r="P196" s="121"/>
      <c r="Q196" s="121"/>
      <c r="R196" s="121"/>
      <c r="S196" s="121"/>
      <c r="T196" s="121"/>
      <c r="U196" s="121"/>
      <c r="V196" s="113"/>
      <c r="W196" s="113"/>
      <c r="X196" s="113"/>
      <c r="Y196" s="113"/>
      <c r="Z196" s="123"/>
      <c r="AA196" s="124"/>
      <c r="AB196" s="124"/>
      <c r="AC196" s="124"/>
      <c r="AD196" s="124"/>
      <c r="AE196" s="124"/>
      <c r="AF196" s="125"/>
      <c r="AG196" s="125"/>
      <c r="AH196" s="125"/>
      <c r="AI196" s="125"/>
      <c r="AJ196" s="125"/>
      <c r="AK196" s="113"/>
      <c r="AL196" s="113"/>
      <c r="AM196" s="113"/>
      <c r="AN196" s="113"/>
      <c r="AO196" s="113"/>
      <c r="AP196" s="124"/>
      <c r="AQ196" s="124"/>
      <c r="AR196" s="124"/>
      <c r="AS196" s="113"/>
      <c r="AT196" s="113"/>
      <c r="AU196" s="113"/>
      <c r="AV196" s="113"/>
      <c r="AW196" s="113"/>
      <c r="AX196" s="113"/>
      <c r="AY196" s="113"/>
      <c r="AZ196" s="113"/>
      <c r="BA196" s="113"/>
    </row>
    <row r="197" spans="1:75" ht="14.85" customHeight="1">
      <c r="A197" s="101"/>
      <c r="B197" s="135"/>
      <c r="C197" s="135"/>
      <c r="D197" s="135"/>
      <c r="E197" s="135"/>
      <c r="F197" s="135"/>
      <c r="G197" s="135"/>
      <c r="H197" s="135"/>
      <c r="I197" s="136"/>
      <c r="J197" s="136"/>
      <c r="K197" s="136"/>
      <c r="L197" s="136"/>
      <c r="M197" s="136"/>
      <c r="N197" s="136"/>
      <c r="O197" s="136"/>
      <c r="P197" s="136"/>
      <c r="Q197" s="136"/>
      <c r="R197" s="136"/>
      <c r="S197" s="136"/>
      <c r="T197" s="136"/>
      <c r="U197" s="136"/>
      <c r="V197" s="136"/>
      <c r="W197" s="136"/>
      <c r="X197" s="136"/>
      <c r="Y197" s="136"/>
      <c r="Z197" s="136"/>
      <c r="AA197" s="136"/>
      <c r="AB197" s="136"/>
      <c r="AC197" s="136"/>
      <c r="AD197" s="136"/>
      <c r="AE197" s="136"/>
      <c r="AF197" s="136"/>
      <c r="AG197" s="136"/>
      <c r="AH197" s="136"/>
      <c r="AI197" s="136"/>
      <c r="AJ197" s="136"/>
      <c r="AK197" s="136"/>
      <c r="AL197" s="136"/>
      <c r="AM197" s="136"/>
      <c r="AS197" s="265" t="s">
        <v>5</v>
      </c>
      <c r="AT197" s="265"/>
      <c r="AU197" s="265"/>
      <c r="AV197" s="275">
        <f>AV158+1</f>
        <v>12</v>
      </c>
      <c r="AW197" s="275"/>
      <c r="AX197" s="94" t="s">
        <v>6</v>
      </c>
      <c r="AY197" s="275">
        <f>$AY$1</f>
        <v>1</v>
      </c>
      <c r="AZ197" s="275"/>
      <c r="BA197" s="101"/>
      <c r="BU197" s="112"/>
      <c r="BV197" s="112"/>
    </row>
    <row r="198" spans="1:75" ht="14.85" customHeight="1">
      <c r="A198" s="101"/>
      <c r="B198" s="135"/>
      <c r="C198" s="135"/>
      <c r="D198" s="135"/>
      <c r="E198" s="135"/>
      <c r="F198" s="135"/>
      <c r="G198" s="135"/>
      <c r="H198" s="135"/>
      <c r="I198" s="136"/>
      <c r="J198" s="136"/>
      <c r="K198" s="136"/>
      <c r="L198" s="136"/>
      <c r="M198" s="136"/>
      <c r="N198" s="136"/>
      <c r="O198" s="136"/>
      <c r="P198" s="136"/>
      <c r="Q198" s="136"/>
      <c r="R198" s="136"/>
      <c r="S198" s="136"/>
      <c r="T198" s="136"/>
      <c r="U198" s="136"/>
      <c r="V198" s="136"/>
      <c r="W198" s="136"/>
      <c r="X198" s="136"/>
      <c r="Y198" s="136"/>
      <c r="Z198" s="136"/>
      <c r="AA198" s="136"/>
      <c r="AB198" s="136"/>
      <c r="AC198" s="136"/>
      <c r="AD198" s="136"/>
      <c r="AE198" s="136"/>
      <c r="AF198" s="136"/>
      <c r="AG198" s="136"/>
      <c r="AH198" s="136"/>
      <c r="AI198" s="136"/>
      <c r="AJ198" s="136"/>
      <c r="AK198" s="136"/>
      <c r="AL198" s="136"/>
      <c r="AM198" s="136"/>
      <c r="AQ198" s="98"/>
      <c r="BA198" s="101"/>
      <c r="BU198" s="112"/>
      <c r="BV198" s="112"/>
    </row>
    <row r="199" spans="1:75" ht="14.25" customHeight="1" thickBot="1">
      <c r="A199" s="101"/>
      <c r="B199" s="91" t="s">
        <v>346</v>
      </c>
      <c r="C199" s="101"/>
      <c r="E199" s="101"/>
      <c r="H199" s="103"/>
      <c r="I199" s="137"/>
      <c r="J199" s="138"/>
      <c r="K199" s="138"/>
      <c r="L199" s="138"/>
      <c r="M199" s="137"/>
      <c r="N199" s="138"/>
      <c r="O199" s="138"/>
      <c r="P199" s="138"/>
      <c r="Q199" s="137"/>
      <c r="R199" s="138"/>
      <c r="S199" s="138"/>
      <c r="T199" s="138"/>
      <c r="U199" s="137"/>
      <c r="V199" s="138"/>
      <c r="W199" s="138"/>
      <c r="X199" s="138"/>
      <c r="Y199" s="137"/>
      <c r="Z199" s="138"/>
      <c r="AA199" s="138"/>
      <c r="AB199" s="138"/>
      <c r="AC199" s="137"/>
      <c r="AD199" s="138"/>
      <c r="AE199" s="138"/>
      <c r="AF199" s="138"/>
      <c r="AG199" s="137"/>
      <c r="AH199" s="138"/>
      <c r="AI199" s="138"/>
      <c r="AJ199" s="138"/>
      <c r="AK199" s="137"/>
      <c r="AL199" s="138"/>
      <c r="AM199" s="138"/>
      <c r="AN199" s="138"/>
      <c r="AO199" s="272" t="s">
        <v>7</v>
      </c>
      <c r="AP199" s="272"/>
      <c r="AQ199" s="272"/>
      <c r="AR199" s="272"/>
      <c r="AS199" s="272"/>
      <c r="AT199" s="272"/>
      <c r="AU199" s="272"/>
      <c r="AV199" s="179" t="str">
        <f>$AV$160</f>
        <v xml:space="preserve"> /69 </v>
      </c>
      <c r="AW199" s="179"/>
      <c r="AX199" s="179"/>
      <c r="AY199" s="179"/>
      <c r="AZ199" s="179"/>
      <c r="BA199" s="101"/>
      <c r="BU199" s="112"/>
      <c r="BV199" s="112"/>
    </row>
    <row r="200" spans="1:75" ht="14.85" customHeight="1" thickTop="1" thickBot="1">
      <c r="B200" s="355" t="s">
        <v>347</v>
      </c>
      <c r="C200" s="356"/>
      <c r="D200" s="356"/>
      <c r="E200" s="356"/>
      <c r="F200" s="356"/>
      <c r="G200" s="312" t="s">
        <v>348</v>
      </c>
      <c r="H200" s="312"/>
      <c r="I200" s="312"/>
      <c r="J200" s="312"/>
      <c r="K200" s="312"/>
      <c r="L200" s="312"/>
      <c r="M200" s="312"/>
      <c r="N200" s="312"/>
      <c r="O200" s="312"/>
      <c r="P200" s="312"/>
      <c r="Q200" s="312"/>
      <c r="R200" s="312"/>
      <c r="S200" s="312"/>
      <c r="T200" s="312"/>
      <c r="U200" s="312"/>
      <c r="V200" s="187" t="s">
        <v>417</v>
      </c>
      <c r="W200" s="187"/>
      <c r="X200" s="187"/>
      <c r="Y200" s="187"/>
      <c r="Z200" s="187"/>
      <c r="AA200" s="186" t="s">
        <v>418</v>
      </c>
      <c r="AB200" s="187"/>
      <c r="AC200" s="187"/>
      <c r="AD200" s="187"/>
      <c r="AE200" s="187"/>
      <c r="AF200" s="187" t="s">
        <v>349</v>
      </c>
      <c r="AG200" s="187"/>
      <c r="AH200" s="187"/>
      <c r="AI200" s="187" t="s">
        <v>350</v>
      </c>
      <c r="AJ200" s="187"/>
      <c r="AK200" s="186" t="s">
        <v>419</v>
      </c>
      <c r="AL200" s="187"/>
      <c r="AM200" s="187"/>
      <c r="AN200" s="187"/>
      <c r="AO200" s="187"/>
      <c r="AP200" s="361" t="s">
        <v>420</v>
      </c>
      <c r="AQ200" s="362"/>
      <c r="AR200" s="362"/>
      <c r="AS200" s="362"/>
      <c r="AT200" s="326" t="str">
        <f>IF(AO10="","","9")</f>
        <v/>
      </c>
      <c r="AU200" s="327"/>
      <c r="AV200" s="328"/>
      <c r="AW200" s="113"/>
      <c r="AX200" s="113"/>
      <c r="AY200" s="113"/>
      <c r="AZ200" s="113"/>
      <c r="BA200" s="113"/>
    </row>
    <row r="201" spans="1:75" ht="14.85" customHeight="1" thickTop="1" thickBot="1">
      <c r="A201" s="122"/>
      <c r="B201" s="355"/>
      <c r="C201" s="356"/>
      <c r="D201" s="356"/>
      <c r="E201" s="356"/>
      <c r="F201" s="356"/>
      <c r="G201" s="312"/>
      <c r="H201" s="312"/>
      <c r="I201" s="312"/>
      <c r="J201" s="312"/>
      <c r="K201" s="312"/>
      <c r="L201" s="312"/>
      <c r="M201" s="312"/>
      <c r="N201" s="312"/>
      <c r="O201" s="312"/>
      <c r="P201" s="312"/>
      <c r="Q201" s="312"/>
      <c r="R201" s="312"/>
      <c r="S201" s="312"/>
      <c r="T201" s="312"/>
      <c r="U201" s="312"/>
      <c r="V201" s="187"/>
      <c r="W201" s="187"/>
      <c r="X201" s="187"/>
      <c r="Y201" s="187"/>
      <c r="Z201" s="187"/>
      <c r="AA201" s="187"/>
      <c r="AB201" s="187"/>
      <c r="AC201" s="187"/>
      <c r="AD201" s="187"/>
      <c r="AE201" s="187"/>
      <c r="AF201" s="187"/>
      <c r="AG201" s="187"/>
      <c r="AH201" s="187"/>
      <c r="AI201" s="187"/>
      <c r="AJ201" s="187"/>
      <c r="AK201" s="187"/>
      <c r="AL201" s="187"/>
      <c r="AM201" s="187"/>
      <c r="AN201" s="187"/>
      <c r="AO201" s="187"/>
      <c r="AP201" s="363"/>
      <c r="AQ201" s="364"/>
      <c r="AR201" s="364"/>
      <c r="AS201" s="364"/>
      <c r="AT201" s="329"/>
      <c r="AU201" s="330"/>
      <c r="AV201" s="331"/>
      <c r="AW201" s="113"/>
      <c r="AX201" s="113"/>
      <c r="AY201" s="113"/>
      <c r="AZ201" s="113"/>
      <c r="BA201" s="113"/>
    </row>
    <row r="202" spans="1:75" ht="14.85" customHeight="1" thickTop="1">
      <c r="A202" s="109"/>
      <c r="B202" s="188" t="s">
        <v>421</v>
      </c>
      <c r="C202" s="189"/>
      <c r="D202" s="189"/>
      <c r="E202" s="189"/>
      <c r="F202" s="189"/>
      <c r="G202" s="321" t="s">
        <v>351</v>
      </c>
      <c r="H202" s="321"/>
      <c r="I202" s="321"/>
      <c r="J202" s="321"/>
      <c r="K202" s="321"/>
      <c r="L202" s="321"/>
      <c r="M202" s="321"/>
      <c r="N202" s="321"/>
      <c r="O202" s="321"/>
      <c r="P202" s="321"/>
      <c r="Q202" s="321"/>
      <c r="R202" s="321"/>
      <c r="S202" s="321"/>
      <c r="T202" s="321"/>
      <c r="U202" s="321"/>
      <c r="V202" s="367">
        <f>$V$46</f>
        <v>3.0000000000000001E-3</v>
      </c>
      <c r="W202" s="368"/>
      <c r="X202" s="368"/>
      <c r="Y202" s="368"/>
      <c r="Z202" s="127" t="s">
        <v>434</v>
      </c>
      <c r="AA202" s="192" t="s">
        <v>37</v>
      </c>
      <c r="AB202" s="192"/>
      <c r="AC202" s="192"/>
      <c r="AD202" s="192"/>
      <c r="AE202" s="192"/>
      <c r="AF202" s="289">
        <v>2</v>
      </c>
      <c r="AG202" s="289"/>
      <c r="AH202" s="289"/>
      <c r="AI202" s="289">
        <v>1</v>
      </c>
      <c r="AJ202" s="289"/>
      <c r="AK202" s="290">
        <f>(V202/AF202)*AI202</f>
        <v>1.5E-3</v>
      </c>
      <c r="AL202" s="290"/>
      <c r="AM202" s="290"/>
      <c r="AN202" s="290"/>
      <c r="AO202" s="291"/>
      <c r="AP202" s="365" t="str">
        <f t="shared" ref="AP202:AP211" si="49">IF($B$8="","","∞")</f>
        <v>∞</v>
      </c>
      <c r="AQ202" s="366"/>
      <c r="AR202" s="366"/>
      <c r="AS202" s="366"/>
      <c r="AT202" s="329"/>
      <c r="AU202" s="330"/>
      <c r="AV202" s="331"/>
      <c r="AW202" s="113"/>
      <c r="AX202" s="113"/>
      <c r="AY202" s="113"/>
      <c r="AZ202" s="113"/>
      <c r="BA202" s="113"/>
    </row>
    <row r="203" spans="1:75" ht="14.85" customHeight="1">
      <c r="A203" s="109"/>
      <c r="B203" s="190" t="s">
        <v>422</v>
      </c>
      <c r="C203" s="191"/>
      <c r="D203" s="191"/>
      <c r="E203" s="191"/>
      <c r="F203" s="191"/>
      <c r="G203" s="194" t="s">
        <v>352</v>
      </c>
      <c r="H203" s="194"/>
      <c r="I203" s="194"/>
      <c r="J203" s="194"/>
      <c r="K203" s="194"/>
      <c r="L203" s="194"/>
      <c r="M203" s="194"/>
      <c r="N203" s="194"/>
      <c r="O203" s="194"/>
      <c r="P203" s="194"/>
      <c r="Q203" s="194"/>
      <c r="R203" s="194"/>
      <c r="S203" s="194"/>
      <c r="T203" s="194"/>
      <c r="U203" s="194"/>
      <c r="V203" s="317">
        <f>$V$47</f>
        <v>1.6000000000000001E-3</v>
      </c>
      <c r="W203" s="318"/>
      <c r="X203" s="318"/>
      <c r="Y203" s="318"/>
      <c r="Z203" s="128" t="s">
        <v>353</v>
      </c>
      <c r="AA203" s="193" t="s">
        <v>354</v>
      </c>
      <c r="AB203" s="193"/>
      <c r="AC203" s="193"/>
      <c r="AD203" s="193"/>
      <c r="AE203" s="193"/>
      <c r="AF203" s="195" t="s">
        <v>355</v>
      </c>
      <c r="AG203" s="195"/>
      <c r="AH203" s="195"/>
      <c r="AI203" s="195">
        <v>10</v>
      </c>
      <c r="AJ203" s="195"/>
      <c r="AK203" s="196">
        <f>(V203/SQRT(3))*AI203</f>
        <v>9.2376043070340128E-3</v>
      </c>
      <c r="AL203" s="196"/>
      <c r="AM203" s="196"/>
      <c r="AN203" s="196"/>
      <c r="AO203" s="197"/>
      <c r="AP203" s="304" t="str">
        <f t="shared" si="49"/>
        <v>∞</v>
      </c>
      <c r="AQ203" s="305"/>
      <c r="AR203" s="305"/>
      <c r="AS203" s="305"/>
      <c r="AT203" s="329"/>
      <c r="AU203" s="330"/>
      <c r="AV203" s="331"/>
      <c r="AW203" s="113"/>
      <c r="AX203" s="113"/>
      <c r="AY203" s="113"/>
      <c r="AZ203" s="113"/>
      <c r="BA203" s="113"/>
    </row>
    <row r="204" spans="1:75" ht="14.85" customHeight="1">
      <c r="A204" s="109"/>
      <c r="B204" s="190" t="s">
        <v>423</v>
      </c>
      <c r="C204" s="191"/>
      <c r="D204" s="191"/>
      <c r="E204" s="191"/>
      <c r="F204" s="191"/>
      <c r="G204" s="194" t="s">
        <v>356</v>
      </c>
      <c r="H204" s="194"/>
      <c r="I204" s="194"/>
      <c r="J204" s="194"/>
      <c r="K204" s="194"/>
      <c r="L204" s="194"/>
      <c r="M204" s="194"/>
      <c r="N204" s="194"/>
      <c r="O204" s="194"/>
      <c r="P204" s="194"/>
      <c r="Q204" s="194"/>
      <c r="R204" s="194"/>
      <c r="S204" s="194"/>
      <c r="T204" s="194"/>
      <c r="U204" s="194"/>
      <c r="V204" s="317">
        <f>$V$48</f>
        <v>1E-3</v>
      </c>
      <c r="W204" s="318"/>
      <c r="X204" s="318"/>
      <c r="Y204" s="318"/>
      <c r="Z204" s="128" t="s">
        <v>353</v>
      </c>
      <c r="AA204" s="193" t="s">
        <v>354</v>
      </c>
      <c r="AB204" s="193"/>
      <c r="AC204" s="193"/>
      <c r="AD204" s="193"/>
      <c r="AE204" s="193"/>
      <c r="AF204" s="195">
        <v>2</v>
      </c>
      <c r="AG204" s="195"/>
      <c r="AH204" s="195"/>
      <c r="AI204" s="195">
        <v>10</v>
      </c>
      <c r="AJ204" s="195"/>
      <c r="AK204" s="196">
        <f>(V204/AF204)*AI204</f>
        <v>5.0000000000000001E-3</v>
      </c>
      <c r="AL204" s="196"/>
      <c r="AM204" s="196"/>
      <c r="AN204" s="196"/>
      <c r="AO204" s="197"/>
      <c r="AP204" s="304" t="str">
        <f t="shared" si="49"/>
        <v>∞</v>
      </c>
      <c r="AQ204" s="305"/>
      <c r="AR204" s="305"/>
      <c r="AS204" s="305"/>
      <c r="AT204" s="329"/>
      <c r="AU204" s="330"/>
      <c r="AV204" s="331"/>
      <c r="AW204" s="113"/>
      <c r="AX204" s="113"/>
      <c r="AY204" s="113"/>
      <c r="AZ204" s="113"/>
      <c r="BA204" s="113"/>
    </row>
    <row r="205" spans="1:75" ht="14.85" customHeight="1">
      <c r="A205" s="109"/>
      <c r="B205" s="190" t="s">
        <v>424</v>
      </c>
      <c r="C205" s="191"/>
      <c r="D205" s="191"/>
      <c r="E205" s="191"/>
      <c r="F205" s="191"/>
      <c r="G205" s="194" t="s">
        <v>357</v>
      </c>
      <c r="H205" s="194"/>
      <c r="I205" s="194"/>
      <c r="J205" s="194"/>
      <c r="K205" s="194"/>
      <c r="L205" s="194"/>
      <c r="M205" s="194"/>
      <c r="N205" s="194"/>
      <c r="O205" s="194"/>
      <c r="P205" s="194"/>
      <c r="Q205" s="194"/>
      <c r="R205" s="194"/>
      <c r="S205" s="194"/>
      <c r="T205" s="194"/>
      <c r="U205" s="194"/>
      <c r="V205" s="317">
        <f>$V$49</f>
        <v>1E-3</v>
      </c>
      <c r="W205" s="318"/>
      <c r="X205" s="318"/>
      <c r="Y205" s="318"/>
      <c r="Z205" s="128" t="s">
        <v>353</v>
      </c>
      <c r="AA205" s="193" t="s">
        <v>354</v>
      </c>
      <c r="AB205" s="193"/>
      <c r="AC205" s="193"/>
      <c r="AD205" s="193"/>
      <c r="AE205" s="193"/>
      <c r="AF205" s="195" t="s">
        <v>355</v>
      </c>
      <c r="AG205" s="195"/>
      <c r="AH205" s="195"/>
      <c r="AI205" s="195">
        <v>10</v>
      </c>
      <c r="AJ205" s="195"/>
      <c r="AK205" s="196">
        <f>(V205/SQRT(3))*AI205</f>
        <v>5.773502691896258E-3</v>
      </c>
      <c r="AL205" s="196"/>
      <c r="AM205" s="196"/>
      <c r="AN205" s="196"/>
      <c r="AO205" s="197"/>
      <c r="AP205" s="304" t="str">
        <f t="shared" si="49"/>
        <v>∞</v>
      </c>
      <c r="AQ205" s="305"/>
      <c r="AR205" s="305"/>
      <c r="AS205" s="305"/>
      <c r="AT205" s="329"/>
      <c r="AU205" s="330"/>
      <c r="AV205" s="331"/>
      <c r="AW205" s="113"/>
      <c r="AX205" s="113"/>
      <c r="AY205" s="113"/>
      <c r="AZ205" s="113"/>
      <c r="BA205" s="113"/>
    </row>
    <row r="206" spans="1:75" ht="14.85" customHeight="1">
      <c r="A206" s="109"/>
      <c r="B206" s="190" t="s">
        <v>425</v>
      </c>
      <c r="C206" s="191"/>
      <c r="D206" s="191"/>
      <c r="E206" s="191"/>
      <c r="F206" s="191"/>
      <c r="G206" s="194" t="s">
        <v>358</v>
      </c>
      <c r="H206" s="194"/>
      <c r="I206" s="194"/>
      <c r="J206" s="194"/>
      <c r="K206" s="194"/>
      <c r="L206" s="194"/>
      <c r="M206" s="194"/>
      <c r="N206" s="194"/>
      <c r="O206" s="194"/>
      <c r="P206" s="194"/>
      <c r="Q206" s="194"/>
      <c r="R206" s="194"/>
      <c r="S206" s="194"/>
      <c r="T206" s="194"/>
      <c r="U206" s="194"/>
      <c r="V206" s="317">
        <f>$V$50</f>
        <v>5.0000000000000002E-5</v>
      </c>
      <c r="W206" s="318"/>
      <c r="X206" s="318"/>
      <c r="Y206" s="318"/>
      <c r="Z206" s="128" t="s">
        <v>434</v>
      </c>
      <c r="AA206" s="193" t="s">
        <v>354</v>
      </c>
      <c r="AB206" s="193"/>
      <c r="AC206" s="193"/>
      <c r="AD206" s="193"/>
      <c r="AE206" s="193"/>
      <c r="AF206" s="195" t="s">
        <v>355</v>
      </c>
      <c r="AG206" s="195"/>
      <c r="AH206" s="195"/>
      <c r="AI206" s="195">
        <v>1</v>
      </c>
      <c r="AJ206" s="195"/>
      <c r="AK206" s="196">
        <f>(V206/SQRT(3))*AI206</f>
        <v>2.8867513459481293E-5</v>
      </c>
      <c r="AL206" s="196"/>
      <c r="AM206" s="196"/>
      <c r="AN206" s="196"/>
      <c r="AO206" s="197"/>
      <c r="AP206" s="304" t="str">
        <f t="shared" si="49"/>
        <v>∞</v>
      </c>
      <c r="AQ206" s="305"/>
      <c r="AR206" s="305"/>
      <c r="AS206" s="305"/>
      <c r="AT206" s="329"/>
      <c r="AU206" s="330"/>
      <c r="AV206" s="331"/>
      <c r="AW206" s="113"/>
      <c r="AX206" s="113"/>
      <c r="AY206" s="113"/>
      <c r="AZ206" s="113"/>
      <c r="BA206" s="113"/>
    </row>
    <row r="207" spans="1:75" ht="14.85" customHeight="1">
      <c r="A207" s="109"/>
      <c r="B207" s="190" t="s">
        <v>426</v>
      </c>
      <c r="C207" s="191"/>
      <c r="D207" s="191"/>
      <c r="E207" s="191"/>
      <c r="F207" s="191"/>
      <c r="G207" s="194" t="s">
        <v>359</v>
      </c>
      <c r="H207" s="194"/>
      <c r="I207" s="194"/>
      <c r="J207" s="194"/>
      <c r="K207" s="194"/>
      <c r="L207" s="194"/>
      <c r="M207" s="194"/>
      <c r="N207" s="194"/>
      <c r="O207" s="194"/>
      <c r="P207" s="194"/>
      <c r="Q207" s="194"/>
      <c r="R207" s="194"/>
      <c r="S207" s="194"/>
      <c r="T207" s="194"/>
      <c r="U207" s="194"/>
      <c r="V207" s="317">
        <f>$V$51</f>
        <v>0.01</v>
      </c>
      <c r="W207" s="318"/>
      <c r="X207" s="318"/>
      <c r="Y207" s="318"/>
      <c r="Z207" s="128" t="s">
        <v>434</v>
      </c>
      <c r="AA207" s="193" t="s">
        <v>354</v>
      </c>
      <c r="AB207" s="193"/>
      <c r="AC207" s="193"/>
      <c r="AD207" s="193"/>
      <c r="AE207" s="193"/>
      <c r="AF207" s="195" t="s">
        <v>355</v>
      </c>
      <c r="AG207" s="195"/>
      <c r="AH207" s="195"/>
      <c r="AI207" s="195">
        <v>1</v>
      </c>
      <c r="AJ207" s="195"/>
      <c r="AK207" s="196">
        <f>(V207/SQRT(3))*AI207</f>
        <v>5.773502691896258E-3</v>
      </c>
      <c r="AL207" s="196"/>
      <c r="AM207" s="196"/>
      <c r="AN207" s="196"/>
      <c r="AO207" s="197"/>
      <c r="AP207" s="304" t="str">
        <f t="shared" si="49"/>
        <v>∞</v>
      </c>
      <c r="AQ207" s="305"/>
      <c r="AR207" s="305"/>
      <c r="AS207" s="305"/>
      <c r="AT207" s="329"/>
      <c r="AU207" s="330"/>
      <c r="AV207" s="331"/>
      <c r="AW207" s="113"/>
      <c r="AX207" s="113"/>
      <c r="AY207" s="113"/>
      <c r="AZ207" s="113"/>
      <c r="BA207" s="113"/>
    </row>
    <row r="208" spans="1:75" s="96" customFormat="1" ht="14.85" customHeight="1">
      <c r="A208" s="109"/>
      <c r="B208" s="190" t="s">
        <v>427</v>
      </c>
      <c r="C208" s="191"/>
      <c r="D208" s="191"/>
      <c r="E208" s="191"/>
      <c r="F208" s="191"/>
      <c r="G208" s="194" t="s">
        <v>360</v>
      </c>
      <c r="H208" s="194"/>
      <c r="I208" s="194"/>
      <c r="J208" s="194"/>
      <c r="K208" s="194"/>
      <c r="L208" s="194"/>
      <c r="M208" s="194"/>
      <c r="N208" s="194"/>
      <c r="O208" s="194"/>
      <c r="P208" s="194"/>
      <c r="Q208" s="194"/>
      <c r="R208" s="194"/>
      <c r="S208" s="194"/>
      <c r="T208" s="194"/>
      <c r="U208" s="194"/>
      <c r="V208" s="317">
        <f>$V$52</f>
        <v>0.01</v>
      </c>
      <c r="W208" s="318"/>
      <c r="X208" s="318"/>
      <c r="Y208" s="318"/>
      <c r="Z208" s="128" t="s">
        <v>434</v>
      </c>
      <c r="AA208" s="193" t="s">
        <v>354</v>
      </c>
      <c r="AB208" s="193"/>
      <c r="AC208" s="193"/>
      <c r="AD208" s="193"/>
      <c r="AE208" s="193"/>
      <c r="AF208" s="195" t="s">
        <v>355</v>
      </c>
      <c r="AG208" s="195"/>
      <c r="AH208" s="195"/>
      <c r="AI208" s="195">
        <v>1</v>
      </c>
      <c r="AJ208" s="195"/>
      <c r="AK208" s="196">
        <f t="shared" ref="AK208:AK210" si="50">(V208/SQRT(3))*AI208</f>
        <v>5.773502691896258E-3</v>
      </c>
      <c r="AL208" s="196"/>
      <c r="AM208" s="196"/>
      <c r="AN208" s="196"/>
      <c r="AO208" s="197"/>
      <c r="AP208" s="304" t="str">
        <f t="shared" si="49"/>
        <v>∞</v>
      </c>
      <c r="AQ208" s="305"/>
      <c r="AR208" s="305"/>
      <c r="AS208" s="305"/>
      <c r="AT208" s="329"/>
      <c r="AU208" s="330"/>
      <c r="AV208" s="331"/>
      <c r="AW208" s="113"/>
      <c r="AX208" s="113"/>
      <c r="AY208" s="113"/>
      <c r="AZ208" s="113"/>
      <c r="BA208" s="113"/>
      <c r="BS208" s="97"/>
      <c r="BT208" s="97"/>
      <c r="BU208" s="97"/>
      <c r="BV208" s="97"/>
      <c r="BW208" s="97"/>
    </row>
    <row r="209" spans="1:75" s="96" customFormat="1" ht="14.85" customHeight="1">
      <c r="A209" s="109"/>
      <c r="B209" s="190" t="s">
        <v>428</v>
      </c>
      <c r="C209" s="191"/>
      <c r="D209" s="191"/>
      <c r="E209" s="191"/>
      <c r="F209" s="191"/>
      <c r="G209" s="194" t="s">
        <v>361</v>
      </c>
      <c r="H209" s="194"/>
      <c r="I209" s="194"/>
      <c r="J209" s="194"/>
      <c r="K209" s="194"/>
      <c r="L209" s="194"/>
      <c r="M209" s="194"/>
      <c r="N209" s="194"/>
      <c r="O209" s="194"/>
      <c r="P209" s="194"/>
      <c r="Q209" s="194"/>
      <c r="R209" s="194"/>
      <c r="S209" s="194"/>
      <c r="T209" s="194"/>
      <c r="U209" s="194"/>
      <c r="V209" s="317" t="e">
        <f>$AB$3/2</f>
        <v>#VALUE!</v>
      </c>
      <c r="W209" s="318"/>
      <c r="X209" s="318"/>
      <c r="Y209" s="318"/>
      <c r="Z209" s="128" t="s">
        <v>434</v>
      </c>
      <c r="AA209" s="193" t="s">
        <v>354</v>
      </c>
      <c r="AB209" s="193"/>
      <c r="AC209" s="193"/>
      <c r="AD209" s="193"/>
      <c r="AE209" s="193"/>
      <c r="AF209" s="195" t="s">
        <v>355</v>
      </c>
      <c r="AG209" s="195"/>
      <c r="AH209" s="195"/>
      <c r="AI209" s="195">
        <v>1</v>
      </c>
      <c r="AJ209" s="195"/>
      <c r="AK209" s="196" t="e">
        <f t="shared" si="50"/>
        <v>#VALUE!</v>
      </c>
      <c r="AL209" s="196"/>
      <c r="AM209" s="196"/>
      <c r="AN209" s="196"/>
      <c r="AO209" s="197"/>
      <c r="AP209" s="304" t="str">
        <f t="shared" si="49"/>
        <v>∞</v>
      </c>
      <c r="AQ209" s="305"/>
      <c r="AR209" s="305"/>
      <c r="AS209" s="305"/>
      <c r="AT209" s="329"/>
      <c r="AU209" s="330"/>
      <c r="AV209" s="331"/>
      <c r="AW209" s="113"/>
      <c r="AX209" s="113"/>
      <c r="AY209" s="113"/>
      <c r="AZ209" s="113"/>
      <c r="BA209" s="113"/>
      <c r="BS209" s="97"/>
      <c r="BT209" s="97"/>
      <c r="BU209" s="97"/>
      <c r="BV209" s="97"/>
      <c r="BW209" s="97"/>
    </row>
    <row r="210" spans="1:75" s="96" customFormat="1" ht="14.85" customHeight="1">
      <c r="A210" s="109"/>
      <c r="B210" s="190" t="s">
        <v>429</v>
      </c>
      <c r="C210" s="191"/>
      <c r="D210" s="191"/>
      <c r="E210" s="191"/>
      <c r="F210" s="191"/>
      <c r="G210" s="194" t="s">
        <v>362</v>
      </c>
      <c r="H210" s="194"/>
      <c r="I210" s="194"/>
      <c r="J210" s="194"/>
      <c r="K210" s="194"/>
      <c r="L210" s="194"/>
      <c r="M210" s="194"/>
      <c r="N210" s="194"/>
      <c r="O210" s="194"/>
      <c r="P210" s="194"/>
      <c r="Q210" s="194"/>
      <c r="R210" s="194"/>
      <c r="S210" s="194"/>
      <c r="T210" s="194"/>
      <c r="U210" s="194"/>
      <c r="V210" s="317" t="str">
        <f>$AP$24</f>
        <v/>
      </c>
      <c r="W210" s="318"/>
      <c r="X210" s="318"/>
      <c r="Y210" s="318"/>
      <c r="Z210" s="128" t="s">
        <v>434</v>
      </c>
      <c r="AA210" s="193" t="s">
        <v>354</v>
      </c>
      <c r="AB210" s="193"/>
      <c r="AC210" s="193"/>
      <c r="AD210" s="193"/>
      <c r="AE210" s="193"/>
      <c r="AF210" s="195" t="s">
        <v>355</v>
      </c>
      <c r="AG210" s="195"/>
      <c r="AH210" s="195"/>
      <c r="AI210" s="195">
        <v>1</v>
      </c>
      <c r="AJ210" s="195"/>
      <c r="AK210" s="196" t="e">
        <f t="shared" si="50"/>
        <v>#VALUE!</v>
      </c>
      <c r="AL210" s="196"/>
      <c r="AM210" s="196"/>
      <c r="AN210" s="196"/>
      <c r="AO210" s="197"/>
      <c r="AP210" s="304" t="str">
        <f t="shared" si="49"/>
        <v>∞</v>
      </c>
      <c r="AQ210" s="305"/>
      <c r="AR210" s="305"/>
      <c r="AS210" s="305"/>
      <c r="AT210" s="329"/>
      <c r="AU210" s="330"/>
      <c r="AV210" s="331"/>
      <c r="AW210" s="113"/>
      <c r="AX210" s="113"/>
      <c r="AY210" s="113"/>
      <c r="AZ210" s="113"/>
      <c r="BA210" s="113"/>
      <c r="BS210" s="97"/>
      <c r="BT210" s="97"/>
      <c r="BU210" s="97"/>
      <c r="BV210" s="97"/>
      <c r="BW210" s="97"/>
    </row>
    <row r="211" spans="1:75" s="96" customFormat="1" ht="14.85" customHeight="1">
      <c r="A211" s="109"/>
      <c r="B211" s="190" t="s">
        <v>430</v>
      </c>
      <c r="C211" s="191"/>
      <c r="D211" s="191"/>
      <c r="E211" s="191"/>
      <c r="F211" s="191"/>
      <c r="G211" s="194" t="s">
        <v>363</v>
      </c>
      <c r="H211" s="194"/>
      <c r="I211" s="194"/>
      <c r="J211" s="194"/>
      <c r="K211" s="194"/>
      <c r="L211" s="194"/>
      <c r="M211" s="194"/>
      <c r="N211" s="194"/>
      <c r="O211" s="194"/>
      <c r="P211" s="194"/>
      <c r="Q211" s="194"/>
      <c r="R211" s="194"/>
      <c r="S211" s="194"/>
      <c r="T211" s="194"/>
      <c r="U211" s="194"/>
      <c r="V211" s="317">
        <v>0</v>
      </c>
      <c r="W211" s="318"/>
      <c r="X211" s="318"/>
      <c r="Y211" s="318"/>
      <c r="Z211" s="128" t="s">
        <v>434</v>
      </c>
      <c r="AA211" s="193" t="s">
        <v>354</v>
      </c>
      <c r="AB211" s="193"/>
      <c r="AC211" s="193"/>
      <c r="AD211" s="193"/>
      <c r="AE211" s="193"/>
      <c r="AF211" s="195" t="s">
        <v>355</v>
      </c>
      <c r="AG211" s="195"/>
      <c r="AH211" s="195"/>
      <c r="AI211" s="195">
        <v>1</v>
      </c>
      <c r="AJ211" s="195"/>
      <c r="AK211" s="196">
        <f>(V211/SQRT(3))*AI211</f>
        <v>0</v>
      </c>
      <c r="AL211" s="196"/>
      <c r="AM211" s="196"/>
      <c r="AN211" s="196"/>
      <c r="AO211" s="197"/>
      <c r="AP211" s="304" t="str">
        <f t="shared" si="49"/>
        <v>∞</v>
      </c>
      <c r="AQ211" s="305"/>
      <c r="AR211" s="305"/>
      <c r="AS211" s="305"/>
      <c r="AT211" s="329"/>
      <c r="AU211" s="330"/>
      <c r="AV211" s="331"/>
      <c r="AW211" s="113"/>
      <c r="AX211" s="113"/>
      <c r="AY211" s="113"/>
      <c r="AZ211" s="113"/>
      <c r="BA211" s="113"/>
      <c r="BS211" s="97"/>
      <c r="BT211" s="97"/>
      <c r="BU211" s="97"/>
      <c r="BV211" s="97"/>
      <c r="BW211" s="97"/>
    </row>
    <row r="212" spans="1:75" s="96" customFormat="1" ht="14.85" customHeight="1">
      <c r="A212" s="109"/>
      <c r="B212" s="190" t="s">
        <v>431</v>
      </c>
      <c r="C212" s="191"/>
      <c r="D212" s="191"/>
      <c r="E212" s="191"/>
      <c r="F212" s="191"/>
      <c r="G212" s="194" t="s">
        <v>364</v>
      </c>
      <c r="H212" s="194"/>
      <c r="I212" s="194"/>
      <c r="J212" s="194"/>
      <c r="K212" s="194"/>
      <c r="L212" s="194"/>
      <c r="M212" s="194"/>
      <c r="N212" s="194"/>
      <c r="O212" s="194"/>
      <c r="P212" s="194"/>
      <c r="Q212" s="194"/>
      <c r="R212" s="194"/>
      <c r="S212" s="194"/>
      <c r="T212" s="194"/>
      <c r="U212" s="194"/>
      <c r="V212" s="317" t="str">
        <f>$E$16</f>
        <v/>
      </c>
      <c r="W212" s="318"/>
      <c r="X212" s="318"/>
      <c r="Y212" s="318"/>
      <c r="Z212" s="128" t="s">
        <v>434</v>
      </c>
      <c r="AA212" s="193" t="s">
        <v>37</v>
      </c>
      <c r="AB212" s="193"/>
      <c r="AC212" s="193"/>
      <c r="AD212" s="193"/>
      <c r="AE212" s="193"/>
      <c r="AF212" s="195">
        <v>1</v>
      </c>
      <c r="AG212" s="195"/>
      <c r="AH212" s="195"/>
      <c r="AI212" s="195">
        <f>IF($B$8="","",1)</f>
        <v>1</v>
      </c>
      <c r="AJ212" s="195"/>
      <c r="AK212" s="196" t="e">
        <f t="shared" ref="AK212" si="51">(V212/AF212)*AI212</f>
        <v>#VALUE!</v>
      </c>
      <c r="AL212" s="196"/>
      <c r="AM212" s="196"/>
      <c r="AN212" s="196"/>
      <c r="AO212" s="197"/>
      <c r="AP212" s="304">
        <v>9</v>
      </c>
      <c r="AQ212" s="305"/>
      <c r="AR212" s="305"/>
      <c r="AS212" s="305"/>
      <c r="AT212" s="329"/>
      <c r="AU212" s="330"/>
      <c r="AV212" s="331"/>
      <c r="AW212" s="113"/>
      <c r="AX212" s="113"/>
      <c r="AY212" s="113"/>
      <c r="AZ212" s="113"/>
      <c r="BA212" s="113"/>
      <c r="BS212" s="97"/>
      <c r="BT212" s="97"/>
      <c r="BU212" s="97"/>
      <c r="BV212" s="97"/>
      <c r="BW212" s="97"/>
    </row>
    <row r="213" spans="1:75" s="96" customFormat="1" ht="14.85" customHeight="1" thickBot="1">
      <c r="A213" s="109"/>
      <c r="B213" s="306" t="s">
        <v>432</v>
      </c>
      <c r="C213" s="307"/>
      <c r="D213" s="307"/>
      <c r="E213" s="307"/>
      <c r="F213" s="307"/>
      <c r="G213" s="340" t="s">
        <v>365</v>
      </c>
      <c r="H213" s="340"/>
      <c r="I213" s="340"/>
      <c r="J213" s="340"/>
      <c r="K213" s="340"/>
      <c r="L213" s="340"/>
      <c r="M213" s="340"/>
      <c r="N213" s="340"/>
      <c r="O213" s="340"/>
      <c r="P213" s="340"/>
      <c r="Q213" s="340"/>
      <c r="R213" s="340"/>
      <c r="S213" s="340"/>
      <c r="T213" s="340"/>
      <c r="U213" s="340"/>
      <c r="V213" s="319" t="str">
        <f>$AO$16</f>
        <v/>
      </c>
      <c r="W213" s="320"/>
      <c r="X213" s="320"/>
      <c r="Y213" s="320"/>
      <c r="Z213" s="129" t="s">
        <v>434</v>
      </c>
      <c r="AA213" s="308" t="s">
        <v>37</v>
      </c>
      <c r="AB213" s="308"/>
      <c r="AC213" s="308"/>
      <c r="AD213" s="308"/>
      <c r="AE213" s="308"/>
      <c r="AF213" s="309">
        <v>1</v>
      </c>
      <c r="AG213" s="309"/>
      <c r="AH213" s="309"/>
      <c r="AI213" s="309">
        <f>IF($B$8="","",1)</f>
        <v>1</v>
      </c>
      <c r="AJ213" s="309"/>
      <c r="AK213" s="310" t="e">
        <f>(V213/AF213)*AI213</f>
        <v>#VALUE!</v>
      </c>
      <c r="AL213" s="310"/>
      <c r="AM213" s="310"/>
      <c r="AN213" s="310"/>
      <c r="AO213" s="311"/>
      <c r="AP213" s="304">
        <v>9</v>
      </c>
      <c r="AQ213" s="305"/>
      <c r="AR213" s="305"/>
      <c r="AS213" s="305"/>
      <c r="AT213" s="329"/>
      <c r="AU213" s="330"/>
      <c r="AV213" s="331"/>
      <c r="AW213" s="113"/>
      <c r="AX213" s="113"/>
      <c r="AY213" s="113"/>
      <c r="AZ213" s="113"/>
      <c r="BA213" s="113"/>
      <c r="BS213" s="97"/>
      <c r="BT213" s="97"/>
      <c r="BU213" s="97"/>
      <c r="BV213" s="97"/>
      <c r="BW213" s="97"/>
    </row>
    <row r="214" spans="1:75" s="96" customFormat="1" ht="14.85" customHeight="1" thickTop="1" thickBot="1">
      <c r="A214" s="109"/>
      <c r="B214" s="338" t="s">
        <v>433</v>
      </c>
      <c r="C214" s="339"/>
      <c r="D214" s="339"/>
      <c r="E214" s="339"/>
      <c r="F214" s="339"/>
      <c r="G214" s="340" t="s">
        <v>366</v>
      </c>
      <c r="H214" s="340" t="s">
        <v>366</v>
      </c>
      <c r="I214" s="340" t="s">
        <v>366</v>
      </c>
      <c r="J214" s="340" t="s">
        <v>366</v>
      </c>
      <c r="K214" s="340" t="s">
        <v>366</v>
      </c>
      <c r="L214" s="340" t="s">
        <v>366</v>
      </c>
      <c r="M214" s="340" t="s">
        <v>366</v>
      </c>
      <c r="N214" s="340" t="s">
        <v>366</v>
      </c>
      <c r="O214" s="340" t="s">
        <v>366</v>
      </c>
      <c r="P214" s="340" t="s">
        <v>366</v>
      </c>
      <c r="Q214" s="340" t="s">
        <v>366</v>
      </c>
      <c r="R214" s="340" t="s">
        <v>366</v>
      </c>
      <c r="S214" s="340" t="s">
        <v>366</v>
      </c>
      <c r="T214" s="340" t="s">
        <v>366</v>
      </c>
      <c r="U214" s="340" t="s">
        <v>366</v>
      </c>
      <c r="V214" s="357"/>
      <c r="W214" s="358"/>
      <c r="X214" s="358"/>
      <c r="Y214" s="358"/>
      <c r="Z214" s="130"/>
      <c r="AA214" s="359" t="s">
        <v>37</v>
      </c>
      <c r="AB214" s="359"/>
      <c r="AC214" s="359"/>
      <c r="AD214" s="359"/>
      <c r="AE214" s="360"/>
      <c r="AF214" s="349"/>
      <c r="AG214" s="350"/>
      <c r="AH214" s="350"/>
      <c r="AI214" s="350"/>
      <c r="AJ214" s="351"/>
      <c r="AK214" s="343" t="e">
        <f>SQRT(SUMSQ(AK202:AO213))</f>
        <v>#VALUE!</v>
      </c>
      <c r="AL214" s="344"/>
      <c r="AM214" s="344"/>
      <c r="AN214" s="344"/>
      <c r="AO214" s="344"/>
      <c r="AP214" s="322" t="e">
        <f>IF(V213&lt;0.000000001,"∞",(AK214^4/((AK213^4/AP213)+(AK212^4/AP212))))</f>
        <v>#VALUE!</v>
      </c>
      <c r="AQ214" s="323"/>
      <c r="AR214" s="323"/>
      <c r="AS214" s="323"/>
      <c r="AT214" s="329"/>
      <c r="AU214" s="330"/>
      <c r="AV214" s="331"/>
      <c r="AW214" s="113"/>
      <c r="AX214" s="113"/>
      <c r="AY214" s="113"/>
      <c r="AZ214" s="113"/>
      <c r="BA214" s="113"/>
      <c r="BS214" s="97"/>
      <c r="BT214" s="97"/>
      <c r="BU214" s="97"/>
      <c r="BV214" s="97"/>
      <c r="BW214" s="97"/>
    </row>
    <row r="215" spans="1:75" s="96" customFormat="1" ht="14.85" customHeight="1" thickTop="1" thickBot="1">
      <c r="A215" s="109"/>
      <c r="B215" s="338" t="s">
        <v>368</v>
      </c>
      <c r="C215" s="339"/>
      <c r="D215" s="339"/>
      <c r="E215" s="339"/>
      <c r="F215" s="339"/>
      <c r="G215" s="340" t="s">
        <v>369</v>
      </c>
      <c r="H215" s="340" t="s">
        <v>369</v>
      </c>
      <c r="I215" s="340" t="s">
        <v>369</v>
      </c>
      <c r="J215" s="340" t="s">
        <v>369</v>
      </c>
      <c r="K215" s="340" t="s">
        <v>369</v>
      </c>
      <c r="L215" s="340" t="s">
        <v>369</v>
      </c>
      <c r="M215" s="340" t="s">
        <v>369</v>
      </c>
      <c r="N215" s="340" t="s">
        <v>369</v>
      </c>
      <c r="O215" s="340" t="s">
        <v>369</v>
      </c>
      <c r="P215" s="340" t="s">
        <v>369</v>
      </c>
      <c r="Q215" s="340" t="s">
        <v>369</v>
      </c>
      <c r="R215" s="340" t="s">
        <v>369</v>
      </c>
      <c r="S215" s="340" t="s">
        <v>369</v>
      </c>
      <c r="T215" s="340" t="s">
        <v>369</v>
      </c>
      <c r="U215" s="340" t="s">
        <v>369</v>
      </c>
      <c r="V215" s="341"/>
      <c r="W215" s="342"/>
      <c r="X215" s="342"/>
      <c r="Y215" s="342"/>
      <c r="Z215" s="131"/>
      <c r="AA215" s="345" t="s">
        <v>370</v>
      </c>
      <c r="AB215" s="346"/>
      <c r="AC215" s="347" t="e">
        <f>IF(AP214="∞",2,TINV(0.0455,AP214))</f>
        <v>#VALUE!</v>
      </c>
      <c r="AD215" s="348"/>
      <c r="AE215" s="348"/>
      <c r="AF215" s="352"/>
      <c r="AG215" s="353"/>
      <c r="AH215" s="353"/>
      <c r="AI215" s="353"/>
      <c r="AJ215" s="354"/>
      <c r="AK215" s="343" t="e">
        <f>AK214*AC215</f>
        <v>#VALUE!</v>
      </c>
      <c r="AL215" s="344"/>
      <c r="AM215" s="344"/>
      <c r="AN215" s="344"/>
      <c r="AO215" s="344"/>
      <c r="AP215" s="324" t="s">
        <v>367</v>
      </c>
      <c r="AQ215" s="325" t="s">
        <v>367</v>
      </c>
      <c r="AR215" s="325" t="s">
        <v>367</v>
      </c>
      <c r="AS215" s="325"/>
      <c r="AT215" s="332"/>
      <c r="AU215" s="333"/>
      <c r="AV215" s="334"/>
      <c r="AW215" s="113"/>
      <c r="AX215" s="113"/>
      <c r="AY215" s="113"/>
      <c r="AZ215" s="113"/>
      <c r="BA215" s="113"/>
      <c r="BS215" s="97"/>
      <c r="BT215" s="97"/>
      <c r="BU215" s="97"/>
      <c r="BV215" s="97"/>
      <c r="BW215" s="97"/>
    </row>
    <row r="216" spans="1:75" s="96" customFormat="1" ht="14.85" customHeight="1" thickTop="1" thickBot="1">
      <c r="A216" s="109"/>
      <c r="B216" s="139"/>
      <c r="C216" s="139"/>
      <c r="D216" s="139"/>
      <c r="E216" s="139"/>
      <c r="F216" s="139"/>
      <c r="G216" s="126"/>
      <c r="H216" s="126"/>
      <c r="I216" s="126"/>
      <c r="J216" s="126"/>
      <c r="K216" s="126"/>
      <c r="L216" s="126"/>
      <c r="M216" s="126"/>
      <c r="N216" s="126"/>
      <c r="O216" s="126"/>
      <c r="P216" s="126"/>
      <c r="Q216" s="126"/>
      <c r="R216" s="126"/>
      <c r="S216" s="126"/>
      <c r="T216" s="126"/>
      <c r="U216" s="126"/>
      <c r="V216" s="132"/>
      <c r="W216" s="132"/>
      <c r="X216" s="132"/>
      <c r="Y216" s="132"/>
      <c r="Z216" s="133"/>
      <c r="AA216" s="134"/>
      <c r="AB216" s="134"/>
      <c r="AC216" s="374" t="s">
        <v>371</v>
      </c>
      <c r="AD216" s="375"/>
      <c r="AE216" s="369">
        <f>IF($J$5&lt;0,0.04,0.03)</f>
        <v>0.03</v>
      </c>
      <c r="AF216" s="369"/>
      <c r="AG216" s="370"/>
      <c r="AH216" s="371" t="s">
        <v>372</v>
      </c>
      <c r="AI216" s="369"/>
      <c r="AJ216" s="369"/>
      <c r="AK216" s="372" t="e">
        <f>IF(AK215&lt;AE216,AE216,ROUNDUP(AK215,3))</f>
        <v>#VALUE!</v>
      </c>
      <c r="AL216" s="372"/>
      <c r="AM216" s="372"/>
      <c r="AN216" s="372"/>
      <c r="AO216" s="373"/>
      <c r="AP216" s="134"/>
      <c r="AQ216" s="134"/>
      <c r="AR216" s="134"/>
      <c r="AS216" s="132"/>
      <c r="AT216" s="132"/>
      <c r="AU216" s="132"/>
      <c r="AV216" s="132"/>
      <c r="AW216" s="113"/>
      <c r="AX216" s="113"/>
      <c r="AY216" s="113"/>
      <c r="AZ216" s="113"/>
      <c r="BA216" s="113"/>
      <c r="BS216" s="97"/>
      <c r="BT216" s="97"/>
      <c r="BU216" s="97"/>
      <c r="BV216" s="97"/>
      <c r="BW216" s="97"/>
    </row>
    <row r="217" spans="1:75" s="96" customFormat="1" ht="14.85" customHeight="1" thickTop="1" thickBot="1">
      <c r="A217" s="109"/>
      <c r="B217" s="139"/>
      <c r="C217" s="139"/>
      <c r="D217" s="139"/>
      <c r="E217" s="139"/>
      <c r="F217" s="139"/>
      <c r="G217" s="121"/>
      <c r="H217" s="121"/>
      <c r="I217" s="121"/>
      <c r="J217" s="121"/>
      <c r="K217" s="121"/>
      <c r="L217" s="121"/>
      <c r="M217" s="121"/>
      <c r="N217" s="121"/>
      <c r="O217" s="121"/>
      <c r="P217" s="121"/>
      <c r="Q217" s="121"/>
      <c r="R217" s="121"/>
      <c r="S217" s="121"/>
      <c r="T217" s="121"/>
      <c r="U217" s="121"/>
      <c r="V217" s="113"/>
      <c r="W217" s="113"/>
      <c r="X217" s="113"/>
      <c r="Y217" s="113"/>
      <c r="Z217" s="123"/>
      <c r="AA217" s="124"/>
      <c r="AB217" s="124"/>
      <c r="AC217" s="124"/>
      <c r="AD217" s="124"/>
      <c r="AE217" s="124"/>
      <c r="AF217" s="125"/>
      <c r="AG217" s="125"/>
      <c r="AH217" s="125"/>
      <c r="AI217" s="125"/>
      <c r="AJ217" s="125"/>
      <c r="AK217" s="113"/>
      <c r="AL217" s="113"/>
      <c r="AM217" s="113"/>
      <c r="AN217" s="113"/>
      <c r="AO217" s="113"/>
      <c r="AP217" s="124"/>
      <c r="AQ217" s="124"/>
      <c r="AR217" s="124"/>
      <c r="AS217" s="113"/>
      <c r="AT217" s="113"/>
      <c r="AU217" s="113"/>
      <c r="AV217" s="113"/>
      <c r="AW217" s="113"/>
      <c r="AX217" s="113"/>
      <c r="AY217" s="113"/>
      <c r="AZ217" s="113"/>
      <c r="BA217" s="113"/>
      <c r="BS217" s="97"/>
      <c r="BT217" s="97"/>
      <c r="BU217" s="97"/>
      <c r="BV217" s="97"/>
      <c r="BW217" s="97"/>
    </row>
    <row r="218" spans="1:75" s="96" customFormat="1" ht="14.85" customHeight="1" thickTop="1" thickBot="1">
      <c r="A218" s="91"/>
      <c r="B218" s="355" t="s">
        <v>347</v>
      </c>
      <c r="C218" s="356"/>
      <c r="D218" s="356"/>
      <c r="E218" s="356"/>
      <c r="F218" s="356"/>
      <c r="G218" s="312" t="s">
        <v>348</v>
      </c>
      <c r="H218" s="312"/>
      <c r="I218" s="312"/>
      <c r="J218" s="312"/>
      <c r="K218" s="312"/>
      <c r="L218" s="312"/>
      <c r="M218" s="312"/>
      <c r="N218" s="312"/>
      <c r="O218" s="312"/>
      <c r="P218" s="312"/>
      <c r="Q218" s="312"/>
      <c r="R218" s="312"/>
      <c r="S218" s="312"/>
      <c r="T218" s="312"/>
      <c r="U218" s="312"/>
      <c r="V218" s="187" t="s">
        <v>417</v>
      </c>
      <c r="W218" s="187"/>
      <c r="X218" s="187"/>
      <c r="Y218" s="187"/>
      <c r="Z218" s="187"/>
      <c r="AA218" s="186" t="s">
        <v>418</v>
      </c>
      <c r="AB218" s="187"/>
      <c r="AC218" s="187"/>
      <c r="AD218" s="187"/>
      <c r="AE218" s="187"/>
      <c r="AF218" s="187" t="s">
        <v>349</v>
      </c>
      <c r="AG218" s="187"/>
      <c r="AH218" s="187"/>
      <c r="AI218" s="187" t="s">
        <v>350</v>
      </c>
      <c r="AJ218" s="187"/>
      <c r="AK218" s="186" t="s">
        <v>419</v>
      </c>
      <c r="AL218" s="187"/>
      <c r="AM218" s="187"/>
      <c r="AN218" s="187"/>
      <c r="AO218" s="187"/>
      <c r="AP218" s="361" t="s">
        <v>420</v>
      </c>
      <c r="AQ218" s="362"/>
      <c r="AR218" s="362"/>
      <c r="AS218" s="362"/>
      <c r="AT218" s="326" t="str">
        <f>IF(AS10="","","10")</f>
        <v/>
      </c>
      <c r="AU218" s="327"/>
      <c r="AV218" s="328"/>
      <c r="AW218" s="113"/>
      <c r="AX218" s="113"/>
      <c r="AY218" s="113"/>
      <c r="AZ218" s="113"/>
      <c r="BA218" s="113"/>
      <c r="BS218" s="97"/>
      <c r="BT218" s="97"/>
      <c r="BU218" s="97"/>
      <c r="BV218" s="97"/>
      <c r="BW218" s="97"/>
    </row>
    <row r="219" spans="1:75" s="96" customFormat="1" ht="14.85" customHeight="1" thickTop="1" thickBot="1">
      <c r="A219" s="122"/>
      <c r="B219" s="355"/>
      <c r="C219" s="356"/>
      <c r="D219" s="356"/>
      <c r="E219" s="356"/>
      <c r="F219" s="356"/>
      <c r="G219" s="312"/>
      <c r="H219" s="312"/>
      <c r="I219" s="312"/>
      <c r="J219" s="312"/>
      <c r="K219" s="312"/>
      <c r="L219" s="312"/>
      <c r="M219" s="312"/>
      <c r="N219" s="312"/>
      <c r="O219" s="312"/>
      <c r="P219" s="312"/>
      <c r="Q219" s="312"/>
      <c r="R219" s="312"/>
      <c r="S219" s="312"/>
      <c r="T219" s="312"/>
      <c r="U219" s="312"/>
      <c r="V219" s="187"/>
      <c r="W219" s="187"/>
      <c r="X219" s="187"/>
      <c r="Y219" s="187"/>
      <c r="Z219" s="187"/>
      <c r="AA219" s="187"/>
      <c r="AB219" s="187"/>
      <c r="AC219" s="187"/>
      <c r="AD219" s="187"/>
      <c r="AE219" s="187"/>
      <c r="AF219" s="187"/>
      <c r="AG219" s="187"/>
      <c r="AH219" s="187"/>
      <c r="AI219" s="187"/>
      <c r="AJ219" s="187"/>
      <c r="AK219" s="187"/>
      <c r="AL219" s="187"/>
      <c r="AM219" s="187"/>
      <c r="AN219" s="187"/>
      <c r="AO219" s="187"/>
      <c r="AP219" s="363"/>
      <c r="AQ219" s="364"/>
      <c r="AR219" s="364"/>
      <c r="AS219" s="364"/>
      <c r="AT219" s="329"/>
      <c r="AU219" s="330"/>
      <c r="AV219" s="331"/>
      <c r="AW219" s="113"/>
      <c r="AX219" s="113"/>
      <c r="AY219" s="113"/>
      <c r="AZ219" s="113"/>
      <c r="BA219" s="113"/>
      <c r="BS219" s="97"/>
      <c r="BT219" s="97"/>
      <c r="BU219" s="97"/>
      <c r="BV219" s="97"/>
      <c r="BW219" s="97"/>
    </row>
    <row r="220" spans="1:75" s="96" customFormat="1" ht="14.85" customHeight="1" thickTop="1">
      <c r="A220" s="109"/>
      <c r="B220" s="188" t="s">
        <v>421</v>
      </c>
      <c r="C220" s="189"/>
      <c r="D220" s="189"/>
      <c r="E220" s="189"/>
      <c r="F220" s="189"/>
      <c r="G220" s="321" t="s">
        <v>351</v>
      </c>
      <c r="H220" s="321"/>
      <c r="I220" s="321"/>
      <c r="J220" s="321"/>
      <c r="K220" s="321"/>
      <c r="L220" s="321"/>
      <c r="M220" s="321"/>
      <c r="N220" s="321"/>
      <c r="O220" s="321"/>
      <c r="P220" s="321"/>
      <c r="Q220" s="321"/>
      <c r="R220" s="321"/>
      <c r="S220" s="321"/>
      <c r="T220" s="321"/>
      <c r="U220" s="321"/>
      <c r="V220" s="367">
        <f>$V$46</f>
        <v>3.0000000000000001E-3</v>
      </c>
      <c r="W220" s="368"/>
      <c r="X220" s="368"/>
      <c r="Y220" s="368"/>
      <c r="Z220" s="127" t="s">
        <v>434</v>
      </c>
      <c r="AA220" s="192" t="s">
        <v>37</v>
      </c>
      <c r="AB220" s="192"/>
      <c r="AC220" s="192"/>
      <c r="AD220" s="192"/>
      <c r="AE220" s="192"/>
      <c r="AF220" s="289">
        <v>2</v>
      </c>
      <c r="AG220" s="289"/>
      <c r="AH220" s="289"/>
      <c r="AI220" s="289">
        <v>1</v>
      </c>
      <c r="AJ220" s="289"/>
      <c r="AK220" s="290">
        <f>(V220/AF220)*AI220</f>
        <v>1.5E-3</v>
      </c>
      <c r="AL220" s="290"/>
      <c r="AM220" s="290"/>
      <c r="AN220" s="290"/>
      <c r="AO220" s="291"/>
      <c r="AP220" s="365" t="str">
        <f t="shared" ref="AP220:AP229" si="52">IF($B$8="","","∞")</f>
        <v>∞</v>
      </c>
      <c r="AQ220" s="366"/>
      <c r="AR220" s="366"/>
      <c r="AS220" s="366"/>
      <c r="AT220" s="329"/>
      <c r="AU220" s="330"/>
      <c r="AV220" s="331"/>
      <c r="AW220" s="113"/>
      <c r="AX220" s="113"/>
      <c r="AY220" s="113"/>
      <c r="AZ220" s="113"/>
      <c r="BA220" s="113"/>
      <c r="BS220" s="97"/>
      <c r="BT220" s="97"/>
      <c r="BU220" s="97"/>
      <c r="BV220" s="97"/>
      <c r="BW220" s="97"/>
    </row>
    <row r="221" spans="1:75" s="96" customFormat="1" ht="14.85" customHeight="1">
      <c r="A221" s="109"/>
      <c r="B221" s="190" t="s">
        <v>422</v>
      </c>
      <c r="C221" s="191"/>
      <c r="D221" s="191"/>
      <c r="E221" s="191"/>
      <c r="F221" s="191"/>
      <c r="G221" s="194" t="s">
        <v>352</v>
      </c>
      <c r="H221" s="194"/>
      <c r="I221" s="194"/>
      <c r="J221" s="194"/>
      <c r="K221" s="194"/>
      <c r="L221" s="194"/>
      <c r="M221" s="194"/>
      <c r="N221" s="194"/>
      <c r="O221" s="194"/>
      <c r="P221" s="194"/>
      <c r="Q221" s="194"/>
      <c r="R221" s="194"/>
      <c r="S221" s="194"/>
      <c r="T221" s="194"/>
      <c r="U221" s="194"/>
      <c r="V221" s="317">
        <f>$V$47</f>
        <v>1.6000000000000001E-3</v>
      </c>
      <c r="W221" s="318"/>
      <c r="X221" s="318"/>
      <c r="Y221" s="318"/>
      <c r="Z221" s="128" t="s">
        <v>353</v>
      </c>
      <c r="AA221" s="193" t="s">
        <v>354</v>
      </c>
      <c r="AB221" s="193"/>
      <c r="AC221" s="193"/>
      <c r="AD221" s="193"/>
      <c r="AE221" s="193"/>
      <c r="AF221" s="195" t="s">
        <v>355</v>
      </c>
      <c r="AG221" s="195"/>
      <c r="AH221" s="195"/>
      <c r="AI221" s="195">
        <v>10</v>
      </c>
      <c r="AJ221" s="195"/>
      <c r="AK221" s="196">
        <f>(V221/SQRT(3))*AI221</f>
        <v>9.2376043070340128E-3</v>
      </c>
      <c r="AL221" s="196"/>
      <c r="AM221" s="196"/>
      <c r="AN221" s="196"/>
      <c r="AO221" s="197"/>
      <c r="AP221" s="304" t="str">
        <f t="shared" si="52"/>
        <v>∞</v>
      </c>
      <c r="AQ221" s="305"/>
      <c r="AR221" s="305"/>
      <c r="AS221" s="305"/>
      <c r="AT221" s="329"/>
      <c r="AU221" s="330"/>
      <c r="AV221" s="331"/>
      <c r="AW221" s="113"/>
      <c r="AX221" s="113"/>
      <c r="AY221" s="113"/>
      <c r="AZ221" s="113"/>
      <c r="BA221" s="113"/>
      <c r="BS221" s="97"/>
      <c r="BT221" s="97"/>
      <c r="BU221" s="97"/>
      <c r="BV221" s="97"/>
      <c r="BW221" s="97"/>
    </row>
    <row r="222" spans="1:75" s="96" customFormat="1" ht="14.85" customHeight="1">
      <c r="A222" s="109"/>
      <c r="B222" s="190" t="s">
        <v>423</v>
      </c>
      <c r="C222" s="191"/>
      <c r="D222" s="191"/>
      <c r="E222" s="191"/>
      <c r="F222" s="191"/>
      <c r="G222" s="194" t="s">
        <v>356</v>
      </c>
      <c r="H222" s="194"/>
      <c r="I222" s="194"/>
      <c r="J222" s="194"/>
      <c r="K222" s="194"/>
      <c r="L222" s="194"/>
      <c r="M222" s="194"/>
      <c r="N222" s="194"/>
      <c r="O222" s="194"/>
      <c r="P222" s="194"/>
      <c r="Q222" s="194"/>
      <c r="R222" s="194"/>
      <c r="S222" s="194"/>
      <c r="T222" s="194"/>
      <c r="U222" s="194"/>
      <c r="V222" s="317">
        <f>$V$48</f>
        <v>1E-3</v>
      </c>
      <c r="W222" s="318"/>
      <c r="X222" s="318"/>
      <c r="Y222" s="318"/>
      <c r="Z222" s="128" t="s">
        <v>353</v>
      </c>
      <c r="AA222" s="193" t="s">
        <v>354</v>
      </c>
      <c r="AB222" s="193"/>
      <c r="AC222" s="193"/>
      <c r="AD222" s="193"/>
      <c r="AE222" s="193"/>
      <c r="AF222" s="195">
        <v>2</v>
      </c>
      <c r="AG222" s="195"/>
      <c r="AH222" s="195"/>
      <c r="AI222" s="195">
        <v>10</v>
      </c>
      <c r="AJ222" s="195"/>
      <c r="AK222" s="196">
        <f>(V222/AF222)*AI222</f>
        <v>5.0000000000000001E-3</v>
      </c>
      <c r="AL222" s="196"/>
      <c r="AM222" s="196"/>
      <c r="AN222" s="196"/>
      <c r="AO222" s="197"/>
      <c r="AP222" s="304" t="str">
        <f t="shared" si="52"/>
        <v>∞</v>
      </c>
      <c r="AQ222" s="305"/>
      <c r="AR222" s="305"/>
      <c r="AS222" s="305"/>
      <c r="AT222" s="329"/>
      <c r="AU222" s="330"/>
      <c r="AV222" s="331"/>
      <c r="AW222" s="113"/>
      <c r="AX222" s="113"/>
      <c r="AY222" s="113"/>
      <c r="AZ222" s="113"/>
      <c r="BA222" s="113"/>
      <c r="BS222" s="97"/>
      <c r="BT222" s="97"/>
      <c r="BU222" s="97"/>
      <c r="BV222" s="97"/>
      <c r="BW222" s="97"/>
    </row>
    <row r="223" spans="1:75" s="96" customFormat="1" ht="14.85" customHeight="1">
      <c r="A223" s="109"/>
      <c r="B223" s="190" t="s">
        <v>424</v>
      </c>
      <c r="C223" s="191"/>
      <c r="D223" s="191"/>
      <c r="E223" s="191"/>
      <c r="F223" s="191"/>
      <c r="G223" s="194" t="s">
        <v>357</v>
      </c>
      <c r="H223" s="194"/>
      <c r="I223" s="194"/>
      <c r="J223" s="194"/>
      <c r="K223" s="194"/>
      <c r="L223" s="194"/>
      <c r="M223" s="194"/>
      <c r="N223" s="194"/>
      <c r="O223" s="194"/>
      <c r="P223" s="194"/>
      <c r="Q223" s="194"/>
      <c r="R223" s="194"/>
      <c r="S223" s="194"/>
      <c r="T223" s="194"/>
      <c r="U223" s="194"/>
      <c r="V223" s="317">
        <f>$V$49</f>
        <v>1E-3</v>
      </c>
      <c r="W223" s="318"/>
      <c r="X223" s="318"/>
      <c r="Y223" s="318"/>
      <c r="Z223" s="128" t="s">
        <v>353</v>
      </c>
      <c r="AA223" s="193" t="s">
        <v>354</v>
      </c>
      <c r="AB223" s="193"/>
      <c r="AC223" s="193"/>
      <c r="AD223" s="193"/>
      <c r="AE223" s="193"/>
      <c r="AF223" s="195" t="s">
        <v>355</v>
      </c>
      <c r="AG223" s="195"/>
      <c r="AH223" s="195"/>
      <c r="AI223" s="195">
        <v>10</v>
      </c>
      <c r="AJ223" s="195"/>
      <c r="AK223" s="196">
        <f>(V223/SQRT(3))*AI223</f>
        <v>5.773502691896258E-3</v>
      </c>
      <c r="AL223" s="196"/>
      <c r="AM223" s="196"/>
      <c r="AN223" s="196"/>
      <c r="AO223" s="197"/>
      <c r="AP223" s="304" t="str">
        <f t="shared" si="52"/>
        <v>∞</v>
      </c>
      <c r="AQ223" s="305"/>
      <c r="AR223" s="305"/>
      <c r="AS223" s="305"/>
      <c r="AT223" s="329"/>
      <c r="AU223" s="330"/>
      <c r="AV223" s="331"/>
      <c r="AW223" s="113"/>
      <c r="AX223" s="113"/>
      <c r="AY223" s="113"/>
      <c r="AZ223" s="113"/>
      <c r="BA223" s="113"/>
      <c r="BS223" s="97"/>
      <c r="BT223" s="97"/>
      <c r="BU223" s="97"/>
      <c r="BV223" s="97"/>
      <c r="BW223" s="97"/>
    </row>
    <row r="224" spans="1:75" s="96" customFormat="1" ht="14.85" customHeight="1">
      <c r="A224" s="109"/>
      <c r="B224" s="190" t="s">
        <v>425</v>
      </c>
      <c r="C224" s="191"/>
      <c r="D224" s="191"/>
      <c r="E224" s="191"/>
      <c r="F224" s="191"/>
      <c r="G224" s="194" t="s">
        <v>358</v>
      </c>
      <c r="H224" s="194"/>
      <c r="I224" s="194"/>
      <c r="J224" s="194"/>
      <c r="K224" s="194"/>
      <c r="L224" s="194"/>
      <c r="M224" s="194"/>
      <c r="N224" s="194"/>
      <c r="O224" s="194"/>
      <c r="P224" s="194"/>
      <c r="Q224" s="194"/>
      <c r="R224" s="194"/>
      <c r="S224" s="194"/>
      <c r="T224" s="194"/>
      <c r="U224" s="194"/>
      <c r="V224" s="317">
        <f>$V$50</f>
        <v>5.0000000000000002E-5</v>
      </c>
      <c r="W224" s="318"/>
      <c r="X224" s="318"/>
      <c r="Y224" s="318"/>
      <c r="Z224" s="128" t="s">
        <v>434</v>
      </c>
      <c r="AA224" s="193" t="s">
        <v>354</v>
      </c>
      <c r="AB224" s="193"/>
      <c r="AC224" s="193"/>
      <c r="AD224" s="193"/>
      <c r="AE224" s="193"/>
      <c r="AF224" s="195" t="s">
        <v>355</v>
      </c>
      <c r="AG224" s="195"/>
      <c r="AH224" s="195"/>
      <c r="AI224" s="195">
        <v>1</v>
      </c>
      <c r="AJ224" s="195"/>
      <c r="AK224" s="196">
        <f>(V224/SQRT(3))*AI224</f>
        <v>2.8867513459481293E-5</v>
      </c>
      <c r="AL224" s="196"/>
      <c r="AM224" s="196"/>
      <c r="AN224" s="196"/>
      <c r="AO224" s="197"/>
      <c r="AP224" s="304" t="str">
        <f t="shared" si="52"/>
        <v>∞</v>
      </c>
      <c r="AQ224" s="305"/>
      <c r="AR224" s="305"/>
      <c r="AS224" s="305"/>
      <c r="AT224" s="329"/>
      <c r="AU224" s="330"/>
      <c r="AV224" s="331"/>
      <c r="AW224" s="113"/>
      <c r="AX224" s="113"/>
      <c r="AY224" s="113"/>
      <c r="AZ224" s="113"/>
      <c r="BA224" s="113"/>
      <c r="BS224" s="97"/>
      <c r="BT224" s="97"/>
      <c r="BU224" s="97"/>
      <c r="BV224" s="97"/>
      <c r="BW224" s="97"/>
    </row>
    <row r="225" spans="1:75" s="96" customFormat="1" ht="14.85" customHeight="1">
      <c r="A225" s="109"/>
      <c r="B225" s="190" t="s">
        <v>426</v>
      </c>
      <c r="C225" s="191"/>
      <c r="D225" s="191"/>
      <c r="E225" s="191"/>
      <c r="F225" s="191"/>
      <c r="G225" s="194" t="s">
        <v>359</v>
      </c>
      <c r="H225" s="194"/>
      <c r="I225" s="194"/>
      <c r="J225" s="194"/>
      <c r="K225" s="194"/>
      <c r="L225" s="194"/>
      <c r="M225" s="194"/>
      <c r="N225" s="194"/>
      <c r="O225" s="194"/>
      <c r="P225" s="194"/>
      <c r="Q225" s="194"/>
      <c r="R225" s="194"/>
      <c r="S225" s="194"/>
      <c r="T225" s="194"/>
      <c r="U225" s="194"/>
      <c r="V225" s="317">
        <f>$V$51</f>
        <v>0.01</v>
      </c>
      <c r="W225" s="318"/>
      <c r="X225" s="318"/>
      <c r="Y225" s="318"/>
      <c r="Z225" s="128" t="s">
        <v>434</v>
      </c>
      <c r="AA225" s="193" t="s">
        <v>354</v>
      </c>
      <c r="AB225" s="193"/>
      <c r="AC225" s="193"/>
      <c r="AD225" s="193"/>
      <c r="AE225" s="193"/>
      <c r="AF225" s="195" t="s">
        <v>355</v>
      </c>
      <c r="AG225" s="195"/>
      <c r="AH225" s="195"/>
      <c r="AI225" s="195">
        <v>1</v>
      </c>
      <c r="AJ225" s="195"/>
      <c r="AK225" s="196">
        <f>(V225/SQRT(3))*AI225</f>
        <v>5.773502691896258E-3</v>
      </c>
      <c r="AL225" s="196"/>
      <c r="AM225" s="196"/>
      <c r="AN225" s="196"/>
      <c r="AO225" s="197"/>
      <c r="AP225" s="304" t="str">
        <f t="shared" si="52"/>
        <v>∞</v>
      </c>
      <c r="AQ225" s="305"/>
      <c r="AR225" s="305"/>
      <c r="AS225" s="305"/>
      <c r="AT225" s="329"/>
      <c r="AU225" s="330"/>
      <c r="AV225" s="331"/>
      <c r="AW225" s="113"/>
      <c r="AX225" s="113"/>
      <c r="AY225" s="113"/>
      <c r="AZ225" s="113"/>
      <c r="BA225" s="113"/>
      <c r="BS225" s="97"/>
      <c r="BT225" s="97"/>
      <c r="BU225" s="97"/>
      <c r="BV225" s="97"/>
      <c r="BW225" s="97"/>
    </row>
    <row r="226" spans="1:75" s="96" customFormat="1" ht="14.85" customHeight="1">
      <c r="A226" s="109"/>
      <c r="B226" s="190" t="s">
        <v>427</v>
      </c>
      <c r="C226" s="191"/>
      <c r="D226" s="191"/>
      <c r="E226" s="191"/>
      <c r="F226" s="191"/>
      <c r="G226" s="194" t="s">
        <v>360</v>
      </c>
      <c r="H226" s="194"/>
      <c r="I226" s="194"/>
      <c r="J226" s="194"/>
      <c r="K226" s="194"/>
      <c r="L226" s="194"/>
      <c r="M226" s="194"/>
      <c r="N226" s="194"/>
      <c r="O226" s="194"/>
      <c r="P226" s="194"/>
      <c r="Q226" s="194"/>
      <c r="R226" s="194"/>
      <c r="S226" s="194"/>
      <c r="T226" s="194"/>
      <c r="U226" s="194"/>
      <c r="V226" s="317">
        <f>$V$52</f>
        <v>0.01</v>
      </c>
      <c r="W226" s="318"/>
      <c r="X226" s="318"/>
      <c r="Y226" s="318"/>
      <c r="Z226" s="128" t="s">
        <v>434</v>
      </c>
      <c r="AA226" s="193" t="s">
        <v>354</v>
      </c>
      <c r="AB226" s="193"/>
      <c r="AC226" s="193"/>
      <c r="AD226" s="193"/>
      <c r="AE226" s="193"/>
      <c r="AF226" s="195" t="s">
        <v>355</v>
      </c>
      <c r="AG226" s="195"/>
      <c r="AH226" s="195"/>
      <c r="AI226" s="195">
        <v>1</v>
      </c>
      <c r="AJ226" s="195"/>
      <c r="AK226" s="196">
        <f t="shared" ref="AK226:AK228" si="53">(V226/SQRT(3))*AI226</f>
        <v>5.773502691896258E-3</v>
      </c>
      <c r="AL226" s="196"/>
      <c r="AM226" s="196"/>
      <c r="AN226" s="196"/>
      <c r="AO226" s="197"/>
      <c r="AP226" s="304" t="str">
        <f t="shared" si="52"/>
        <v>∞</v>
      </c>
      <c r="AQ226" s="305"/>
      <c r="AR226" s="305"/>
      <c r="AS226" s="305"/>
      <c r="AT226" s="329"/>
      <c r="AU226" s="330"/>
      <c r="AV226" s="331"/>
      <c r="AW226" s="113"/>
      <c r="AX226" s="113"/>
      <c r="AY226" s="113"/>
      <c r="AZ226" s="113"/>
      <c r="BA226" s="113"/>
      <c r="BS226" s="97"/>
      <c r="BT226" s="97"/>
      <c r="BU226" s="97"/>
      <c r="BV226" s="97"/>
      <c r="BW226" s="97"/>
    </row>
    <row r="227" spans="1:75" s="96" customFormat="1" ht="14.85" customHeight="1">
      <c r="A227" s="109"/>
      <c r="B227" s="190" t="s">
        <v>428</v>
      </c>
      <c r="C227" s="191"/>
      <c r="D227" s="191"/>
      <c r="E227" s="191"/>
      <c r="F227" s="191"/>
      <c r="G227" s="194" t="s">
        <v>361</v>
      </c>
      <c r="H227" s="194"/>
      <c r="I227" s="194"/>
      <c r="J227" s="194"/>
      <c r="K227" s="194"/>
      <c r="L227" s="194"/>
      <c r="M227" s="194"/>
      <c r="N227" s="194"/>
      <c r="O227" s="194"/>
      <c r="P227" s="194"/>
      <c r="Q227" s="194"/>
      <c r="R227" s="194"/>
      <c r="S227" s="194"/>
      <c r="T227" s="194"/>
      <c r="U227" s="194"/>
      <c r="V227" s="317" t="e">
        <f>$AB$3/2</f>
        <v>#VALUE!</v>
      </c>
      <c r="W227" s="318"/>
      <c r="X227" s="318"/>
      <c r="Y227" s="318"/>
      <c r="Z227" s="128" t="s">
        <v>434</v>
      </c>
      <c r="AA227" s="193" t="s">
        <v>354</v>
      </c>
      <c r="AB227" s="193"/>
      <c r="AC227" s="193"/>
      <c r="AD227" s="193"/>
      <c r="AE227" s="193"/>
      <c r="AF227" s="195" t="s">
        <v>355</v>
      </c>
      <c r="AG227" s="195"/>
      <c r="AH227" s="195"/>
      <c r="AI227" s="195">
        <v>1</v>
      </c>
      <c r="AJ227" s="195"/>
      <c r="AK227" s="196" t="e">
        <f t="shared" si="53"/>
        <v>#VALUE!</v>
      </c>
      <c r="AL227" s="196"/>
      <c r="AM227" s="196"/>
      <c r="AN227" s="196"/>
      <c r="AO227" s="197"/>
      <c r="AP227" s="304" t="str">
        <f t="shared" si="52"/>
        <v>∞</v>
      </c>
      <c r="AQ227" s="305"/>
      <c r="AR227" s="305"/>
      <c r="AS227" s="305"/>
      <c r="AT227" s="329"/>
      <c r="AU227" s="330"/>
      <c r="AV227" s="331"/>
      <c r="AW227" s="113"/>
      <c r="AX227" s="113"/>
      <c r="AY227" s="113"/>
      <c r="AZ227" s="113"/>
      <c r="BA227" s="113"/>
      <c r="BS227" s="97"/>
      <c r="BT227" s="97"/>
      <c r="BU227" s="97"/>
      <c r="BV227" s="97"/>
      <c r="BW227" s="97"/>
    </row>
    <row r="228" spans="1:75" s="96" customFormat="1" ht="14.85" customHeight="1">
      <c r="A228" s="109"/>
      <c r="B228" s="190" t="s">
        <v>429</v>
      </c>
      <c r="C228" s="191"/>
      <c r="D228" s="191"/>
      <c r="E228" s="191"/>
      <c r="F228" s="191"/>
      <c r="G228" s="194" t="s">
        <v>362</v>
      </c>
      <c r="H228" s="194"/>
      <c r="I228" s="194"/>
      <c r="J228" s="194"/>
      <c r="K228" s="194"/>
      <c r="L228" s="194"/>
      <c r="M228" s="194"/>
      <c r="N228" s="194"/>
      <c r="O228" s="194"/>
      <c r="P228" s="194"/>
      <c r="Q228" s="194"/>
      <c r="R228" s="194"/>
      <c r="S228" s="194"/>
      <c r="T228" s="194"/>
      <c r="U228" s="194"/>
      <c r="V228" s="317" t="str">
        <f>$AT$24</f>
        <v/>
      </c>
      <c r="W228" s="318"/>
      <c r="X228" s="318"/>
      <c r="Y228" s="318"/>
      <c r="Z228" s="128" t="s">
        <v>434</v>
      </c>
      <c r="AA228" s="193" t="s">
        <v>354</v>
      </c>
      <c r="AB228" s="193"/>
      <c r="AC228" s="193"/>
      <c r="AD228" s="193"/>
      <c r="AE228" s="193"/>
      <c r="AF228" s="195" t="s">
        <v>355</v>
      </c>
      <c r="AG228" s="195"/>
      <c r="AH228" s="195"/>
      <c r="AI228" s="195">
        <v>1</v>
      </c>
      <c r="AJ228" s="195"/>
      <c r="AK228" s="196" t="e">
        <f t="shared" si="53"/>
        <v>#VALUE!</v>
      </c>
      <c r="AL228" s="196"/>
      <c r="AM228" s="196"/>
      <c r="AN228" s="196"/>
      <c r="AO228" s="197"/>
      <c r="AP228" s="304" t="str">
        <f t="shared" si="52"/>
        <v>∞</v>
      </c>
      <c r="AQ228" s="305"/>
      <c r="AR228" s="305"/>
      <c r="AS228" s="305"/>
      <c r="AT228" s="329"/>
      <c r="AU228" s="330"/>
      <c r="AV228" s="331"/>
      <c r="AW228" s="113"/>
      <c r="AX228" s="113"/>
      <c r="AY228" s="113"/>
      <c r="AZ228" s="113"/>
      <c r="BA228" s="113"/>
      <c r="BS228" s="97"/>
      <c r="BT228" s="97"/>
      <c r="BU228" s="97"/>
      <c r="BV228" s="97"/>
      <c r="BW228" s="97"/>
    </row>
    <row r="229" spans="1:75" s="96" customFormat="1" ht="14.85" customHeight="1">
      <c r="A229" s="109"/>
      <c r="B229" s="190" t="s">
        <v>430</v>
      </c>
      <c r="C229" s="191"/>
      <c r="D229" s="191"/>
      <c r="E229" s="191"/>
      <c r="F229" s="191"/>
      <c r="G229" s="194" t="s">
        <v>363</v>
      </c>
      <c r="H229" s="194"/>
      <c r="I229" s="194"/>
      <c r="J229" s="194"/>
      <c r="K229" s="194"/>
      <c r="L229" s="194"/>
      <c r="M229" s="194"/>
      <c r="N229" s="194"/>
      <c r="O229" s="194"/>
      <c r="P229" s="194"/>
      <c r="Q229" s="194"/>
      <c r="R229" s="194"/>
      <c r="S229" s="194"/>
      <c r="T229" s="194"/>
      <c r="U229" s="194"/>
      <c r="V229" s="317">
        <v>0</v>
      </c>
      <c r="W229" s="318"/>
      <c r="X229" s="318"/>
      <c r="Y229" s="318"/>
      <c r="Z229" s="128" t="s">
        <v>434</v>
      </c>
      <c r="AA229" s="193" t="s">
        <v>354</v>
      </c>
      <c r="AB229" s="193"/>
      <c r="AC229" s="193"/>
      <c r="AD229" s="193"/>
      <c r="AE229" s="193"/>
      <c r="AF229" s="195" t="s">
        <v>355</v>
      </c>
      <c r="AG229" s="195"/>
      <c r="AH229" s="195"/>
      <c r="AI229" s="195">
        <v>1</v>
      </c>
      <c r="AJ229" s="195"/>
      <c r="AK229" s="196">
        <f>(V229/SQRT(3))*AI229</f>
        <v>0</v>
      </c>
      <c r="AL229" s="196"/>
      <c r="AM229" s="196"/>
      <c r="AN229" s="196"/>
      <c r="AO229" s="197"/>
      <c r="AP229" s="304" t="str">
        <f t="shared" si="52"/>
        <v>∞</v>
      </c>
      <c r="AQ229" s="305"/>
      <c r="AR229" s="305"/>
      <c r="AS229" s="305"/>
      <c r="AT229" s="329"/>
      <c r="AU229" s="330"/>
      <c r="AV229" s="331"/>
      <c r="AW229" s="113"/>
      <c r="AX229" s="113"/>
      <c r="AY229" s="113"/>
      <c r="AZ229" s="113"/>
      <c r="BA229" s="113"/>
      <c r="BS229" s="97"/>
      <c r="BT229" s="97"/>
      <c r="BU229" s="97"/>
      <c r="BV229" s="97"/>
      <c r="BW229" s="97"/>
    </row>
    <row r="230" spans="1:75" s="96" customFormat="1" ht="14.85" customHeight="1">
      <c r="A230" s="109"/>
      <c r="B230" s="190" t="s">
        <v>431</v>
      </c>
      <c r="C230" s="191"/>
      <c r="D230" s="191"/>
      <c r="E230" s="191"/>
      <c r="F230" s="191"/>
      <c r="G230" s="194" t="s">
        <v>364</v>
      </c>
      <c r="H230" s="194"/>
      <c r="I230" s="194"/>
      <c r="J230" s="194"/>
      <c r="K230" s="194"/>
      <c r="L230" s="194"/>
      <c r="M230" s="194"/>
      <c r="N230" s="194"/>
      <c r="O230" s="194"/>
      <c r="P230" s="194"/>
      <c r="Q230" s="194"/>
      <c r="R230" s="194"/>
      <c r="S230" s="194"/>
      <c r="T230" s="194"/>
      <c r="U230" s="194"/>
      <c r="V230" s="317" t="str">
        <f>$E$16</f>
        <v/>
      </c>
      <c r="W230" s="318"/>
      <c r="X230" s="318"/>
      <c r="Y230" s="318"/>
      <c r="Z230" s="128" t="s">
        <v>434</v>
      </c>
      <c r="AA230" s="193" t="s">
        <v>37</v>
      </c>
      <c r="AB230" s="193"/>
      <c r="AC230" s="193"/>
      <c r="AD230" s="193"/>
      <c r="AE230" s="193"/>
      <c r="AF230" s="195">
        <v>1</v>
      </c>
      <c r="AG230" s="195"/>
      <c r="AH230" s="195"/>
      <c r="AI230" s="195">
        <f>IF($B$8="","",1)</f>
        <v>1</v>
      </c>
      <c r="AJ230" s="195"/>
      <c r="AK230" s="196" t="e">
        <f>(V230/AF230)*AI230</f>
        <v>#VALUE!</v>
      </c>
      <c r="AL230" s="196"/>
      <c r="AM230" s="196"/>
      <c r="AN230" s="196"/>
      <c r="AO230" s="197"/>
      <c r="AP230" s="304">
        <v>9</v>
      </c>
      <c r="AQ230" s="305"/>
      <c r="AR230" s="305"/>
      <c r="AS230" s="305"/>
      <c r="AT230" s="329"/>
      <c r="AU230" s="330"/>
      <c r="AV230" s="331"/>
      <c r="AW230" s="113"/>
      <c r="AX230" s="113"/>
      <c r="AY230" s="113"/>
      <c r="AZ230" s="113"/>
      <c r="BA230" s="113"/>
      <c r="BS230" s="97"/>
      <c r="BT230" s="97"/>
      <c r="BU230" s="97"/>
      <c r="BV230" s="97"/>
      <c r="BW230" s="97"/>
    </row>
    <row r="231" spans="1:75" s="96" customFormat="1" ht="14.85" customHeight="1" thickBot="1">
      <c r="A231" s="109"/>
      <c r="B231" s="306" t="s">
        <v>432</v>
      </c>
      <c r="C231" s="307"/>
      <c r="D231" s="307"/>
      <c r="E231" s="307"/>
      <c r="F231" s="307"/>
      <c r="G231" s="340" t="s">
        <v>365</v>
      </c>
      <c r="H231" s="340"/>
      <c r="I231" s="340"/>
      <c r="J231" s="340"/>
      <c r="K231" s="340"/>
      <c r="L231" s="340"/>
      <c r="M231" s="340"/>
      <c r="N231" s="340"/>
      <c r="O231" s="340"/>
      <c r="P231" s="340"/>
      <c r="Q231" s="340"/>
      <c r="R231" s="340"/>
      <c r="S231" s="340"/>
      <c r="T231" s="340"/>
      <c r="U231" s="340"/>
      <c r="V231" s="319" t="str">
        <f>$AS$16</f>
        <v/>
      </c>
      <c r="W231" s="320"/>
      <c r="X231" s="320"/>
      <c r="Y231" s="320"/>
      <c r="Z231" s="129" t="s">
        <v>434</v>
      </c>
      <c r="AA231" s="308" t="s">
        <v>37</v>
      </c>
      <c r="AB231" s="308"/>
      <c r="AC231" s="308"/>
      <c r="AD231" s="308"/>
      <c r="AE231" s="308"/>
      <c r="AF231" s="309">
        <v>1</v>
      </c>
      <c r="AG231" s="309"/>
      <c r="AH231" s="309"/>
      <c r="AI231" s="309">
        <f>IF($B$8="","",1)</f>
        <v>1</v>
      </c>
      <c r="AJ231" s="309"/>
      <c r="AK231" s="310" t="e">
        <f>(V231/AF231)*AI231</f>
        <v>#VALUE!</v>
      </c>
      <c r="AL231" s="310"/>
      <c r="AM231" s="310"/>
      <c r="AN231" s="310"/>
      <c r="AO231" s="311"/>
      <c r="AP231" s="304">
        <v>9</v>
      </c>
      <c r="AQ231" s="305"/>
      <c r="AR231" s="305"/>
      <c r="AS231" s="305"/>
      <c r="AT231" s="329"/>
      <c r="AU231" s="330"/>
      <c r="AV231" s="331"/>
      <c r="AW231" s="113"/>
      <c r="AX231" s="113"/>
      <c r="AY231" s="113"/>
      <c r="AZ231" s="113"/>
      <c r="BA231" s="113"/>
      <c r="BS231" s="97"/>
      <c r="BT231" s="97"/>
      <c r="BU231" s="97"/>
      <c r="BV231" s="97"/>
      <c r="BW231" s="97"/>
    </row>
    <row r="232" spans="1:75" s="96" customFormat="1" ht="14.85" customHeight="1" thickTop="1" thickBot="1">
      <c r="A232" s="109"/>
      <c r="B232" s="338" t="s">
        <v>433</v>
      </c>
      <c r="C232" s="339"/>
      <c r="D232" s="339"/>
      <c r="E232" s="339"/>
      <c r="F232" s="339"/>
      <c r="G232" s="340" t="s">
        <v>366</v>
      </c>
      <c r="H232" s="340" t="s">
        <v>366</v>
      </c>
      <c r="I232" s="340" t="s">
        <v>366</v>
      </c>
      <c r="J232" s="340" t="s">
        <v>366</v>
      </c>
      <c r="K232" s="340" t="s">
        <v>366</v>
      </c>
      <c r="L232" s="340" t="s">
        <v>366</v>
      </c>
      <c r="M232" s="340" t="s">
        <v>366</v>
      </c>
      <c r="N232" s="340" t="s">
        <v>366</v>
      </c>
      <c r="O232" s="340" t="s">
        <v>366</v>
      </c>
      <c r="P232" s="340" t="s">
        <v>366</v>
      </c>
      <c r="Q232" s="340" t="s">
        <v>366</v>
      </c>
      <c r="R232" s="340" t="s">
        <v>366</v>
      </c>
      <c r="S232" s="340" t="s">
        <v>366</v>
      </c>
      <c r="T232" s="340" t="s">
        <v>366</v>
      </c>
      <c r="U232" s="340" t="s">
        <v>366</v>
      </c>
      <c r="V232" s="357"/>
      <c r="W232" s="358"/>
      <c r="X232" s="358"/>
      <c r="Y232" s="358"/>
      <c r="Z232" s="130"/>
      <c r="AA232" s="359" t="s">
        <v>37</v>
      </c>
      <c r="AB232" s="359"/>
      <c r="AC232" s="359"/>
      <c r="AD232" s="359"/>
      <c r="AE232" s="360"/>
      <c r="AF232" s="349"/>
      <c r="AG232" s="350"/>
      <c r="AH232" s="350"/>
      <c r="AI232" s="350"/>
      <c r="AJ232" s="351"/>
      <c r="AK232" s="343" t="e">
        <f>SQRT(SUMSQ(AK220:AO231))</f>
        <v>#VALUE!</v>
      </c>
      <c r="AL232" s="344"/>
      <c r="AM232" s="344"/>
      <c r="AN232" s="344"/>
      <c r="AO232" s="344"/>
      <c r="AP232" s="322" t="e">
        <f>IF(V231&lt;0.000000001,"∞",(AK232^4/((AK231^4/AP231)+(AK230^4/AP230))))</f>
        <v>#VALUE!</v>
      </c>
      <c r="AQ232" s="323"/>
      <c r="AR232" s="323"/>
      <c r="AS232" s="323"/>
      <c r="AT232" s="329"/>
      <c r="AU232" s="330"/>
      <c r="AV232" s="331"/>
      <c r="AW232" s="113"/>
      <c r="AX232" s="113"/>
      <c r="AY232" s="113"/>
      <c r="AZ232" s="113"/>
      <c r="BA232" s="113"/>
      <c r="BS232" s="97"/>
      <c r="BT232" s="97"/>
      <c r="BU232" s="97"/>
      <c r="BV232" s="97"/>
      <c r="BW232" s="97"/>
    </row>
    <row r="233" spans="1:75" s="96" customFormat="1" ht="14.85" customHeight="1" thickTop="1" thickBot="1">
      <c r="A233" s="109"/>
      <c r="B233" s="338" t="s">
        <v>368</v>
      </c>
      <c r="C233" s="339"/>
      <c r="D233" s="339"/>
      <c r="E233" s="339"/>
      <c r="F233" s="339"/>
      <c r="G233" s="340" t="s">
        <v>369</v>
      </c>
      <c r="H233" s="340" t="s">
        <v>369</v>
      </c>
      <c r="I233" s="340" t="s">
        <v>369</v>
      </c>
      <c r="J233" s="340" t="s">
        <v>369</v>
      </c>
      <c r="K233" s="340" t="s">
        <v>369</v>
      </c>
      <c r="L233" s="340" t="s">
        <v>369</v>
      </c>
      <c r="M233" s="340" t="s">
        <v>369</v>
      </c>
      <c r="N233" s="340" t="s">
        <v>369</v>
      </c>
      <c r="O233" s="340" t="s">
        <v>369</v>
      </c>
      <c r="P233" s="340" t="s">
        <v>369</v>
      </c>
      <c r="Q233" s="340" t="s">
        <v>369</v>
      </c>
      <c r="R233" s="340" t="s">
        <v>369</v>
      </c>
      <c r="S233" s="340" t="s">
        <v>369</v>
      </c>
      <c r="T233" s="340" t="s">
        <v>369</v>
      </c>
      <c r="U233" s="340" t="s">
        <v>369</v>
      </c>
      <c r="V233" s="341"/>
      <c r="W233" s="342"/>
      <c r="X233" s="342"/>
      <c r="Y233" s="342"/>
      <c r="Z233" s="131"/>
      <c r="AA233" s="345" t="s">
        <v>370</v>
      </c>
      <c r="AB233" s="346"/>
      <c r="AC233" s="347" t="e">
        <f>IF(AP232="∞",2,TINV(0.0455,AP232))</f>
        <v>#VALUE!</v>
      </c>
      <c r="AD233" s="348"/>
      <c r="AE233" s="348"/>
      <c r="AF233" s="352"/>
      <c r="AG233" s="353"/>
      <c r="AH233" s="353"/>
      <c r="AI233" s="353"/>
      <c r="AJ233" s="354"/>
      <c r="AK233" s="343" t="e">
        <f>AK232*AC233</f>
        <v>#VALUE!</v>
      </c>
      <c r="AL233" s="344"/>
      <c r="AM233" s="344"/>
      <c r="AN233" s="344"/>
      <c r="AO233" s="344"/>
      <c r="AP233" s="324" t="s">
        <v>367</v>
      </c>
      <c r="AQ233" s="325" t="s">
        <v>367</v>
      </c>
      <c r="AR233" s="325" t="s">
        <v>367</v>
      </c>
      <c r="AS233" s="325"/>
      <c r="AT233" s="332"/>
      <c r="AU233" s="333"/>
      <c r="AV233" s="334"/>
      <c r="AW233" s="113"/>
      <c r="AX233" s="113"/>
      <c r="AY233" s="113"/>
      <c r="AZ233" s="113"/>
      <c r="BA233" s="113"/>
      <c r="BS233" s="97"/>
      <c r="BT233" s="97"/>
      <c r="BU233" s="97"/>
      <c r="BV233" s="97"/>
      <c r="BW233" s="97"/>
    </row>
    <row r="234" spans="1:75" s="96" customFormat="1" ht="14.85" customHeight="1" thickTop="1" thickBot="1">
      <c r="A234" s="109"/>
      <c r="B234" s="139"/>
      <c r="C234" s="139"/>
      <c r="D234" s="139"/>
      <c r="E234" s="139"/>
      <c r="F234" s="139"/>
      <c r="G234" s="126"/>
      <c r="H234" s="126"/>
      <c r="I234" s="126"/>
      <c r="J234" s="126"/>
      <c r="K234" s="126"/>
      <c r="L234" s="126"/>
      <c r="M234" s="126"/>
      <c r="N234" s="126"/>
      <c r="O234" s="126"/>
      <c r="P234" s="126"/>
      <c r="Q234" s="126"/>
      <c r="R234" s="126"/>
      <c r="S234" s="126"/>
      <c r="T234" s="126"/>
      <c r="U234" s="126"/>
      <c r="V234" s="132"/>
      <c r="W234" s="132"/>
      <c r="X234" s="132"/>
      <c r="Y234" s="132"/>
      <c r="Z234" s="133"/>
      <c r="AA234" s="134"/>
      <c r="AB234" s="134"/>
      <c r="AC234" s="374" t="s">
        <v>371</v>
      </c>
      <c r="AD234" s="375"/>
      <c r="AE234" s="369">
        <f>IF($J$5&lt;0,0.04,0.03)</f>
        <v>0.03</v>
      </c>
      <c r="AF234" s="369"/>
      <c r="AG234" s="370"/>
      <c r="AH234" s="371" t="s">
        <v>372</v>
      </c>
      <c r="AI234" s="369"/>
      <c r="AJ234" s="369"/>
      <c r="AK234" s="372" t="e">
        <f>IF(AK233&lt;AE234,AE234,ROUNDUP(AK233,3))</f>
        <v>#VALUE!</v>
      </c>
      <c r="AL234" s="372"/>
      <c r="AM234" s="372"/>
      <c r="AN234" s="372"/>
      <c r="AO234" s="373"/>
      <c r="AP234" s="134"/>
      <c r="AQ234" s="134"/>
      <c r="AR234" s="134"/>
      <c r="AS234" s="132"/>
      <c r="AT234" s="132"/>
      <c r="AU234" s="132"/>
      <c r="AV234" s="132"/>
      <c r="AW234" s="113"/>
      <c r="AX234" s="113"/>
      <c r="AY234" s="113"/>
      <c r="AZ234" s="113"/>
      <c r="BA234" s="113"/>
      <c r="BS234" s="97"/>
      <c r="BT234" s="97"/>
      <c r="BU234" s="97"/>
      <c r="BV234" s="97"/>
      <c r="BW234" s="97"/>
    </row>
    <row r="235" spans="1:75" s="96" customFormat="1" ht="14.85" customHeight="1" thickTop="1">
      <c r="A235" s="109"/>
      <c r="B235" s="139"/>
      <c r="C235" s="139"/>
      <c r="D235" s="139"/>
      <c r="E235" s="139"/>
      <c r="F235" s="139"/>
      <c r="G235" s="121"/>
      <c r="H235" s="121"/>
      <c r="I235" s="121"/>
      <c r="J235" s="121"/>
      <c r="K235" s="121"/>
      <c r="L235" s="121"/>
      <c r="M235" s="121"/>
      <c r="N235" s="121"/>
      <c r="O235" s="121"/>
      <c r="P235" s="121"/>
      <c r="Q235" s="121"/>
      <c r="R235" s="121"/>
      <c r="S235" s="121"/>
      <c r="T235" s="121"/>
      <c r="U235" s="121"/>
      <c r="V235" s="113"/>
      <c r="W235" s="113"/>
      <c r="X235" s="113"/>
      <c r="Y235" s="113"/>
      <c r="Z235" s="123"/>
      <c r="AA235" s="124"/>
      <c r="AB235" s="124"/>
      <c r="AC235" s="124"/>
      <c r="AD235" s="124"/>
      <c r="AE235" s="124"/>
      <c r="AF235" s="125"/>
      <c r="AG235" s="125"/>
      <c r="AH235" s="125"/>
      <c r="AI235" s="125"/>
      <c r="AJ235" s="125"/>
      <c r="AK235" s="113"/>
      <c r="AL235" s="113"/>
      <c r="AM235" s="113"/>
      <c r="AN235" s="113"/>
      <c r="AO235" s="113"/>
      <c r="AP235" s="124"/>
      <c r="AQ235" s="124"/>
      <c r="AR235" s="124"/>
      <c r="AS235" s="113"/>
      <c r="AT235" s="113"/>
      <c r="AU235" s="113"/>
      <c r="AV235" s="113"/>
      <c r="AW235" s="113"/>
      <c r="AX235" s="113"/>
      <c r="AY235" s="113"/>
      <c r="AZ235" s="113"/>
      <c r="BA235" s="113"/>
      <c r="BS235" s="97"/>
      <c r="BT235" s="97"/>
      <c r="BU235" s="97"/>
      <c r="BV235" s="97"/>
      <c r="BW235" s="97"/>
    </row>
    <row r="236" spans="1:75" s="96" customFormat="1" ht="14.85" customHeight="1">
      <c r="A236" s="109"/>
      <c r="B236" s="139"/>
      <c r="C236" s="139"/>
      <c r="D236" s="139"/>
      <c r="E236" s="139"/>
      <c r="F236" s="139"/>
      <c r="G236" s="121"/>
      <c r="H236" s="121"/>
      <c r="I236" s="121"/>
      <c r="J236" s="121"/>
      <c r="K236" s="121"/>
      <c r="L236" s="121"/>
      <c r="M236" s="121"/>
      <c r="N236" s="121"/>
      <c r="O236" s="121"/>
      <c r="P236" s="121"/>
      <c r="Q236" s="121"/>
      <c r="R236" s="121"/>
      <c r="S236" s="121"/>
      <c r="T236" s="121"/>
      <c r="U236" s="121"/>
      <c r="V236" s="113"/>
      <c r="W236" s="113"/>
      <c r="X236" s="113"/>
      <c r="Y236" s="113"/>
      <c r="Z236" s="123"/>
      <c r="AA236" s="124"/>
      <c r="AB236" s="124"/>
      <c r="AC236" s="124"/>
      <c r="AD236" s="124"/>
      <c r="AE236" s="124"/>
      <c r="AF236" s="125"/>
      <c r="AG236" s="125"/>
      <c r="AH236" s="125"/>
      <c r="AI236" s="125"/>
      <c r="AJ236" s="125"/>
      <c r="AK236" s="113"/>
      <c r="AL236" s="113"/>
      <c r="AM236" s="113"/>
      <c r="AN236" s="91"/>
      <c r="AO236" s="91"/>
      <c r="AP236" s="91"/>
      <c r="AQ236" s="91"/>
      <c r="AR236" s="91"/>
      <c r="AS236" s="265" t="s">
        <v>5</v>
      </c>
      <c r="AT236" s="265"/>
      <c r="AU236" s="265"/>
      <c r="AV236" s="275">
        <f>AV197+1</f>
        <v>13</v>
      </c>
      <c r="AW236" s="275"/>
      <c r="AX236" s="94" t="s">
        <v>6</v>
      </c>
      <c r="AY236" s="275">
        <f>$AY$1</f>
        <v>1</v>
      </c>
      <c r="AZ236" s="275"/>
      <c r="BA236" s="113"/>
      <c r="BS236" s="97"/>
      <c r="BT236" s="97"/>
      <c r="BU236" s="97"/>
      <c r="BV236" s="97"/>
      <c r="BW236" s="97"/>
    </row>
    <row r="237" spans="1:75" s="96" customFormat="1" ht="14.85" customHeight="1">
      <c r="A237" s="109"/>
      <c r="B237" s="139"/>
      <c r="C237" s="139"/>
      <c r="D237" s="139"/>
      <c r="E237" s="139"/>
      <c r="F237" s="139"/>
      <c r="G237" s="121"/>
      <c r="H237" s="121"/>
      <c r="I237" s="121"/>
      <c r="J237" s="121"/>
      <c r="K237" s="121"/>
      <c r="L237" s="121"/>
      <c r="M237" s="121"/>
      <c r="N237" s="121"/>
      <c r="O237" s="121"/>
      <c r="P237" s="121"/>
      <c r="Q237" s="121"/>
      <c r="R237" s="121"/>
      <c r="S237" s="121"/>
      <c r="T237" s="121"/>
      <c r="U237" s="121"/>
      <c r="V237" s="113"/>
      <c r="W237" s="113"/>
      <c r="X237" s="113"/>
      <c r="Y237" s="113"/>
      <c r="Z237" s="123"/>
      <c r="AA237" s="124"/>
      <c r="AB237" s="124"/>
      <c r="AC237" s="124"/>
      <c r="AD237" s="124"/>
      <c r="AE237" s="124"/>
      <c r="AF237" s="125"/>
      <c r="AG237" s="125"/>
      <c r="AH237" s="125"/>
      <c r="AI237" s="125"/>
      <c r="AJ237" s="125"/>
      <c r="AK237" s="113"/>
      <c r="AL237" s="113"/>
      <c r="AM237" s="113"/>
      <c r="AN237" s="91"/>
      <c r="AO237" s="91"/>
      <c r="AP237" s="91"/>
      <c r="AQ237" s="98"/>
      <c r="AR237" s="91"/>
      <c r="AS237" s="91"/>
      <c r="AT237" s="91"/>
      <c r="AU237" s="91"/>
      <c r="AV237" s="91"/>
      <c r="AW237" s="91"/>
      <c r="AX237" s="91"/>
      <c r="AY237" s="91"/>
      <c r="AZ237" s="91"/>
      <c r="BA237" s="113"/>
      <c r="BS237" s="97"/>
      <c r="BT237" s="97"/>
      <c r="BU237" s="97"/>
      <c r="BV237" s="97"/>
      <c r="BW237" s="97"/>
    </row>
    <row r="238" spans="1:75" s="96" customFormat="1" ht="14.85" customHeight="1">
      <c r="A238" s="109"/>
      <c r="B238" s="139"/>
      <c r="C238" s="139"/>
      <c r="D238" s="139"/>
      <c r="E238" s="139"/>
      <c r="F238" s="139"/>
      <c r="G238" s="121"/>
      <c r="H238" s="121"/>
      <c r="I238" s="121"/>
      <c r="J238" s="121"/>
      <c r="K238" s="121"/>
      <c r="L238" s="121"/>
      <c r="M238" s="121"/>
      <c r="N238" s="121"/>
      <c r="O238" s="121"/>
      <c r="P238" s="121"/>
      <c r="Q238" s="121"/>
      <c r="R238" s="121"/>
      <c r="S238" s="121"/>
      <c r="T238" s="121"/>
      <c r="U238" s="121"/>
      <c r="V238" s="113"/>
      <c r="W238" s="113"/>
      <c r="X238" s="113"/>
      <c r="Y238" s="113"/>
      <c r="Z238" s="123"/>
      <c r="AA238" s="124"/>
      <c r="AB238" s="124"/>
      <c r="AC238" s="124"/>
      <c r="AD238" s="124"/>
      <c r="AE238" s="124"/>
      <c r="AF238" s="125"/>
      <c r="AG238" s="125"/>
      <c r="AH238" s="125"/>
      <c r="AI238" s="125"/>
      <c r="AJ238" s="125"/>
      <c r="AK238" s="113"/>
      <c r="AL238" s="113"/>
      <c r="AM238" s="113"/>
      <c r="AN238" s="91"/>
      <c r="AO238" s="272" t="s">
        <v>7</v>
      </c>
      <c r="AP238" s="272"/>
      <c r="AQ238" s="272"/>
      <c r="AR238" s="272"/>
      <c r="AS238" s="272"/>
      <c r="AT238" s="272"/>
      <c r="AU238" s="272"/>
      <c r="AV238" s="179" t="str">
        <f>$AV$160</f>
        <v xml:space="preserve"> /69 </v>
      </c>
      <c r="AW238" s="179"/>
      <c r="AX238" s="179"/>
      <c r="AY238" s="179"/>
      <c r="AZ238" s="179"/>
      <c r="BA238" s="113"/>
      <c r="BS238" s="97"/>
      <c r="BT238" s="97"/>
      <c r="BU238" s="97"/>
      <c r="BV238" s="97"/>
      <c r="BW238" s="97"/>
    </row>
    <row r="239" spans="1:75" s="96" customFormat="1" ht="14.85" customHeight="1">
      <c r="A239" s="109"/>
      <c r="B239" s="139"/>
      <c r="C239" s="139"/>
      <c r="D239" s="139"/>
      <c r="E239" s="139"/>
      <c r="F239" s="139"/>
      <c r="G239" s="121"/>
      <c r="H239" s="121"/>
      <c r="I239" s="121"/>
      <c r="J239" s="121"/>
      <c r="K239" s="121"/>
      <c r="L239" s="121"/>
      <c r="M239" s="121"/>
      <c r="N239" s="121"/>
      <c r="O239" s="121"/>
      <c r="P239" s="121"/>
      <c r="Q239" s="121"/>
      <c r="R239" s="121"/>
      <c r="S239" s="121"/>
      <c r="T239" s="121"/>
      <c r="U239" s="121"/>
      <c r="V239" s="113"/>
      <c r="W239" s="113"/>
      <c r="X239" s="113"/>
      <c r="Y239" s="113"/>
      <c r="Z239" s="123"/>
      <c r="AA239" s="124"/>
      <c r="AB239" s="124"/>
      <c r="AC239" s="124"/>
      <c r="AD239" s="124"/>
      <c r="AE239" s="124"/>
      <c r="AF239" s="125"/>
      <c r="AG239" s="125"/>
      <c r="AH239" s="125"/>
      <c r="AI239" s="125"/>
      <c r="AJ239" s="125"/>
      <c r="AK239" s="113"/>
      <c r="AL239" s="113"/>
      <c r="AM239" s="113"/>
      <c r="AN239" s="113"/>
      <c r="AO239" s="113"/>
      <c r="AP239" s="124"/>
      <c r="AQ239" s="124"/>
      <c r="AR239" s="124"/>
      <c r="AS239" s="113"/>
      <c r="AT239" s="113"/>
      <c r="AU239" s="113"/>
      <c r="AV239" s="113"/>
      <c r="AW239" s="113"/>
      <c r="AX239" s="113"/>
      <c r="AY239" s="113"/>
      <c r="AZ239" s="113"/>
      <c r="BA239" s="113"/>
      <c r="BS239" s="97"/>
      <c r="BT239" s="97"/>
      <c r="BU239" s="97"/>
      <c r="BV239" s="97"/>
      <c r="BW239" s="97"/>
    </row>
    <row r="240" spans="1:75" ht="14.85" customHeight="1">
      <c r="A240" s="109"/>
      <c r="B240" s="110"/>
      <c r="C240" s="110"/>
      <c r="D240" s="110"/>
      <c r="E240" s="113"/>
      <c r="F240" s="113"/>
      <c r="G240" s="113"/>
      <c r="H240" s="113"/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  <c r="T240" s="113"/>
      <c r="U240" s="113"/>
      <c r="V240" s="113"/>
      <c r="W240" s="113"/>
      <c r="X240" s="113"/>
      <c r="Y240" s="113"/>
      <c r="Z240" s="113"/>
      <c r="AA240" s="113"/>
      <c r="AB240" s="113"/>
      <c r="AC240" s="113"/>
      <c r="AD240" s="113"/>
      <c r="AE240" s="113"/>
      <c r="AF240" s="113"/>
      <c r="AG240" s="113"/>
      <c r="AH240" s="113"/>
      <c r="AI240" s="113"/>
      <c r="AJ240" s="113"/>
      <c r="AK240" s="113"/>
      <c r="AL240" s="113"/>
      <c r="AM240" s="113"/>
      <c r="AN240" s="113"/>
      <c r="AO240" s="113"/>
      <c r="AP240" s="113"/>
      <c r="AQ240" s="113"/>
      <c r="AR240" s="113"/>
      <c r="AS240" s="113"/>
      <c r="AT240" s="113"/>
      <c r="AU240" s="113"/>
      <c r="AV240" s="113"/>
      <c r="AW240" s="113"/>
      <c r="AX240" s="113"/>
      <c r="AY240" s="113"/>
      <c r="AZ240" s="113"/>
      <c r="BA240" s="113"/>
    </row>
    <row r="241" spans="1:75" ht="14.85" customHeight="1">
      <c r="A241" s="109"/>
      <c r="B241" s="519" t="s">
        <v>12</v>
      </c>
      <c r="C241" s="519"/>
      <c r="D241" s="519"/>
      <c r="E241" s="519"/>
      <c r="F241" s="519"/>
      <c r="G241" s="519"/>
      <c r="H241" s="184"/>
      <c r="I241" s="184"/>
      <c r="J241" s="184"/>
      <c r="K241" s="184"/>
      <c r="L241" s="184"/>
      <c r="M241" s="184"/>
      <c r="N241" s="184"/>
      <c r="O241" s="184"/>
      <c r="P241" s="184"/>
      <c r="Q241" s="184"/>
      <c r="R241" s="184"/>
      <c r="S241" s="184"/>
      <c r="T241" s="184"/>
      <c r="U241" s="184"/>
      <c r="V241" s="184"/>
      <c r="W241" s="184"/>
      <c r="X241" s="518" t="s">
        <v>13</v>
      </c>
      <c r="Y241" s="518"/>
      <c r="Z241" s="518"/>
      <c r="AA241" s="185"/>
      <c r="AB241" s="185"/>
      <c r="AC241" s="185"/>
      <c r="AD241" s="185"/>
      <c r="AE241" s="185"/>
      <c r="AF241" s="185"/>
      <c r="AG241" s="185"/>
      <c r="AH241" s="185"/>
      <c r="AI241" s="111"/>
      <c r="AJ241" s="111"/>
      <c r="AK241" s="111"/>
      <c r="AL241" s="111"/>
      <c r="AM241" s="111"/>
      <c r="AN241" s="111"/>
      <c r="AO241" s="116"/>
      <c r="AP241" s="117"/>
      <c r="AQ241" s="117"/>
      <c r="AR241" s="117"/>
      <c r="AS241" s="117"/>
      <c r="AT241" s="117"/>
      <c r="AU241" s="116"/>
      <c r="AV241" s="116"/>
      <c r="AW241" s="116"/>
      <c r="AX241" s="116"/>
      <c r="AY241" s="116"/>
      <c r="AZ241" s="116"/>
      <c r="BA241" s="116"/>
    </row>
    <row r="242" spans="1:75" s="96" customFormat="1" ht="14.85" customHeight="1">
      <c r="A242" s="109"/>
      <c r="B242" s="117" t="s">
        <v>14</v>
      </c>
      <c r="C242" s="114"/>
      <c r="D242" s="114"/>
      <c r="E242" s="114"/>
      <c r="F242" s="114"/>
      <c r="G242" s="114"/>
      <c r="H242" s="178"/>
      <c r="I242" s="178"/>
      <c r="J242" s="178"/>
      <c r="K242" s="178"/>
      <c r="L242" s="178"/>
      <c r="M242" s="178"/>
      <c r="N242" s="178"/>
      <c r="O242" s="178"/>
      <c r="P242" s="178"/>
      <c r="Q242" s="178"/>
      <c r="R242" s="178"/>
      <c r="S242" s="178"/>
      <c r="T242" s="178"/>
      <c r="U242" s="178"/>
      <c r="V242" s="178"/>
      <c r="W242" s="178"/>
      <c r="X242" s="518" t="s">
        <v>13</v>
      </c>
      <c r="Y242" s="518"/>
      <c r="Z242" s="518"/>
      <c r="AA242" s="180"/>
      <c r="AB242" s="180"/>
      <c r="AC242" s="180"/>
      <c r="AD242" s="180"/>
      <c r="AE242" s="180"/>
      <c r="AF242" s="180"/>
      <c r="AG242" s="180"/>
      <c r="AH242" s="180"/>
      <c r="AI242" s="111"/>
      <c r="AJ242" s="111"/>
      <c r="AK242" s="111"/>
      <c r="AL242" s="111"/>
      <c r="AM242" s="111"/>
      <c r="AN242" s="111"/>
      <c r="AO242" s="117"/>
      <c r="AP242" s="117"/>
      <c r="AQ242" s="117"/>
      <c r="AR242" s="117"/>
      <c r="AS242" s="117"/>
      <c r="AT242" s="117"/>
      <c r="AU242" s="115"/>
      <c r="AV242" s="115"/>
      <c r="AW242" s="115"/>
      <c r="AX242" s="115"/>
      <c r="AY242" s="115"/>
      <c r="AZ242" s="115"/>
      <c r="BA242" s="115"/>
      <c r="BS242" s="97"/>
      <c r="BT242" s="97"/>
      <c r="BU242" s="97"/>
      <c r="BV242" s="97"/>
      <c r="BW242" s="97"/>
    </row>
    <row r="243" spans="1:75" s="96" customFormat="1" ht="14.85" customHeight="1">
      <c r="A243" s="109"/>
      <c r="B243" s="117" t="s">
        <v>15</v>
      </c>
      <c r="C243" s="117"/>
      <c r="D243" s="181"/>
      <c r="E243" s="181"/>
      <c r="F243" s="181"/>
      <c r="G243" s="181"/>
      <c r="H243" s="181"/>
      <c r="I243" s="181"/>
      <c r="J243" s="181"/>
      <c r="K243" s="181"/>
      <c r="L243" s="181"/>
      <c r="M243" s="181"/>
      <c r="N243" s="181"/>
      <c r="O243" s="181"/>
      <c r="P243" s="181"/>
      <c r="Q243" s="181"/>
      <c r="R243" s="181"/>
      <c r="S243" s="181"/>
      <c r="T243" s="181"/>
      <c r="U243" s="181"/>
      <c r="V243" s="181"/>
      <c r="W243" s="181"/>
      <c r="X243" s="181"/>
      <c r="Y243" s="181"/>
      <c r="Z243" s="181"/>
      <c r="AA243" s="181"/>
      <c r="AB243" s="181"/>
      <c r="AC243" s="181"/>
      <c r="AD243" s="181"/>
      <c r="AE243" s="181"/>
      <c r="AF243" s="181"/>
      <c r="AG243" s="181"/>
      <c r="AH243" s="181"/>
      <c r="AI243" s="181"/>
      <c r="AJ243" s="181"/>
      <c r="AK243" s="181"/>
      <c r="AL243" s="181"/>
      <c r="AM243" s="181"/>
      <c r="AN243" s="181"/>
      <c r="AO243" s="181"/>
      <c r="AP243" s="181"/>
      <c r="AQ243" s="181"/>
      <c r="AR243" s="181"/>
      <c r="AS243" s="181"/>
      <c r="AT243" s="181"/>
      <c r="AU243" s="181"/>
      <c r="AV243" s="181"/>
      <c r="AW243" s="181"/>
      <c r="AX243" s="181"/>
      <c r="AY243" s="181"/>
      <c r="AZ243" s="181"/>
      <c r="BA243" s="181"/>
      <c r="BS243" s="97"/>
      <c r="BT243" s="97"/>
      <c r="BU243" s="97"/>
      <c r="BV243" s="97"/>
      <c r="BW243" s="97"/>
    </row>
    <row r="244" spans="1:75" s="96" customFormat="1" ht="14.85" customHeight="1">
      <c r="A244" s="109"/>
      <c r="B244" s="117"/>
      <c r="C244" s="117"/>
      <c r="D244" s="115"/>
      <c r="E244" s="115"/>
      <c r="F244" s="115"/>
      <c r="G244" s="115"/>
      <c r="H244" s="115"/>
      <c r="I244" s="115"/>
      <c r="J244" s="115"/>
      <c r="K244" s="115"/>
      <c r="L244" s="115"/>
      <c r="M244" s="115"/>
      <c r="N244" s="115"/>
      <c r="O244" s="115"/>
      <c r="P244" s="115"/>
      <c r="Q244" s="115"/>
      <c r="R244" s="115"/>
      <c r="S244" s="115"/>
      <c r="T244" s="115"/>
      <c r="U244" s="115"/>
      <c r="V244" s="115"/>
      <c r="W244" s="115"/>
      <c r="X244" s="115"/>
      <c r="Y244" s="115"/>
      <c r="Z244" s="115"/>
      <c r="AA244" s="115"/>
      <c r="AB244" s="115"/>
      <c r="AC244" s="115"/>
      <c r="AD244" s="115"/>
      <c r="AE244" s="115"/>
      <c r="AF244" s="115"/>
      <c r="AG244" s="115"/>
      <c r="AH244" s="115"/>
      <c r="AI244" s="115"/>
      <c r="AJ244" s="115"/>
      <c r="AK244" s="115"/>
      <c r="AL244" s="115"/>
      <c r="AM244" s="115"/>
      <c r="AN244" s="115"/>
      <c r="AO244" s="115"/>
      <c r="AP244" s="115"/>
      <c r="AQ244" s="115"/>
      <c r="AR244" s="115"/>
      <c r="AS244" s="115"/>
      <c r="AT244" s="115"/>
      <c r="AU244" s="115"/>
      <c r="AV244" s="115"/>
      <c r="AW244" s="115"/>
      <c r="AX244" s="115"/>
      <c r="AY244" s="115"/>
      <c r="AZ244" s="115"/>
      <c r="BA244" s="115"/>
      <c r="BS244" s="97"/>
      <c r="BT244" s="97"/>
      <c r="BU244" s="97"/>
      <c r="BV244" s="97"/>
      <c r="BW244" s="97"/>
    </row>
    <row r="245" spans="1:75" s="96" customFormat="1" ht="14.85" customHeight="1">
      <c r="A245" s="182"/>
      <c r="B245" s="182"/>
      <c r="C245" s="182"/>
      <c r="D245" s="182"/>
      <c r="E245" s="182"/>
      <c r="F245" s="182"/>
      <c r="G245" s="182"/>
      <c r="H245" s="182"/>
      <c r="I245" s="182"/>
      <c r="J245" s="182"/>
      <c r="K245" s="182"/>
      <c r="L245" s="182"/>
      <c r="M245" s="182"/>
      <c r="N245" s="182"/>
      <c r="O245" s="182"/>
      <c r="P245" s="182"/>
      <c r="Q245" s="182"/>
      <c r="R245" s="182"/>
      <c r="S245" s="182"/>
      <c r="T245" s="182"/>
      <c r="U245" s="182"/>
      <c r="V245" s="182"/>
      <c r="W245" s="182"/>
      <c r="X245" s="182"/>
      <c r="Y245" s="182"/>
      <c r="Z245" s="182"/>
      <c r="AA245" s="182"/>
      <c r="AB245" s="182"/>
      <c r="AC245" s="182"/>
      <c r="AD245" s="182"/>
      <c r="AE245" s="182"/>
      <c r="AF245" s="182"/>
      <c r="AG245" s="182"/>
      <c r="AH245" s="182"/>
      <c r="AI245" s="182"/>
      <c r="AJ245" s="182"/>
      <c r="AK245" s="182"/>
      <c r="AL245" s="182"/>
      <c r="AM245" s="182"/>
      <c r="AN245" s="182"/>
      <c r="AO245" s="182"/>
      <c r="AP245" s="182"/>
      <c r="AQ245" s="182"/>
      <c r="AR245" s="182"/>
      <c r="AS245" s="182"/>
      <c r="AT245" s="182"/>
      <c r="AU245" s="182"/>
      <c r="AV245" s="182"/>
      <c r="AW245" s="182"/>
      <c r="AX245" s="182"/>
      <c r="AY245" s="182"/>
      <c r="AZ245" s="182"/>
      <c r="BA245" s="182"/>
      <c r="BS245" s="97"/>
      <c r="BT245" s="97"/>
      <c r="BU245" s="97"/>
      <c r="BV245" s="97"/>
      <c r="BW245" s="97"/>
    </row>
  </sheetData>
  <sheetProtection algorithmName="SHA-512" hashValue="YECV9TadKXrb1m2ggxuD4WKA0XnOSCd57DcSXJHt6G9W7VSTPNTCcZaUAqPvwfbxMDEgnBUaE6my5lfeV16yfw==" saltValue="n4XzDgpISwUZ5XjWyPJrSw==" spinCount="100000" sheet="1" objects="1" scenarios="1"/>
  <protectedRanges>
    <protectedRange sqref="AA241:AA242" name="Range8_2"/>
    <protectedRange sqref="AA241:AA242" name="Range15_2"/>
    <protectedRange sqref="J5 AB3" name="Range3_3"/>
    <protectedRange sqref="G5" name="Range3_1"/>
    <protectedRange sqref="AY1 AY41 AY80 AY119 AY158 AY197 AY236" name="ช่วง2"/>
    <protectedRange sqref="AV1 AV41 AV80 AV119 AV158 AV197 AV236" name="ช่วง1"/>
  </protectedRanges>
  <mergeCells count="1475">
    <mergeCell ref="H242:W242"/>
    <mergeCell ref="X242:Z242"/>
    <mergeCell ref="AA242:AH242"/>
    <mergeCell ref="D243:BA243"/>
    <mergeCell ref="A245:BA245"/>
    <mergeCell ref="AY236:AZ236"/>
    <mergeCell ref="AO238:AU238"/>
    <mergeCell ref="AV238:AZ238"/>
    <mergeCell ref="B241:G241"/>
    <mergeCell ref="H241:W241"/>
    <mergeCell ref="X241:Z241"/>
    <mergeCell ref="AA241:AH241"/>
    <mergeCell ref="AC234:AD234"/>
    <mergeCell ref="AE234:AG234"/>
    <mergeCell ref="AH234:AJ234"/>
    <mergeCell ref="AK234:AO234"/>
    <mergeCell ref="AS236:AU236"/>
    <mergeCell ref="AV236:AW236"/>
    <mergeCell ref="AP232:AS232"/>
    <mergeCell ref="B233:F233"/>
    <mergeCell ref="G233:U233"/>
    <mergeCell ref="V233:Y233"/>
    <mergeCell ref="AA233:AB233"/>
    <mergeCell ref="AC233:AE233"/>
    <mergeCell ref="AK233:AO233"/>
    <mergeCell ref="AP233:AS233"/>
    <mergeCell ref="B232:F232"/>
    <mergeCell ref="G232:U232"/>
    <mergeCell ref="V232:Y232"/>
    <mergeCell ref="AA232:AE232"/>
    <mergeCell ref="AF232:AJ233"/>
    <mergeCell ref="AK232:AO232"/>
    <mergeCell ref="AK230:AO230"/>
    <mergeCell ref="AP230:AS230"/>
    <mergeCell ref="B231:F231"/>
    <mergeCell ref="G231:U231"/>
    <mergeCell ref="V231:Y231"/>
    <mergeCell ref="AA231:AE231"/>
    <mergeCell ref="AF231:AH231"/>
    <mergeCell ref="AI231:AJ231"/>
    <mergeCell ref="AK231:AO231"/>
    <mergeCell ref="AP231:AS231"/>
    <mergeCell ref="B230:F230"/>
    <mergeCell ref="G230:U230"/>
    <mergeCell ref="V230:Y230"/>
    <mergeCell ref="AA230:AE230"/>
    <mergeCell ref="AF230:AH230"/>
    <mergeCell ref="AI230:AJ230"/>
    <mergeCell ref="AK228:AO228"/>
    <mergeCell ref="AP228:AS228"/>
    <mergeCell ref="B229:F229"/>
    <mergeCell ref="G229:U229"/>
    <mergeCell ref="V229:Y229"/>
    <mergeCell ref="AA229:AE229"/>
    <mergeCell ref="AF229:AH229"/>
    <mergeCell ref="AI229:AJ229"/>
    <mergeCell ref="AK229:AO229"/>
    <mergeCell ref="AP229:AS229"/>
    <mergeCell ref="B228:F228"/>
    <mergeCell ref="G228:U228"/>
    <mergeCell ref="V228:Y228"/>
    <mergeCell ref="AA228:AE228"/>
    <mergeCell ref="AF228:AH228"/>
    <mergeCell ref="AI228:AJ228"/>
    <mergeCell ref="AK226:AO226"/>
    <mergeCell ref="AP226:AS226"/>
    <mergeCell ref="B227:F227"/>
    <mergeCell ref="G227:U227"/>
    <mergeCell ref="V227:Y227"/>
    <mergeCell ref="AA227:AE227"/>
    <mergeCell ref="AF227:AH227"/>
    <mergeCell ref="AI227:AJ227"/>
    <mergeCell ref="AK227:AO227"/>
    <mergeCell ref="AP227:AS227"/>
    <mergeCell ref="B226:F226"/>
    <mergeCell ref="G226:U226"/>
    <mergeCell ref="V226:Y226"/>
    <mergeCell ref="AA226:AE226"/>
    <mergeCell ref="AF226:AH226"/>
    <mergeCell ref="AI226:AJ226"/>
    <mergeCell ref="AA224:AE224"/>
    <mergeCell ref="AF224:AH224"/>
    <mergeCell ref="AI224:AJ224"/>
    <mergeCell ref="AK222:AO222"/>
    <mergeCell ref="AP222:AS222"/>
    <mergeCell ref="B223:F223"/>
    <mergeCell ref="G223:U223"/>
    <mergeCell ref="V223:Y223"/>
    <mergeCell ref="AA223:AE223"/>
    <mergeCell ref="AF223:AH223"/>
    <mergeCell ref="AI223:AJ223"/>
    <mergeCell ref="AK223:AO223"/>
    <mergeCell ref="AP223:AS223"/>
    <mergeCell ref="B222:F222"/>
    <mergeCell ref="G222:U222"/>
    <mergeCell ref="V222:Y222"/>
    <mergeCell ref="AA222:AE222"/>
    <mergeCell ref="AF222:AH222"/>
    <mergeCell ref="AI222:AJ222"/>
    <mergeCell ref="AP220:AS220"/>
    <mergeCell ref="B221:F221"/>
    <mergeCell ref="G221:U221"/>
    <mergeCell ref="V221:Y221"/>
    <mergeCell ref="AA221:AE221"/>
    <mergeCell ref="AF221:AH221"/>
    <mergeCell ref="AI221:AJ221"/>
    <mergeCell ref="AK221:AO221"/>
    <mergeCell ref="AP221:AS221"/>
    <mergeCell ref="AK218:AO219"/>
    <mergeCell ref="AP218:AS219"/>
    <mergeCell ref="AT218:AV233"/>
    <mergeCell ref="B220:F220"/>
    <mergeCell ref="G220:U220"/>
    <mergeCell ref="V220:Y220"/>
    <mergeCell ref="AA220:AE220"/>
    <mergeCell ref="AF220:AH220"/>
    <mergeCell ref="AI220:AJ220"/>
    <mergeCell ref="AK220:AO220"/>
    <mergeCell ref="AK224:AO224"/>
    <mergeCell ref="AP224:AS224"/>
    <mergeCell ref="B225:F225"/>
    <mergeCell ref="G225:U225"/>
    <mergeCell ref="V225:Y225"/>
    <mergeCell ref="AA225:AE225"/>
    <mergeCell ref="AF225:AH225"/>
    <mergeCell ref="AI225:AJ225"/>
    <mergeCell ref="AK225:AO225"/>
    <mergeCell ref="AP225:AS225"/>
    <mergeCell ref="B224:F224"/>
    <mergeCell ref="G224:U224"/>
    <mergeCell ref="V224:Y224"/>
    <mergeCell ref="AP215:AS215"/>
    <mergeCell ref="AK213:AO213"/>
    <mergeCell ref="AP213:AS213"/>
    <mergeCell ref="B214:F214"/>
    <mergeCell ref="G214:U214"/>
    <mergeCell ref="V214:Y214"/>
    <mergeCell ref="AA214:AE214"/>
    <mergeCell ref="AF214:AJ215"/>
    <mergeCell ref="AK214:AO214"/>
    <mergeCell ref="AP214:AS214"/>
    <mergeCell ref="B215:F215"/>
    <mergeCell ref="B213:F213"/>
    <mergeCell ref="G213:U213"/>
    <mergeCell ref="V213:Y213"/>
    <mergeCell ref="AA213:AE213"/>
    <mergeCell ref="AF213:AH213"/>
    <mergeCell ref="AI213:AJ213"/>
    <mergeCell ref="B209:F209"/>
    <mergeCell ref="G209:U209"/>
    <mergeCell ref="V209:Y209"/>
    <mergeCell ref="AA209:AE209"/>
    <mergeCell ref="AF209:AH209"/>
    <mergeCell ref="AI209:AJ209"/>
    <mergeCell ref="AC216:AD216"/>
    <mergeCell ref="AE216:AG216"/>
    <mergeCell ref="AH216:AJ216"/>
    <mergeCell ref="AK216:AO216"/>
    <mergeCell ref="B218:F219"/>
    <mergeCell ref="G218:U219"/>
    <mergeCell ref="V218:Z219"/>
    <mergeCell ref="AA218:AE219"/>
    <mergeCell ref="AF218:AH219"/>
    <mergeCell ref="AI218:AJ219"/>
    <mergeCell ref="G215:U215"/>
    <mergeCell ref="V215:Y215"/>
    <mergeCell ref="AA215:AB215"/>
    <mergeCell ref="AC215:AE215"/>
    <mergeCell ref="AK215:AO215"/>
    <mergeCell ref="B205:F205"/>
    <mergeCell ref="G205:U205"/>
    <mergeCell ref="V205:Y205"/>
    <mergeCell ref="AA205:AE205"/>
    <mergeCell ref="AF205:AH205"/>
    <mergeCell ref="AI205:AJ205"/>
    <mergeCell ref="AK211:AO211"/>
    <mergeCell ref="AP211:AS211"/>
    <mergeCell ref="B212:F212"/>
    <mergeCell ref="G212:U212"/>
    <mergeCell ref="V212:Y212"/>
    <mergeCell ref="AA212:AE212"/>
    <mergeCell ref="AF212:AH212"/>
    <mergeCell ref="AI212:AJ212"/>
    <mergeCell ref="AK212:AO212"/>
    <mergeCell ref="AP212:AS212"/>
    <mergeCell ref="B211:F211"/>
    <mergeCell ref="G211:U211"/>
    <mergeCell ref="V211:Y211"/>
    <mergeCell ref="AA211:AE211"/>
    <mergeCell ref="AF211:AH211"/>
    <mergeCell ref="AI211:AJ211"/>
    <mergeCell ref="AK209:AO209"/>
    <mergeCell ref="AP209:AS209"/>
    <mergeCell ref="B210:F210"/>
    <mergeCell ref="G210:U210"/>
    <mergeCell ref="V210:Y210"/>
    <mergeCell ref="AA210:AE210"/>
    <mergeCell ref="AF210:AH210"/>
    <mergeCell ref="AI210:AJ210"/>
    <mergeCell ref="AK210:AO210"/>
    <mergeCell ref="AP210:AS210"/>
    <mergeCell ref="AF204:AH204"/>
    <mergeCell ref="AI204:AJ204"/>
    <mergeCell ref="AK204:AO204"/>
    <mergeCell ref="AP204:AS204"/>
    <mergeCell ref="B203:F203"/>
    <mergeCell ref="G203:U203"/>
    <mergeCell ref="V203:Y203"/>
    <mergeCell ref="AA203:AE203"/>
    <mergeCell ref="AF203:AH203"/>
    <mergeCell ref="AI203:AJ203"/>
    <mergeCell ref="AP200:AS201"/>
    <mergeCell ref="AS197:AU197"/>
    <mergeCell ref="AV197:AW197"/>
    <mergeCell ref="AI208:AJ208"/>
    <mergeCell ref="AK208:AO208"/>
    <mergeCell ref="AP208:AS208"/>
    <mergeCell ref="B207:F207"/>
    <mergeCell ref="G207:U207"/>
    <mergeCell ref="V207:Y207"/>
    <mergeCell ref="AA207:AE207"/>
    <mergeCell ref="AF207:AH207"/>
    <mergeCell ref="AI207:AJ207"/>
    <mergeCell ref="AK205:AO205"/>
    <mergeCell ref="AP205:AS205"/>
    <mergeCell ref="B206:F206"/>
    <mergeCell ref="G206:U206"/>
    <mergeCell ref="V206:Y206"/>
    <mergeCell ref="AA206:AE206"/>
    <mergeCell ref="AF206:AH206"/>
    <mergeCell ref="AI206:AJ206"/>
    <mergeCell ref="AK206:AO206"/>
    <mergeCell ref="AP206:AS206"/>
    <mergeCell ref="AT200:AV215"/>
    <mergeCell ref="B202:F202"/>
    <mergeCell ref="G202:U202"/>
    <mergeCell ref="V202:Y202"/>
    <mergeCell ref="AA202:AE202"/>
    <mergeCell ref="AF202:AH202"/>
    <mergeCell ref="AI202:AJ202"/>
    <mergeCell ref="AK202:AO202"/>
    <mergeCell ref="AP202:AS202"/>
    <mergeCell ref="AK207:AO207"/>
    <mergeCell ref="AP207:AS207"/>
    <mergeCell ref="B208:F208"/>
    <mergeCell ref="G208:U208"/>
    <mergeCell ref="V208:Y208"/>
    <mergeCell ref="AA208:AE208"/>
    <mergeCell ref="AF208:AH208"/>
    <mergeCell ref="AY197:AZ197"/>
    <mergeCell ref="AO199:AU199"/>
    <mergeCell ref="AV199:AZ199"/>
    <mergeCell ref="B200:F201"/>
    <mergeCell ref="G200:U201"/>
    <mergeCell ref="V200:Z201"/>
    <mergeCell ref="AA200:AE201"/>
    <mergeCell ref="AF200:AH201"/>
    <mergeCell ref="AI200:AJ201"/>
    <mergeCell ref="AK200:AO201"/>
    <mergeCell ref="AK203:AO203"/>
    <mergeCell ref="AP203:AS203"/>
    <mergeCell ref="B204:F204"/>
    <mergeCell ref="G204:U204"/>
    <mergeCell ref="V204:Y204"/>
    <mergeCell ref="AA204:AE204"/>
    <mergeCell ref="G190:U190"/>
    <mergeCell ref="V190:Y190"/>
    <mergeCell ref="AA190:AE190"/>
    <mergeCell ref="AF190:AH190"/>
    <mergeCell ref="AI190:AJ190"/>
    <mergeCell ref="AK190:AO190"/>
    <mergeCell ref="AP190:AS190"/>
    <mergeCell ref="B189:F189"/>
    <mergeCell ref="G189:U189"/>
    <mergeCell ref="V189:Y189"/>
    <mergeCell ref="AA189:AE189"/>
    <mergeCell ref="AF189:AH189"/>
    <mergeCell ref="AI189:AJ189"/>
    <mergeCell ref="AC195:AD195"/>
    <mergeCell ref="AE195:AG195"/>
    <mergeCell ref="AH195:AJ195"/>
    <mergeCell ref="AK195:AO195"/>
    <mergeCell ref="AP193:AS193"/>
    <mergeCell ref="B194:F194"/>
    <mergeCell ref="G194:U194"/>
    <mergeCell ref="V194:Y194"/>
    <mergeCell ref="AA194:AB194"/>
    <mergeCell ref="AC194:AE194"/>
    <mergeCell ref="AK194:AO194"/>
    <mergeCell ref="AP194:AS194"/>
    <mergeCell ref="B193:F193"/>
    <mergeCell ref="G193:U193"/>
    <mergeCell ref="V193:Y193"/>
    <mergeCell ref="AA193:AE193"/>
    <mergeCell ref="AF193:AJ194"/>
    <mergeCell ref="AK193:AO193"/>
    <mergeCell ref="G186:U186"/>
    <mergeCell ref="V186:Y186"/>
    <mergeCell ref="AA186:AE186"/>
    <mergeCell ref="AF186:AH186"/>
    <mergeCell ref="AI186:AJ186"/>
    <mergeCell ref="AK186:AO186"/>
    <mergeCell ref="AP186:AS186"/>
    <mergeCell ref="B185:F185"/>
    <mergeCell ref="G185:U185"/>
    <mergeCell ref="V185:Y185"/>
    <mergeCell ref="AA185:AE185"/>
    <mergeCell ref="AF185:AH185"/>
    <mergeCell ref="AI185:AJ185"/>
    <mergeCell ref="AK191:AO191"/>
    <mergeCell ref="AP191:AS191"/>
    <mergeCell ref="B192:F192"/>
    <mergeCell ref="G192:U192"/>
    <mergeCell ref="V192:Y192"/>
    <mergeCell ref="AA192:AE192"/>
    <mergeCell ref="AF192:AH192"/>
    <mergeCell ref="AI192:AJ192"/>
    <mergeCell ref="AK192:AO192"/>
    <mergeCell ref="AP192:AS192"/>
    <mergeCell ref="B191:F191"/>
    <mergeCell ref="G191:U191"/>
    <mergeCell ref="V191:Y191"/>
    <mergeCell ref="AA191:AE191"/>
    <mergeCell ref="AF191:AH191"/>
    <mergeCell ref="AI191:AJ191"/>
    <mergeCell ref="AK189:AO189"/>
    <mergeCell ref="AP189:AS189"/>
    <mergeCell ref="B190:F190"/>
    <mergeCell ref="V183:Y183"/>
    <mergeCell ref="AA183:AE183"/>
    <mergeCell ref="AF183:AH183"/>
    <mergeCell ref="AI183:AJ183"/>
    <mergeCell ref="AP181:AS181"/>
    <mergeCell ref="B182:F182"/>
    <mergeCell ref="G182:U182"/>
    <mergeCell ref="V182:Y182"/>
    <mergeCell ref="AA182:AE182"/>
    <mergeCell ref="AF182:AH182"/>
    <mergeCell ref="AI182:AJ182"/>
    <mergeCell ref="AK182:AO182"/>
    <mergeCell ref="AP182:AS182"/>
    <mergeCell ref="AK187:AO187"/>
    <mergeCell ref="AP187:AS187"/>
    <mergeCell ref="B188:F188"/>
    <mergeCell ref="G188:U188"/>
    <mergeCell ref="V188:Y188"/>
    <mergeCell ref="AA188:AE188"/>
    <mergeCell ref="AF188:AH188"/>
    <mergeCell ref="AI188:AJ188"/>
    <mergeCell ref="AK188:AO188"/>
    <mergeCell ref="AP188:AS188"/>
    <mergeCell ref="B187:F187"/>
    <mergeCell ref="G187:U187"/>
    <mergeCell ref="V187:Y187"/>
    <mergeCell ref="AA187:AE187"/>
    <mergeCell ref="AF187:AH187"/>
    <mergeCell ref="AI187:AJ187"/>
    <mergeCell ref="AK185:AO185"/>
    <mergeCell ref="AP185:AS185"/>
    <mergeCell ref="B186:F186"/>
    <mergeCell ref="AK179:AO180"/>
    <mergeCell ref="AP179:AS180"/>
    <mergeCell ref="AT179:AV194"/>
    <mergeCell ref="B181:F181"/>
    <mergeCell ref="G181:U181"/>
    <mergeCell ref="V181:Y181"/>
    <mergeCell ref="AA181:AE181"/>
    <mergeCell ref="AF181:AH181"/>
    <mergeCell ref="AI181:AJ181"/>
    <mergeCell ref="AK181:AO181"/>
    <mergeCell ref="AC177:AD177"/>
    <mergeCell ref="AE177:AG177"/>
    <mergeCell ref="AH177:AJ177"/>
    <mergeCell ref="AK177:AO177"/>
    <mergeCell ref="B179:F180"/>
    <mergeCell ref="G179:U180"/>
    <mergeCell ref="V179:Z180"/>
    <mergeCell ref="AA179:AE180"/>
    <mergeCell ref="AF179:AH180"/>
    <mergeCell ref="AI179:AJ180"/>
    <mergeCell ref="AK183:AO183"/>
    <mergeCell ref="AP183:AS183"/>
    <mergeCell ref="B184:F184"/>
    <mergeCell ref="G184:U184"/>
    <mergeCell ref="V184:Y184"/>
    <mergeCell ref="AA184:AE184"/>
    <mergeCell ref="AF184:AH184"/>
    <mergeCell ref="AI184:AJ184"/>
    <mergeCell ref="AK184:AO184"/>
    <mergeCell ref="AP184:AS184"/>
    <mergeCell ref="B183:F183"/>
    <mergeCell ref="G183:U183"/>
    <mergeCell ref="B170:F170"/>
    <mergeCell ref="G170:U170"/>
    <mergeCell ref="V170:Y170"/>
    <mergeCell ref="AA170:AE170"/>
    <mergeCell ref="AF170:AH170"/>
    <mergeCell ref="AI170:AJ170"/>
    <mergeCell ref="G176:U176"/>
    <mergeCell ref="V176:Y176"/>
    <mergeCell ref="AA176:AB176"/>
    <mergeCell ref="AC176:AE176"/>
    <mergeCell ref="AK176:AO176"/>
    <mergeCell ref="AP176:AS176"/>
    <mergeCell ref="AK174:AO174"/>
    <mergeCell ref="AP174:AS174"/>
    <mergeCell ref="B175:F175"/>
    <mergeCell ref="G175:U175"/>
    <mergeCell ref="V175:Y175"/>
    <mergeCell ref="AA175:AE175"/>
    <mergeCell ref="AF175:AJ176"/>
    <mergeCell ref="AK175:AO175"/>
    <mergeCell ref="AP175:AS175"/>
    <mergeCell ref="B176:F176"/>
    <mergeCell ref="B174:F174"/>
    <mergeCell ref="G174:U174"/>
    <mergeCell ref="V174:Y174"/>
    <mergeCell ref="AA174:AE174"/>
    <mergeCell ref="AF174:AH174"/>
    <mergeCell ref="AI174:AJ174"/>
    <mergeCell ref="B166:F166"/>
    <mergeCell ref="G166:U166"/>
    <mergeCell ref="V166:Y166"/>
    <mergeCell ref="AA166:AE166"/>
    <mergeCell ref="AF166:AH166"/>
    <mergeCell ref="AI166:AJ166"/>
    <mergeCell ref="AK172:AO172"/>
    <mergeCell ref="AP172:AS172"/>
    <mergeCell ref="B173:F173"/>
    <mergeCell ref="G173:U173"/>
    <mergeCell ref="V173:Y173"/>
    <mergeCell ref="AA173:AE173"/>
    <mergeCell ref="AF173:AH173"/>
    <mergeCell ref="AI173:AJ173"/>
    <mergeCell ref="AK173:AO173"/>
    <mergeCell ref="AP173:AS173"/>
    <mergeCell ref="B172:F172"/>
    <mergeCell ref="G172:U172"/>
    <mergeCell ref="V172:Y172"/>
    <mergeCell ref="AA172:AE172"/>
    <mergeCell ref="AF172:AH172"/>
    <mergeCell ref="AI172:AJ172"/>
    <mergeCell ref="AK170:AO170"/>
    <mergeCell ref="AP170:AS170"/>
    <mergeCell ref="B171:F171"/>
    <mergeCell ref="G171:U171"/>
    <mergeCell ref="V171:Y171"/>
    <mergeCell ref="AA171:AE171"/>
    <mergeCell ref="AF171:AH171"/>
    <mergeCell ref="AI171:AJ171"/>
    <mergeCell ref="AK171:AO171"/>
    <mergeCell ref="AP171:AS171"/>
    <mergeCell ref="AF165:AH165"/>
    <mergeCell ref="AI165:AJ165"/>
    <mergeCell ref="AK165:AO165"/>
    <mergeCell ref="AP165:AS165"/>
    <mergeCell ref="B164:F164"/>
    <mergeCell ref="G164:U164"/>
    <mergeCell ref="V164:Y164"/>
    <mergeCell ref="AA164:AE164"/>
    <mergeCell ref="AF164:AH164"/>
    <mergeCell ref="AI164:AJ164"/>
    <mergeCell ref="AP161:AS162"/>
    <mergeCell ref="AS158:AU158"/>
    <mergeCell ref="AV158:AW158"/>
    <mergeCell ref="AI169:AJ169"/>
    <mergeCell ref="AK169:AO169"/>
    <mergeCell ref="AP169:AS169"/>
    <mergeCell ref="B168:F168"/>
    <mergeCell ref="G168:U168"/>
    <mergeCell ref="V168:Y168"/>
    <mergeCell ref="AA168:AE168"/>
    <mergeCell ref="AF168:AH168"/>
    <mergeCell ref="AI168:AJ168"/>
    <mergeCell ref="AK166:AO166"/>
    <mergeCell ref="AP166:AS166"/>
    <mergeCell ref="B167:F167"/>
    <mergeCell ref="G167:U167"/>
    <mergeCell ref="V167:Y167"/>
    <mergeCell ref="AA167:AE167"/>
    <mergeCell ref="AF167:AH167"/>
    <mergeCell ref="AI167:AJ167"/>
    <mergeCell ref="AK167:AO167"/>
    <mergeCell ref="AP167:AS167"/>
    <mergeCell ref="AT161:AV176"/>
    <mergeCell ref="B163:F163"/>
    <mergeCell ref="G163:U163"/>
    <mergeCell ref="V163:Y163"/>
    <mergeCell ref="AA163:AE163"/>
    <mergeCell ref="AF163:AH163"/>
    <mergeCell ref="AI163:AJ163"/>
    <mergeCell ref="AK163:AO163"/>
    <mergeCell ref="AP163:AS163"/>
    <mergeCell ref="AK168:AO168"/>
    <mergeCell ref="AP168:AS168"/>
    <mergeCell ref="B169:F169"/>
    <mergeCell ref="G169:U169"/>
    <mergeCell ref="V169:Y169"/>
    <mergeCell ref="AA169:AE169"/>
    <mergeCell ref="AF169:AH169"/>
    <mergeCell ref="AY158:AZ158"/>
    <mergeCell ref="AO160:AU160"/>
    <mergeCell ref="AV160:AZ160"/>
    <mergeCell ref="B161:F162"/>
    <mergeCell ref="G161:U162"/>
    <mergeCell ref="V161:Z162"/>
    <mergeCell ref="AA161:AE162"/>
    <mergeCell ref="AF161:AH162"/>
    <mergeCell ref="AI161:AJ162"/>
    <mergeCell ref="AK161:AO162"/>
    <mergeCell ref="AK164:AO164"/>
    <mergeCell ref="AP164:AS164"/>
    <mergeCell ref="B165:F165"/>
    <mergeCell ref="G165:U165"/>
    <mergeCell ref="V165:Y165"/>
    <mergeCell ref="AA165:AE165"/>
    <mergeCell ref="G151:U151"/>
    <mergeCell ref="V151:Y151"/>
    <mergeCell ref="AA151:AE151"/>
    <mergeCell ref="AF151:AH151"/>
    <mergeCell ref="AI151:AJ151"/>
    <mergeCell ref="AK151:AO151"/>
    <mergeCell ref="AP151:AS151"/>
    <mergeCell ref="B150:F150"/>
    <mergeCell ref="G150:U150"/>
    <mergeCell ref="V150:Y150"/>
    <mergeCell ref="AA150:AE150"/>
    <mergeCell ref="AF150:AH150"/>
    <mergeCell ref="AI150:AJ150"/>
    <mergeCell ref="AC156:AD156"/>
    <mergeCell ref="AE156:AG156"/>
    <mergeCell ref="AH156:AJ156"/>
    <mergeCell ref="AK156:AO156"/>
    <mergeCell ref="AP154:AS154"/>
    <mergeCell ref="B155:F155"/>
    <mergeCell ref="G155:U155"/>
    <mergeCell ref="V155:Y155"/>
    <mergeCell ref="AA155:AB155"/>
    <mergeCell ref="AC155:AE155"/>
    <mergeCell ref="AK155:AO155"/>
    <mergeCell ref="AP155:AS155"/>
    <mergeCell ref="B154:F154"/>
    <mergeCell ref="G154:U154"/>
    <mergeCell ref="V154:Y154"/>
    <mergeCell ref="AA154:AE154"/>
    <mergeCell ref="AF154:AJ155"/>
    <mergeCell ref="AK154:AO154"/>
    <mergeCell ref="G147:U147"/>
    <mergeCell ref="V147:Y147"/>
    <mergeCell ref="AA147:AE147"/>
    <mergeCell ref="AF147:AH147"/>
    <mergeCell ref="AI147:AJ147"/>
    <mergeCell ref="AK147:AO147"/>
    <mergeCell ref="AP147:AS147"/>
    <mergeCell ref="B146:F146"/>
    <mergeCell ref="G146:U146"/>
    <mergeCell ref="V146:Y146"/>
    <mergeCell ref="AA146:AE146"/>
    <mergeCell ref="AF146:AH146"/>
    <mergeCell ref="AI146:AJ146"/>
    <mergeCell ref="AK152:AO152"/>
    <mergeCell ref="AP152:AS152"/>
    <mergeCell ref="B153:F153"/>
    <mergeCell ref="G153:U153"/>
    <mergeCell ref="V153:Y153"/>
    <mergeCell ref="AA153:AE153"/>
    <mergeCell ref="AF153:AH153"/>
    <mergeCell ref="AI153:AJ153"/>
    <mergeCell ref="AK153:AO153"/>
    <mergeCell ref="AP153:AS153"/>
    <mergeCell ref="B152:F152"/>
    <mergeCell ref="G152:U152"/>
    <mergeCell ref="V152:Y152"/>
    <mergeCell ref="AA152:AE152"/>
    <mergeCell ref="AF152:AH152"/>
    <mergeCell ref="AI152:AJ152"/>
    <mergeCell ref="AK150:AO150"/>
    <mergeCell ref="AP150:AS150"/>
    <mergeCell ref="B151:F151"/>
    <mergeCell ref="V144:Y144"/>
    <mergeCell ref="AA144:AE144"/>
    <mergeCell ref="AF144:AH144"/>
    <mergeCell ref="AI144:AJ144"/>
    <mergeCell ref="AP142:AS142"/>
    <mergeCell ref="B143:F143"/>
    <mergeCell ref="G143:U143"/>
    <mergeCell ref="V143:Y143"/>
    <mergeCell ref="AA143:AE143"/>
    <mergeCell ref="AF143:AH143"/>
    <mergeCell ref="AI143:AJ143"/>
    <mergeCell ref="AK143:AO143"/>
    <mergeCell ref="AP143:AS143"/>
    <mergeCell ref="AK148:AO148"/>
    <mergeCell ref="AP148:AS148"/>
    <mergeCell ref="B149:F149"/>
    <mergeCell ref="G149:U149"/>
    <mergeCell ref="V149:Y149"/>
    <mergeCell ref="AA149:AE149"/>
    <mergeCell ref="AF149:AH149"/>
    <mergeCell ref="AI149:AJ149"/>
    <mergeCell ref="AK149:AO149"/>
    <mergeCell ref="AP149:AS149"/>
    <mergeCell ref="B148:F148"/>
    <mergeCell ref="G148:U148"/>
    <mergeCell ref="V148:Y148"/>
    <mergeCell ref="AA148:AE148"/>
    <mergeCell ref="AF148:AH148"/>
    <mergeCell ref="AI148:AJ148"/>
    <mergeCell ref="AK146:AO146"/>
    <mergeCell ref="AP146:AS146"/>
    <mergeCell ref="B147:F147"/>
    <mergeCell ref="AK140:AO141"/>
    <mergeCell ref="AP140:AS141"/>
    <mergeCell ref="AT140:AV155"/>
    <mergeCell ref="B142:F142"/>
    <mergeCell ref="G142:U142"/>
    <mergeCell ref="V142:Y142"/>
    <mergeCell ref="AA142:AE142"/>
    <mergeCell ref="AF142:AH142"/>
    <mergeCell ref="AI142:AJ142"/>
    <mergeCell ref="AK142:AO142"/>
    <mergeCell ref="AC138:AD138"/>
    <mergeCell ref="AE138:AG138"/>
    <mergeCell ref="AH138:AJ138"/>
    <mergeCell ref="AK138:AO138"/>
    <mergeCell ref="B140:F141"/>
    <mergeCell ref="G140:U141"/>
    <mergeCell ref="V140:Z141"/>
    <mergeCell ref="AA140:AE141"/>
    <mergeCell ref="AF140:AH141"/>
    <mergeCell ref="AI140:AJ141"/>
    <mergeCell ref="AK144:AO144"/>
    <mergeCell ref="AP144:AS144"/>
    <mergeCell ref="B145:F145"/>
    <mergeCell ref="G145:U145"/>
    <mergeCell ref="V145:Y145"/>
    <mergeCell ref="AA145:AE145"/>
    <mergeCell ref="AF145:AH145"/>
    <mergeCell ref="AI145:AJ145"/>
    <mergeCell ref="AK145:AO145"/>
    <mergeCell ref="AP145:AS145"/>
    <mergeCell ref="B144:F144"/>
    <mergeCell ref="G144:U144"/>
    <mergeCell ref="B131:F131"/>
    <mergeCell ref="G131:U131"/>
    <mergeCell ref="V131:Y131"/>
    <mergeCell ref="AA131:AE131"/>
    <mergeCell ref="AF131:AH131"/>
    <mergeCell ref="AI131:AJ131"/>
    <mergeCell ref="G137:U137"/>
    <mergeCell ref="V137:Y137"/>
    <mergeCell ref="AA137:AB137"/>
    <mergeCell ref="AC137:AE137"/>
    <mergeCell ref="AK137:AO137"/>
    <mergeCell ref="AP137:AS137"/>
    <mergeCell ref="AK135:AO135"/>
    <mergeCell ref="AP135:AS135"/>
    <mergeCell ref="B136:F136"/>
    <mergeCell ref="G136:U136"/>
    <mergeCell ref="V136:Y136"/>
    <mergeCell ref="AA136:AE136"/>
    <mergeCell ref="AF136:AJ137"/>
    <mergeCell ref="AK136:AO136"/>
    <mergeCell ref="AP136:AS136"/>
    <mergeCell ref="B137:F137"/>
    <mergeCell ref="B135:F135"/>
    <mergeCell ref="G135:U135"/>
    <mergeCell ref="V135:Y135"/>
    <mergeCell ref="AA135:AE135"/>
    <mergeCell ref="AF135:AH135"/>
    <mergeCell ref="AI135:AJ135"/>
    <mergeCell ref="B127:F127"/>
    <mergeCell ref="G127:U127"/>
    <mergeCell ref="V127:Y127"/>
    <mergeCell ref="AA127:AE127"/>
    <mergeCell ref="AF127:AH127"/>
    <mergeCell ref="AI127:AJ127"/>
    <mergeCell ref="AK133:AO133"/>
    <mergeCell ref="AP133:AS133"/>
    <mergeCell ref="B134:F134"/>
    <mergeCell ref="G134:U134"/>
    <mergeCell ref="V134:Y134"/>
    <mergeCell ref="AA134:AE134"/>
    <mergeCell ref="AF134:AH134"/>
    <mergeCell ref="AI134:AJ134"/>
    <mergeCell ref="AK134:AO134"/>
    <mergeCell ref="AP134:AS134"/>
    <mergeCell ref="B133:F133"/>
    <mergeCell ref="G133:U133"/>
    <mergeCell ref="V133:Y133"/>
    <mergeCell ref="AA133:AE133"/>
    <mergeCell ref="AF133:AH133"/>
    <mergeCell ref="AI133:AJ133"/>
    <mergeCell ref="AK131:AO131"/>
    <mergeCell ref="AP131:AS131"/>
    <mergeCell ref="B132:F132"/>
    <mergeCell ref="G132:U132"/>
    <mergeCell ref="V132:Y132"/>
    <mergeCell ref="AA132:AE132"/>
    <mergeCell ref="AF132:AH132"/>
    <mergeCell ref="AI132:AJ132"/>
    <mergeCell ref="AK132:AO132"/>
    <mergeCell ref="AP132:AS132"/>
    <mergeCell ref="AF126:AH126"/>
    <mergeCell ref="AI126:AJ126"/>
    <mergeCell ref="AK126:AO126"/>
    <mergeCell ref="AP126:AS126"/>
    <mergeCell ref="B125:F125"/>
    <mergeCell ref="G125:U125"/>
    <mergeCell ref="V125:Y125"/>
    <mergeCell ref="AA125:AE125"/>
    <mergeCell ref="AF125:AH125"/>
    <mergeCell ref="AI125:AJ125"/>
    <mergeCell ref="AP122:AS123"/>
    <mergeCell ref="AS119:AU119"/>
    <mergeCell ref="AV119:AW119"/>
    <mergeCell ref="AI130:AJ130"/>
    <mergeCell ref="AK130:AO130"/>
    <mergeCell ref="AP130:AS130"/>
    <mergeCell ref="B129:F129"/>
    <mergeCell ref="G129:U129"/>
    <mergeCell ref="V129:Y129"/>
    <mergeCell ref="AA129:AE129"/>
    <mergeCell ref="AF129:AH129"/>
    <mergeCell ref="AI129:AJ129"/>
    <mergeCell ref="AK127:AO127"/>
    <mergeCell ref="AP127:AS127"/>
    <mergeCell ref="B128:F128"/>
    <mergeCell ref="G128:U128"/>
    <mergeCell ref="V128:Y128"/>
    <mergeCell ref="AA128:AE128"/>
    <mergeCell ref="AF128:AH128"/>
    <mergeCell ref="AI128:AJ128"/>
    <mergeCell ref="AK128:AO128"/>
    <mergeCell ref="AP128:AS128"/>
    <mergeCell ref="AT122:AV137"/>
    <mergeCell ref="B124:F124"/>
    <mergeCell ref="G124:U124"/>
    <mergeCell ref="V124:Y124"/>
    <mergeCell ref="AA124:AE124"/>
    <mergeCell ref="AF124:AH124"/>
    <mergeCell ref="AI124:AJ124"/>
    <mergeCell ref="AK124:AO124"/>
    <mergeCell ref="AP124:AS124"/>
    <mergeCell ref="AK129:AO129"/>
    <mergeCell ref="AP129:AS129"/>
    <mergeCell ref="B130:F130"/>
    <mergeCell ref="G130:U130"/>
    <mergeCell ref="V130:Y130"/>
    <mergeCell ref="AA130:AE130"/>
    <mergeCell ref="AF130:AH130"/>
    <mergeCell ref="AY119:AZ119"/>
    <mergeCell ref="AO121:AU121"/>
    <mergeCell ref="AV121:AZ121"/>
    <mergeCell ref="B122:F123"/>
    <mergeCell ref="G122:U123"/>
    <mergeCell ref="V122:Z123"/>
    <mergeCell ref="AA122:AE123"/>
    <mergeCell ref="AF122:AH123"/>
    <mergeCell ref="AI122:AJ123"/>
    <mergeCell ref="AK122:AO123"/>
    <mergeCell ref="AK125:AO125"/>
    <mergeCell ref="AP125:AS125"/>
    <mergeCell ref="B126:F126"/>
    <mergeCell ref="G126:U126"/>
    <mergeCell ref="V126:Y126"/>
    <mergeCell ref="AA126:AE126"/>
    <mergeCell ref="G112:U112"/>
    <mergeCell ref="V112:Y112"/>
    <mergeCell ref="AA112:AE112"/>
    <mergeCell ref="AF112:AH112"/>
    <mergeCell ref="AI112:AJ112"/>
    <mergeCell ref="AK112:AO112"/>
    <mergeCell ref="AP112:AS112"/>
    <mergeCell ref="B111:F111"/>
    <mergeCell ref="G111:U111"/>
    <mergeCell ref="V111:Y111"/>
    <mergeCell ref="AA111:AE111"/>
    <mergeCell ref="AF111:AH111"/>
    <mergeCell ref="AI111:AJ111"/>
    <mergeCell ref="AC117:AD117"/>
    <mergeCell ref="AE117:AG117"/>
    <mergeCell ref="AH117:AJ117"/>
    <mergeCell ref="AK117:AO117"/>
    <mergeCell ref="AP115:AS115"/>
    <mergeCell ref="B116:F116"/>
    <mergeCell ref="G116:U116"/>
    <mergeCell ref="V116:Y116"/>
    <mergeCell ref="AA116:AB116"/>
    <mergeCell ref="AC116:AE116"/>
    <mergeCell ref="AK116:AO116"/>
    <mergeCell ref="AP116:AS116"/>
    <mergeCell ref="B115:F115"/>
    <mergeCell ref="G115:U115"/>
    <mergeCell ref="V115:Y115"/>
    <mergeCell ref="AA115:AE115"/>
    <mergeCell ref="AF115:AJ116"/>
    <mergeCell ref="AK115:AO115"/>
    <mergeCell ref="G108:U108"/>
    <mergeCell ref="V108:Y108"/>
    <mergeCell ref="AA108:AE108"/>
    <mergeCell ref="AF108:AH108"/>
    <mergeCell ref="AI108:AJ108"/>
    <mergeCell ref="AK108:AO108"/>
    <mergeCell ref="AP108:AS108"/>
    <mergeCell ref="B107:F107"/>
    <mergeCell ref="G107:U107"/>
    <mergeCell ref="V107:Y107"/>
    <mergeCell ref="AA107:AE107"/>
    <mergeCell ref="AF107:AH107"/>
    <mergeCell ref="AI107:AJ107"/>
    <mergeCell ref="AK113:AO113"/>
    <mergeCell ref="AP113:AS113"/>
    <mergeCell ref="B114:F114"/>
    <mergeCell ref="G114:U114"/>
    <mergeCell ref="V114:Y114"/>
    <mergeCell ref="AA114:AE114"/>
    <mergeCell ref="AF114:AH114"/>
    <mergeCell ref="AI114:AJ114"/>
    <mergeCell ref="AK114:AO114"/>
    <mergeCell ref="AP114:AS114"/>
    <mergeCell ref="B113:F113"/>
    <mergeCell ref="G113:U113"/>
    <mergeCell ref="V113:Y113"/>
    <mergeCell ref="AA113:AE113"/>
    <mergeCell ref="AF113:AH113"/>
    <mergeCell ref="AI113:AJ113"/>
    <mergeCell ref="AK111:AO111"/>
    <mergeCell ref="AP111:AS111"/>
    <mergeCell ref="B112:F112"/>
    <mergeCell ref="V105:Y105"/>
    <mergeCell ref="AA105:AE105"/>
    <mergeCell ref="AF105:AH105"/>
    <mergeCell ref="AI105:AJ105"/>
    <mergeCell ref="AP103:AS103"/>
    <mergeCell ref="B104:F104"/>
    <mergeCell ref="G104:U104"/>
    <mergeCell ref="V104:Y104"/>
    <mergeCell ref="AA104:AE104"/>
    <mergeCell ref="AF104:AH104"/>
    <mergeCell ref="AI104:AJ104"/>
    <mergeCell ref="AK104:AO104"/>
    <mergeCell ref="AP104:AS104"/>
    <mergeCell ref="AK109:AO109"/>
    <mergeCell ref="AP109:AS109"/>
    <mergeCell ref="B110:F110"/>
    <mergeCell ref="G110:U110"/>
    <mergeCell ref="V110:Y110"/>
    <mergeCell ref="AA110:AE110"/>
    <mergeCell ref="AF110:AH110"/>
    <mergeCell ref="AI110:AJ110"/>
    <mergeCell ref="AK110:AO110"/>
    <mergeCell ref="AP110:AS110"/>
    <mergeCell ref="B109:F109"/>
    <mergeCell ref="G109:U109"/>
    <mergeCell ref="V109:Y109"/>
    <mergeCell ref="AA109:AE109"/>
    <mergeCell ref="AF109:AH109"/>
    <mergeCell ref="AI109:AJ109"/>
    <mergeCell ref="AK107:AO107"/>
    <mergeCell ref="AP107:AS107"/>
    <mergeCell ref="B108:F108"/>
    <mergeCell ref="AK101:AO102"/>
    <mergeCell ref="AP101:AS102"/>
    <mergeCell ref="AT101:AV116"/>
    <mergeCell ref="B103:F103"/>
    <mergeCell ref="G103:U103"/>
    <mergeCell ref="V103:Y103"/>
    <mergeCell ref="AA103:AE103"/>
    <mergeCell ref="AF103:AH103"/>
    <mergeCell ref="AI103:AJ103"/>
    <mergeCell ref="AK103:AO103"/>
    <mergeCell ref="AC99:AD99"/>
    <mergeCell ref="AE99:AG99"/>
    <mergeCell ref="AH99:AJ99"/>
    <mergeCell ref="AK99:AO99"/>
    <mergeCell ref="B101:F102"/>
    <mergeCell ref="G101:U102"/>
    <mergeCell ref="V101:Z102"/>
    <mergeCell ref="AA101:AE102"/>
    <mergeCell ref="AF101:AH102"/>
    <mergeCell ref="AI101:AJ102"/>
    <mergeCell ref="AK105:AO105"/>
    <mergeCell ref="AP105:AS105"/>
    <mergeCell ref="B106:F106"/>
    <mergeCell ref="G106:U106"/>
    <mergeCell ref="V106:Y106"/>
    <mergeCell ref="AA106:AE106"/>
    <mergeCell ref="AF106:AH106"/>
    <mergeCell ref="AI106:AJ106"/>
    <mergeCell ref="AK106:AO106"/>
    <mergeCell ref="AP106:AS106"/>
    <mergeCell ref="B105:F105"/>
    <mergeCell ref="G105:U105"/>
    <mergeCell ref="B92:F92"/>
    <mergeCell ref="G92:U92"/>
    <mergeCell ref="V92:Y92"/>
    <mergeCell ref="AA92:AE92"/>
    <mergeCell ref="AF92:AH92"/>
    <mergeCell ref="AI92:AJ92"/>
    <mergeCell ref="G98:U98"/>
    <mergeCell ref="V98:Y98"/>
    <mergeCell ref="AA98:AB98"/>
    <mergeCell ref="AC98:AE98"/>
    <mergeCell ref="AK98:AO98"/>
    <mergeCell ref="AP98:AS98"/>
    <mergeCell ref="AK96:AO96"/>
    <mergeCell ref="AP96:AS96"/>
    <mergeCell ref="B97:F97"/>
    <mergeCell ref="G97:U97"/>
    <mergeCell ref="V97:Y97"/>
    <mergeCell ref="AA97:AE97"/>
    <mergeCell ref="AF97:AJ98"/>
    <mergeCell ref="AK97:AO97"/>
    <mergeCell ref="AP97:AS97"/>
    <mergeCell ref="B98:F98"/>
    <mergeCell ref="B96:F96"/>
    <mergeCell ref="G96:U96"/>
    <mergeCell ref="V96:Y96"/>
    <mergeCell ref="AA96:AE96"/>
    <mergeCell ref="AF96:AH96"/>
    <mergeCell ref="AI96:AJ96"/>
    <mergeCell ref="B88:F88"/>
    <mergeCell ref="G88:U88"/>
    <mergeCell ref="V88:Y88"/>
    <mergeCell ref="AA88:AE88"/>
    <mergeCell ref="AF88:AH88"/>
    <mergeCell ref="AI88:AJ88"/>
    <mergeCell ref="AK94:AO94"/>
    <mergeCell ref="AP94:AS94"/>
    <mergeCell ref="B95:F95"/>
    <mergeCell ref="G95:U95"/>
    <mergeCell ref="V95:Y95"/>
    <mergeCell ref="AA95:AE95"/>
    <mergeCell ref="AF95:AH95"/>
    <mergeCell ref="AI95:AJ95"/>
    <mergeCell ref="AK95:AO95"/>
    <mergeCell ref="AP95:AS95"/>
    <mergeCell ref="B94:F94"/>
    <mergeCell ref="G94:U94"/>
    <mergeCell ref="V94:Y94"/>
    <mergeCell ref="AA94:AE94"/>
    <mergeCell ref="AF94:AH94"/>
    <mergeCell ref="AI94:AJ94"/>
    <mergeCell ref="AK92:AO92"/>
    <mergeCell ref="AP92:AS92"/>
    <mergeCell ref="B93:F93"/>
    <mergeCell ref="G93:U93"/>
    <mergeCell ref="V93:Y93"/>
    <mergeCell ref="AA93:AE93"/>
    <mergeCell ref="AF93:AH93"/>
    <mergeCell ref="AI93:AJ93"/>
    <mergeCell ref="AK93:AO93"/>
    <mergeCell ref="AP93:AS93"/>
    <mergeCell ref="AF87:AH87"/>
    <mergeCell ref="AI87:AJ87"/>
    <mergeCell ref="AK87:AO87"/>
    <mergeCell ref="AP87:AS87"/>
    <mergeCell ref="B86:F86"/>
    <mergeCell ref="G86:U86"/>
    <mergeCell ref="V86:Y86"/>
    <mergeCell ref="AA86:AE86"/>
    <mergeCell ref="AF86:AH86"/>
    <mergeCell ref="AI86:AJ86"/>
    <mergeCell ref="AP83:AS84"/>
    <mergeCell ref="AS80:AU80"/>
    <mergeCell ref="AV80:AW80"/>
    <mergeCell ref="AI91:AJ91"/>
    <mergeCell ref="AK91:AO91"/>
    <mergeCell ref="AP91:AS91"/>
    <mergeCell ref="B90:F90"/>
    <mergeCell ref="G90:U90"/>
    <mergeCell ref="V90:Y90"/>
    <mergeCell ref="AA90:AE90"/>
    <mergeCell ref="AF90:AH90"/>
    <mergeCell ref="AI90:AJ90"/>
    <mergeCell ref="AK88:AO88"/>
    <mergeCell ref="AP88:AS88"/>
    <mergeCell ref="B89:F89"/>
    <mergeCell ref="G89:U89"/>
    <mergeCell ref="V89:Y89"/>
    <mergeCell ref="AA89:AE89"/>
    <mergeCell ref="AF89:AH89"/>
    <mergeCell ref="AI89:AJ89"/>
    <mergeCell ref="AK89:AO89"/>
    <mergeCell ref="AP89:AS89"/>
    <mergeCell ref="AT83:AV98"/>
    <mergeCell ref="B85:F85"/>
    <mergeCell ref="G85:U85"/>
    <mergeCell ref="V85:Y85"/>
    <mergeCell ref="AA85:AE85"/>
    <mergeCell ref="AF85:AH85"/>
    <mergeCell ref="AI85:AJ85"/>
    <mergeCell ref="AK85:AO85"/>
    <mergeCell ref="AP85:AS85"/>
    <mergeCell ref="AK90:AO90"/>
    <mergeCell ref="AP90:AS90"/>
    <mergeCell ref="B91:F91"/>
    <mergeCell ref="G91:U91"/>
    <mergeCell ref="V91:Y91"/>
    <mergeCell ref="AA91:AE91"/>
    <mergeCell ref="AF91:AH91"/>
    <mergeCell ref="AY80:AZ80"/>
    <mergeCell ref="AO82:AU82"/>
    <mergeCell ref="AV82:AZ82"/>
    <mergeCell ref="B83:F84"/>
    <mergeCell ref="G83:U84"/>
    <mergeCell ref="V83:Z84"/>
    <mergeCell ref="AA83:AE84"/>
    <mergeCell ref="AF83:AH84"/>
    <mergeCell ref="AI83:AJ84"/>
    <mergeCell ref="AK83:AO84"/>
    <mergeCell ref="AK86:AO86"/>
    <mergeCell ref="AP86:AS86"/>
    <mergeCell ref="B87:F87"/>
    <mergeCell ref="G87:U87"/>
    <mergeCell ref="V87:Y87"/>
    <mergeCell ref="AA87:AE87"/>
    <mergeCell ref="G73:U73"/>
    <mergeCell ref="V73:Y73"/>
    <mergeCell ref="AA73:AE73"/>
    <mergeCell ref="AF73:AH73"/>
    <mergeCell ref="AI73:AJ73"/>
    <mergeCell ref="AK73:AO73"/>
    <mergeCell ref="AP73:AS73"/>
    <mergeCell ref="B72:F72"/>
    <mergeCell ref="G72:U72"/>
    <mergeCell ref="V72:Y72"/>
    <mergeCell ref="AA72:AE72"/>
    <mergeCell ref="AF72:AH72"/>
    <mergeCell ref="AI72:AJ72"/>
    <mergeCell ref="AC78:AD78"/>
    <mergeCell ref="AE78:AG78"/>
    <mergeCell ref="AH78:AJ78"/>
    <mergeCell ref="AK78:AO78"/>
    <mergeCell ref="AP76:AS76"/>
    <mergeCell ref="B77:F77"/>
    <mergeCell ref="G77:U77"/>
    <mergeCell ref="V77:Y77"/>
    <mergeCell ref="AA77:AB77"/>
    <mergeCell ref="AC77:AE77"/>
    <mergeCell ref="AK77:AO77"/>
    <mergeCell ref="AP77:AS77"/>
    <mergeCell ref="B76:F76"/>
    <mergeCell ref="G76:U76"/>
    <mergeCell ref="V76:Y76"/>
    <mergeCell ref="AA76:AE76"/>
    <mergeCell ref="AF76:AJ77"/>
    <mergeCell ref="AK76:AO76"/>
    <mergeCell ref="G69:U69"/>
    <mergeCell ref="V69:Y69"/>
    <mergeCell ref="AA69:AE69"/>
    <mergeCell ref="AF69:AH69"/>
    <mergeCell ref="AI69:AJ69"/>
    <mergeCell ref="AK69:AO69"/>
    <mergeCell ref="AP69:AS69"/>
    <mergeCell ref="B68:F68"/>
    <mergeCell ref="G68:U68"/>
    <mergeCell ref="V68:Y68"/>
    <mergeCell ref="AA68:AE68"/>
    <mergeCell ref="AF68:AH68"/>
    <mergeCell ref="AI68:AJ68"/>
    <mergeCell ref="AK74:AO74"/>
    <mergeCell ref="AP74:AS74"/>
    <mergeCell ref="B75:F75"/>
    <mergeCell ref="G75:U75"/>
    <mergeCell ref="V75:Y75"/>
    <mergeCell ref="AA75:AE75"/>
    <mergeCell ref="AF75:AH75"/>
    <mergeCell ref="AI75:AJ75"/>
    <mergeCell ref="AK75:AO75"/>
    <mergeCell ref="AP75:AS75"/>
    <mergeCell ref="B74:F74"/>
    <mergeCell ref="G74:U74"/>
    <mergeCell ref="V74:Y74"/>
    <mergeCell ref="AA74:AE74"/>
    <mergeCell ref="AF74:AH74"/>
    <mergeCell ref="AI74:AJ74"/>
    <mergeCell ref="AK72:AO72"/>
    <mergeCell ref="AP72:AS72"/>
    <mergeCell ref="B73:F73"/>
    <mergeCell ref="V66:Y66"/>
    <mergeCell ref="AA66:AE66"/>
    <mergeCell ref="AF66:AH66"/>
    <mergeCell ref="AI66:AJ66"/>
    <mergeCell ref="AP64:AS64"/>
    <mergeCell ref="B65:F65"/>
    <mergeCell ref="G65:U65"/>
    <mergeCell ref="V65:Y65"/>
    <mergeCell ref="AA65:AE65"/>
    <mergeCell ref="AF65:AH65"/>
    <mergeCell ref="AI65:AJ65"/>
    <mergeCell ref="AK65:AO65"/>
    <mergeCell ref="AP65:AS65"/>
    <mergeCell ref="AK70:AO70"/>
    <mergeCell ref="AP70:AS70"/>
    <mergeCell ref="B71:F71"/>
    <mergeCell ref="G71:U71"/>
    <mergeCell ref="V71:Y71"/>
    <mergeCell ref="AA71:AE71"/>
    <mergeCell ref="AF71:AH71"/>
    <mergeCell ref="AI71:AJ71"/>
    <mergeCell ref="AK71:AO71"/>
    <mergeCell ref="AP71:AS71"/>
    <mergeCell ref="B70:F70"/>
    <mergeCell ref="G70:U70"/>
    <mergeCell ref="V70:Y70"/>
    <mergeCell ref="AA70:AE70"/>
    <mergeCell ref="AF70:AH70"/>
    <mergeCell ref="AI70:AJ70"/>
    <mergeCell ref="AK68:AO68"/>
    <mergeCell ref="AP68:AS68"/>
    <mergeCell ref="B69:F69"/>
    <mergeCell ref="AK62:AO63"/>
    <mergeCell ref="AP62:AS63"/>
    <mergeCell ref="AT62:AV77"/>
    <mergeCell ref="B64:F64"/>
    <mergeCell ref="G64:U64"/>
    <mergeCell ref="V64:Y64"/>
    <mergeCell ref="AA64:AE64"/>
    <mergeCell ref="AF64:AH64"/>
    <mergeCell ref="AI64:AJ64"/>
    <mergeCell ref="AK64:AO64"/>
    <mergeCell ref="AC60:AD60"/>
    <mergeCell ref="AE60:AG60"/>
    <mergeCell ref="AH60:AJ60"/>
    <mergeCell ref="AK60:AO60"/>
    <mergeCell ref="B62:F63"/>
    <mergeCell ref="G62:U63"/>
    <mergeCell ref="V62:Z63"/>
    <mergeCell ref="AA62:AE63"/>
    <mergeCell ref="AF62:AH63"/>
    <mergeCell ref="AI62:AJ63"/>
    <mergeCell ref="AK66:AO66"/>
    <mergeCell ref="AP66:AS66"/>
    <mergeCell ref="B67:F67"/>
    <mergeCell ref="G67:U67"/>
    <mergeCell ref="V67:Y67"/>
    <mergeCell ref="AA67:AE67"/>
    <mergeCell ref="AF67:AH67"/>
    <mergeCell ref="AI67:AJ67"/>
    <mergeCell ref="AK67:AO67"/>
    <mergeCell ref="AP67:AS67"/>
    <mergeCell ref="B66:F66"/>
    <mergeCell ref="G66:U66"/>
    <mergeCell ref="AP58:AS58"/>
    <mergeCell ref="B59:F59"/>
    <mergeCell ref="G59:U59"/>
    <mergeCell ref="V59:Y59"/>
    <mergeCell ref="AA59:AB59"/>
    <mergeCell ref="AC59:AE59"/>
    <mergeCell ref="AK59:AO59"/>
    <mergeCell ref="AP59:AS59"/>
    <mergeCell ref="B58:F58"/>
    <mergeCell ref="G58:U58"/>
    <mergeCell ref="V58:Y58"/>
    <mergeCell ref="AA58:AE58"/>
    <mergeCell ref="AF58:AJ59"/>
    <mergeCell ref="AK58:AO58"/>
    <mergeCell ref="AK56:AO56"/>
    <mergeCell ref="AP56:AS56"/>
    <mergeCell ref="B57:F57"/>
    <mergeCell ref="G57:U57"/>
    <mergeCell ref="V57:Y57"/>
    <mergeCell ref="AA57:AE57"/>
    <mergeCell ref="AF57:AH57"/>
    <mergeCell ref="AI57:AJ57"/>
    <mergeCell ref="AK57:AO57"/>
    <mergeCell ref="AP57:AS57"/>
    <mergeCell ref="B56:F56"/>
    <mergeCell ref="G56:U56"/>
    <mergeCell ref="V56:Y56"/>
    <mergeCell ref="AA56:AE56"/>
    <mergeCell ref="AF56:AH56"/>
    <mergeCell ref="AI56:AJ56"/>
    <mergeCell ref="AK54:AO54"/>
    <mergeCell ref="AP54:AS54"/>
    <mergeCell ref="B55:F55"/>
    <mergeCell ref="G55:U55"/>
    <mergeCell ref="V55:Y55"/>
    <mergeCell ref="AA55:AE55"/>
    <mergeCell ref="AF55:AH55"/>
    <mergeCell ref="AI55:AJ55"/>
    <mergeCell ref="AK55:AO55"/>
    <mergeCell ref="AP55:AS55"/>
    <mergeCell ref="B54:F54"/>
    <mergeCell ref="G54:U54"/>
    <mergeCell ref="V54:Y54"/>
    <mergeCell ref="AA54:AE54"/>
    <mergeCell ref="AF54:AH54"/>
    <mergeCell ref="AI54:AJ54"/>
    <mergeCell ref="AK52:AO52"/>
    <mergeCell ref="AP52:AS52"/>
    <mergeCell ref="B53:F53"/>
    <mergeCell ref="G53:U53"/>
    <mergeCell ref="V53:Y53"/>
    <mergeCell ref="AA53:AE53"/>
    <mergeCell ref="AF53:AH53"/>
    <mergeCell ref="AI53:AJ53"/>
    <mergeCell ref="AK53:AO53"/>
    <mergeCell ref="AP53:AS53"/>
    <mergeCell ref="B52:F52"/>
    <mergeCell ref="G52:U52"/>
    <mergeCell ref="V52:Y52"/>
    <mergeCell ref="AA52:AE52"/>
    <mergeCell ref="AF52:AH52"/>
    <mergeCell ref="AI52:AJ52"/>
    <mergeCell ref="V50:Y50"/>
    <mergeCell ref="AA50:AE50"/>
    <mergeCell ref="AF50:AH50"/>
    <mergeCell ref="AI50:AJ50"/>
    <mergeCell ref="AK48:AO48"/>
    <mergeCell ref="AP48:AS48"/>
    <mergeCell ref="B49:F49"/>
    <mergeCell ref="G49:U49"/>
    <mergeCell ref="V49:Y49"/>
    <mergeCell ref="AA49:AE49"/>
    <mergeCell ref="AF49:AH49"/>
    <mergeCell ref="AI49:AJ49"/>
    <mergeCell ref="AK49:AO49"/>
    <mergeCell ref="AP49:AS49"/>
    <mergeCell ref="B48:F48"/>
    <mergeCell ref="G48:U48"/>
    <mergeCell ref="V48:Y48"/>
    <mergeCell ref="AA48:AE48"/>
    <mergeCell ref="AF48:AH48"/>
    <mergeCell ref="AI48:AJ48"/>
    <mergeCell ref="AK46:AO46"/>
    <mergeCell ref="AP46:AS46"/>
    <mergeCell ref="B47:F47"/>
    <mergeCell ref="G47:U47"/>
    <mergeCell ref="V47:Y47"/>
    <mergeCell ref="AA47:AE47"/>
    <mergeCell ref="AF47:AH47"/>
    <mergeCell ref="AI47:AJ47"/>
    <mergeCell ref="AK47:AO47"/>
    <mergeCell ref="AP47:AS47"/>
    <mergeCell ref="AI44:AJ45"/>
    <mergeCell ref="AK44:AO45"/>
    <mergeCell ref="AP44:AS45"/>
    <mergeCell ref="AT44:AV59"/>
    <mergeCell ref="B46:F46"/>
    <mergeCell ref="G46:U46"/>
    <mergeCell ref="V46:Y46"/>
    <mergeCell ref="AA46:AE46"/>
    <mergeCell ref="AF46:AH46"/>
    <mergeCell ref="AI46:AJ46"/>
    <mergeCell ref="AK50:AO50"/>
    <mergeCell ref="AP50:AS50"/>
    <mergeCell ref="B51:F51"/>
    <mergeCell ref="G51:U51"/>
    <mergeCell ref="V51:Y51"/>
    <mergeCell ref="AA51:AE51"/>
    <mergeCell ref="AF51:AH51"/>
    <mergeCell ref="AI51:AJ51"/>
    <mergeCell ref="AK51:AO51"/>
    <mergeCell ref="AP51:AS51"/>
    <mergeCell ref="B50:F50"/>
    <mergeCell ref="G50:U50"/>
    <mergeCell ref="AS41:AU41"/>
    <mergeCell ref="AV41:AW41"/>
    <mergeCell ref="AY41:AZ41"/>
    <mergeCell ref="AO43:AU43"/>
    <mergeCell ref="AV43:AZ43"/>
    <mergeCell ref="B44:F45"/>
    <mergeCell ref="G44:U45"/>
    <mergeCell ref="V44:Z45"/>
    <mergeCell ref="AA44:AE45"/>
    <mergeCell ref="AF44:AH45"/>
    <mergeCell ref="Z25:AC25"/>
    <mergeCell ref="AD25:AG25"/>
    <mergeCell ref="AH25:AK25"/>
    <mergeCell ref="AL25:AO25"/>
    <mergeCell ref="AP25:AS25"/>
    <mergeCell ref="AT25:AW25"/>
    <mergeCell ref="AD24:AG24"/>
    <mergeCell ref="AH24:AK24"/>
    <mergeCell ref="AL24:AO24"/>
    <mergeCell ref="AP24:AS24"/>
    <mergeCell ref="AT24:AW24"/>
    <mergeCell ref="B25:I25"/>
    <mergeCell ref="J25:M25"/>
    <mergeCell ref="N25:Q25"/>
    <mergeCell ref="R25:U25"/>
    <mergeCell ref="V25:Y25"/>
    <mergeCell ref="B24:I24"/>
    <mergeCell ref="J24:M24"/>
    <mergeCell ref="N24:Q24"/>
    <mergeCell ref="R24:U24"/>
    <mergeCell ref="V24:Y24"/>
    <mergeCell ref="Z24:AC24"/>
    <mergeCell ref="AP19:AS20"/>
    <mergeCell ref="AT19:AW20"/>
    <mergeCell ref="B19:E20"/>
    <mergeCell ref="F19:I20"/>
    <mergeCell ref="J19:M20"/>
    <mergeCell ref="N19:Q20"/>
    <mergeCell ref="R19:U20"/>
    <mergeCell ref="V19:Y20"/>
    <mergeCell ref="Z23:AC23"/>
    <mergeCell ref="AD23:AG23"/>
    <mergeCell ref="AH23:AK23"/>
    <mergeCell ref="AL23:AO23"/>
    <mergeCell ref="AP23:AS23"/>
    <mergeCell ref="AT23:AW23"/>
    <mergeCell ref="B23:E23"/>
    <mergeCell ref="F23:I23"/>
    <mergeCell ref="J23:M23"/>
    <mergeCell ref="N23:Q23"/>
    <mergeCell ref="R23:U23"/>
    <mergeCell ref="V23:Y23"/>
    <mergeCell ref="Z22:AC22"/>
    <mergeCell ref="AD22:AG22"/>
    <mergeCell ref="AH22:AK22"/>
    <mergeCell ref="AL22:AO22"/>
    <mergeCell ref="AP22:AS22"/>
    <mergeCell ref="AT22:AW22"/>
    <mergeCell ref="B22:E22"/>
    <mergeCell ref="F22:I22"/>
    <mergeCell ref="J22:M22"/>
    <mergeCell ref="N22:Q22"/>
    <mergeCell ref="R22:U22"/>
    <mergeCell ref="V22:Y22"/>
    <mergeCell ref="AW14:AZ14"/>
    <mergeCell ref="B15:D15"/>
    <mergeCell ref="E15:H15"/>
    <mergeCell ref="I15:L15"/>
    <mergeCell ref="M15:P15"/>
    <mergeCell ref="Q15:T15"/>
    <mergeCell ref="U15:X15"/>
    <mergeCell ref="Y15:AB15"/>
    <mergeCell ref="AC15:AF15"/>
    <mergeCell ref="AG15:AJ15"/>
    <mergeCell ref="Y14:AB14"/>
    <mergeCell ref="AC14:AF14"/>
    <mergeCell ref="AG14:AJ14"/>
    <mergeCell ref="AK14:AN14"/>
    <mergeCell ref="AO14:AR14"/>
    <mergeCell ref="AS14:AV14"/>
    <mergeCell ref="Z21:AC21"/>
    <mergeCell ref="AD21:AG21"/>
    <mergeCell ref="AH21:AK21"/>
    <mergeCell ref="AL21:AO21"/>
    <mergeCell ref="AP21:AS21"/>
    <mergeCell ref="AT21:AW21"/>
    <mergeCell ref="B21:E21"/>
    <mergeCell ref="F21:I21"/>
    <mergeCell ref="J21:M21"/>
    <mergeCell ref="N21:Q21"/>
    <mergeCell ref="R21:U21"/>
    <mergeCell ref="V21:Y21"/>
    <mergeCell ref="Z19:AC20"/>
    <mergeCell ref="AD19:AG20"/>
    <mergeCell ref="AH19:AK20"/>
    <mergeCell ref="AL19:AO20"/>
    <mergeCell ref="AK12:AN12"/>
    <mergeCell ref="AO12:AR12"/>
    <mergeCell ref="AS12:AV12"/>
    <mergeCell ref="B12:D12"/>
    <mergeCell ref="E12:H12"/>
    <mergeCell ref="I12:L12"/>
    <mergeCell ref="M12:P12"/>
    <mergeCell ref="Q12:T12"/>
    <mergeCell ref="U12:X12"/>
    <mergeCell ref="AC16:AF16"/>
    <mergeCell ref="AG16:AJ16"/>
    <mergeCell ref="AK16:AN16"/>
    <mergeCell ref="AO16:AR16"/>
    <mergeCell ref="AS16:AV16"/>
    <mergeCell ref="AK15:AN15"/>
    <mergeCell ref="AO15:AR15"/>
    <mergeCell ref="AS15:AV15"/>
    <mergeCell ref="B16:D16"/>
    <mergeCell ref="E16:H16"/>
    <mergeCell ref="I16:L16"/>
    <mergeCell ref="M16:P16"/>
    <mergeCell ref="Q16:T16"/>
    <mergeCell ref="U16:X16"/>
    <mergeCell ref="Y16:AB16"/>
    <mergeCell ref="AK10:AN10"/>
    <mergeCell ref="AO10:AR10"/>
    <mergeCell ref="AS10:AV10"/>
    <mergeCell ref="B10:D10"/>
    <mergeCell ref="E10:H10"/>
    <mergeCell ref="I10:L10"/>
    <mergeCell ref="M10:P10"/>
    <mergeCell ref="Q10:T10"/>
    <mergeCell ref="U10:X10"/>
    <mergeCell ref="AK13:AN13"/>
    <mergeCell ref="AO13:AR13"/>
    <mergeCell ref="AS13:AV13"/>
    <mergeCell ref="AW13:AZ13"/>
    <mergeCell ref="B14:D14"/>
    <mergeCell ref="E14:H14"/>
    <mergeCell ref="I14:L14"/>
    <mergeCell ref="M14:P14"/>
    <mergeCell ref="Q14:T14"/>
    <mergeCell ref="U14:X14"/>
    <mergeCell ref="AW12:AZ12"/>
    <mergeCell ref="B13:D13"/>
    <mergeCell ref="E13:H13"/>
    <mergeCell ref="I13:L13"/>
    <mergeCell ref="M13:P13"/>
    <mergeCell ref="Q13:T13"/>
    <mergeCell ref="U13:X13"/>
    <mergeCell ref="Y13:AB13"/>
    <mergeCell ref="AC13:AF13"/>
    <mergeCell ref="AG13:AJ13"/>
    <mergeCell ref="Y12:AB12"/>
    <mergeCell ref="AC12:AF12"/>
    <mergeCell ref="AG12:AJ12"/>
    <mergeCell ref="AW7:AZ8"/>
    <mergeCell ref="B8:D8"/>
    <mergeCell ref="B9:D9"/>
    <mergeCell ref="E9:H9"/>
    <mergeCell ref="I9:L9"/>
    <mergeCell ref="M9:P9"/>
    <mergeCell ref="Q9:T9"/>
    <mergeCell ref="U9:X9"/>
    <mergeCell ref="Y9:AB9"/>
    <mergeCell ref="U7:X8"/>
    <mergeCell ref="Y7:AB8"/>
    <mergeCell ref="AC7:AF8"/>
    <mergeCell ref="AG7:AJ8"/>
    <mergeCell ref="AK7:AN8"/>
    <mergeCell ref="AO7:AR8"/>
    <mergeCell ref="AK11:AN11"/>
    <mergeCell ref="AO11:AR11"/>
    <mergeCell ref="AS11:AV11"/>
    <mergeCell ref="AW11:AZ11"/>
    <mergeCell ref="AW10:AZ10"/>
    <mergeCell ref="B11:D11"/>
    <mergeCell ref="E11:H11"/>
    <mergeCell ref="I11:L11"/>
    <mergeCell ref="M11:P11"/>
    <mergeCell ref="Q11:T11"/>
    <mergeCell ref="U11:X11"/>
    <mergeCell ref="Y11:AB11"/>
    <mergeCell ref="AC11:AF11"/>
    <mergeCell ref="AG11:AJ11"/>
    <mergeCell ref="Y10:AB10"/>
    <mergeCell ref="AC10:AF10"/>
    <mergeCell ref="AG10:AJ10"/>
    <mergeCell ref="AS1:AU1"/>
    <mergeCell ref="AV1:AW1"/>
    <mergeCell ref="AY1:AZ1"/>
    <mergeCell ref="T3:AA3"/>
    <mergeCell ref="AB3:AD3"/>
    <mergeCell ref="AE3:AF3"/>
    <mergeCell ref="AO3:AU3"/>
    <mergeCell ref="AV3:AZ3"/>
    <mergeCell ref="BA6:BA14"/>
    <mergeCell ref="BB6:BB8"/>
    <mergeCell ref="BC6:BM8"/>
    <mergeCell ref="BO6:BO8"/>
    <mergeCell ref="BP6:BR8"/>
    <mergeCell ref="B7:D7"/>
    <mergeCell ref="E7:H8"/>
    <mergeCell ref="I7:L8"/>
    <mergeCell ref="M7:P8"/>
    <mergeCell ref="Q7:T8"/>
    <mergeCell ref="AO4:AU4"/>
    <mergeCell ref="AV4:AZ4"/>
    <mergeCell ref="B5:I5"/>
    <mergeCell ref="J5:L5"/>
    <mergeCell ref="M5:N5"/>
    <mergeCell ref="B6:D6"/>
    <mergeCell ref="E6:AZ6"/>
    <mergeCell ref="AC9:AF9"/>
    <mergeCell ref="AG9:AJ9"/>
    <mergeCell ref="AK9:AN9"/>
    <mergeCell ref="AO9:AR9"/>
    <mergeCell ref="AS9:AV9"/>
    <mergeCell ref="AW9:AZ9"/>
    <mergeCell ref="AS7:AV8"/>
  </mergeCells>
  <conditionalFormatting sqref="AS26:AS40 AO26:AO40 AK26:AK42 AG26:AG42 AC26:AC42 Y26:Y42 U26:U42 Q26:Q42 M26:M42 I26:I42">
    <cfRule type="cellIs" dxfId="13" priority="25" operator="equal">
      <formula>0</formula>
    </cfRule>
  </conditionalFormatting>
  <conditionalFormatting sqref="I80:I81 M80:M81 Q80:Q81 U80:U81 Y80:Y81 AC80:AC81 AG80:AG81 AK80:AK81">
    <cfRule type="cellIs" dxfId="12" priority="22" operator="equal">
      <formula>0</formula>
    </cfRule>
  </conditionalFormatting>
  <conditionalFormatting sqref="I119:I120 M119:M120 Q119:Q120 U119:U120 Y119:Y120 AC119:AC120 AG119:AG120 AK119:AK120">
    <cfRule type="cellIs" dxfId="11" priority="21" operator="equal">
      <formula>0</formula>
    </cfRule>
  </conditionalFormatting>
  <conditionalFormatting sqref="I158:I159 M158:M159 Q158:Q159 U158:U159 Y158:Y159 AC158:AC159 AG158:AG159 AK158:AK159">
    <cfRule type="cellIs" dxfId="10" priority="20" operator="equal">
      <formula>0</formula>
    </cfRule>
  </conditionalFormatting>
  <conditionalFormatting sqref="I197:I198 M197:M198 Q197:Q198 U197:U198 Y197:Y198 AC197:AC198 AG197:AG198 AK197:AK198">
    <cfRule type="cellIs" dxfId="9" priority="19" operator="equal">
      <formula>0</formula>
    </cfRule>
  </conditionalFormatting>
  <conditionalFormatting sqref="E10:E17 AW10:AW14 I10:I18 M10:M18 Q10:Q18 U10:U18 Y10:Y18 AC10:AC18 AG10:AG18 AK10:AK18 AO10:AO18 AS10:AS18">
    <cfRule type="cellIs" dxfId="8" priority="17" operator="equal">
      <formula>0</formula>
    </cfRule>
  </conditionalFormatting>
  <conditionalFormatting sqref="BC10:BL14">
    <cfRule type="expression" dxfId="7" priority="5">
      <formula>$AB$3=1</formula>
    </cfRule>
    <cfRule type="expression" dxfId="6" priority="6">
      <formula>$AB$3=0.001</formula>
    </cfRule>
    <cfRule type="expression" dxfId="5" priority="7">
      <formula>$AB$3=0.01</formula>
    </cfRule>
    <cfRule type="expression" dxfId="4" priority="8">
      <formula>($AB$3=0.1)</formula>
    </cfRule>
  </conditionalFormatting>
  <conditionalFormatting sqref="BP10:BQ14">
    <cfRule type="expression" dxfId="3" priority="1">
      <formula>$AB$3=1</formula>
    </cfRule>
    <cfRule type="expression" dxfId="2" priority="2">
      <formula>$AB$3=0.001</formula>
    </cfRule>
    <cfRule type="expression" dxfId="1" priority="3">
      <formula>$AB$3=0.01</formula>
    </cfRule>
    <cfRule type="expression" dxfId="0" priority="4">
      <formula>($AB$3=0.1)</formula>
    </cfRule>
  </conditionalFormatting>
  <pageMargins left="0.19685039370078741" right="0.19685039370078741" top="0.19685039370078741" bottom="0.19685039370078741" header="0.31496062992125984" footer="0.31496062992125984"/>
  <pageSetup paperSize="9" scale="80" fitToWidth="0" orientation="portrait" r:id="rId1"/>
  <headerFooter>
    <oddFooter>&amp;L&amp;"Times New Roman,Regular"P-WI-09-TEM-003-1 R03 (19/08/68) P&amp;P/&amp;N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E1274FD-ED51-493C-AD57-B562BD6D91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size="30" baseType="lpstr">
      <vt:lpstr>Certificate 1 probe</vt:lpstr>
      <vt:lpstr>Certificate 10 probe</vt:lpstr>
      <vt:lpstr>Page1</vt:lpstr>
      <vt:lpstr>Data</vt:lpstr>
      <vt:lpstr>Data (2)</vt:lpstr>
      <vt:lpstr>DTM</vt:lpstr>
      <vt:lpstr>STD</vt:lpstr>
      <vt:lpstr>Cal Ref</vt:lpstr>
      <vt:lpstr>Cal 1</vt:lpstr>
      <vt:lpstr>'Cal Ref'!Name.Personnel</vt:lpstr>
      <vt:lpstr>'Certificate 10 probe'!Name.Personnel</vt:lpstr>
      <vt:lpstr>Name.Personnel</vt:lpstr>
      <vt:lpstr>'Cal 1'!Print_Area</vt:lpstr>
      <vt:lpstr>'Cal Ref'!Print_Area</vt:lpstr>
      <vt:lpstr>'Certificate 1 probe'!Print_Area</vt:lpstr>
      <vt:lpstr>'Certificate 10 probe'!Print_Area</vt:lpstr>
      <vt:lpstr>Page1!Print_Area</vt:lpstr>
      <vt:lpstr>S_TEM_001</vt:lpstr>
      <vt:lpstr>'Cal 1'!Toolcode.Apparatus</vt:lpstr>
      <vt:lpstr>'Cal Ref'!Toolcode.Apparatus</vt:lpstr>
      <vt:lpstr>'Certificate 10 probe'!Toolcode.Apparatus</vt:lpstr>
      <vt:lpstr>Toolcode.Apparatus</vt:lpstr>
      <vt:lpstr>'Cal 1'!Toolcode.Ref.STD</vt:lpstr>
      <vt:lpstr>'Cal Ref'!Toolcode.Ref.STD</vt:lpstr>
      <vt:lpstr>'Certificate 10 probe'!Toolcode.Ref.STD</vt:lpstr>
      <vt:lpstr>Toolcode.Ref.STD</vt:lpstr>
      <vt:lpstr>W_TEM_001</vt:lpstr>
      <vt:lpstr>W_TEM_002</vt:lpstr>
      <vt:lpstr>W_TEM_007</vt:lpstr>
      <vt:lpstr>W_TEM_016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iLLuSioN</dc:creator>
  <cp:lastModifiedBy>Army Medical</cp:lastModifiedBy>
  <cp:lastPrinted>2025-08-19T03:34:27Z</cp:lastPrinted>
  <dcterms:created xsi:type="dcterms:W3CDTF">2006-04-26T11:43:29Z</dcterms:created>
  <dcterms:modified xsi:type="dcterms:W3CDTF">2026-06-17T05:02:16Z</dcterms:modified>
</cp:coreProperties>
</file>