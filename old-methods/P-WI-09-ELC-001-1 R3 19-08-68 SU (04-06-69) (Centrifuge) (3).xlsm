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เวิร์กบุ๊กนี้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D15E1982-FA5C-4898-B174-F508EC5BD709}" xr6:coauthVersionLast="47" xr6:coauthVersionMax="47" xr10:uidLastSave="{00000000-0000-0000-0000-000000000000}"/>
  <bookViews>
    <workbookView xWindow="-120" yWindow="-120" windowWidth="29040" windowHeight="15720" activeTab="3" xr2:uid="{F4D0BA2D-ED18-4B17-9886-0C97DB2D4DB8}"/>
  </bookViews>
  <sheets>
    <sheet name="Certificate" sheetId="76" r:id="rId1"/>
    <sheet name="Data" sheetId="80" state="hidden" r:id="rId2"/>
    <sheet name="Data (2)" sheetId="88" state="hidden" r:id="rId3"/>
    <sheet name="Page1" sheetId="78" r:id="rId4"/>
    <sheet name="Cen" sheetId="87" state="hidden" r:id="rId5"/>
    <sheet name="STD" sheetId="85" state="hidden" r:id="rId6"/>
    <sheet name="Cal 1" sheetId="83" r:id="rId7"/>
  </sheets>
  <definedNames>
    <definedName name="_xlnm._FilterDatabase" localSheetId="1" hidden="1">Data!$H$1:$I$1</definedName>
    <definedName name="_xlnm._FilterDatabase" localSheetId="3" hidden="1">Page1!$B$30:$AA$39</definedName>
    <definedName name="Data">#REF!</definedName>
    <definedName name="ExternalData_1" localSheetId="4" hidden="1">'Cen'!$A$1:$T$20</definedName>
    <definedName name="ExternalData_1" localSheetId="2" hidden="1">'Data (2)'!$A$1:$K$57</definedName>
    <definedName name="Name.Personnel" localSheetId="5">Personnel8[Name]</definedName>
    <definedName name="Name.Personnel">Personnel8[Name]</definedName>
    <definedName name="_xlnm.Print_Area" localSheetId="6">'Cal 1'!$A$1:$AP$34</definedName>
    <definedName name="_xlnm.Print_Area" localSheetId="0">Certificate!$A$1:$AM$91</definedName>
    <definedName name="_xlnm.Print_Area" localSheetId="3">Page1!$A$1:$AT$45</definedName>
    <definedName name="Standard">#REF!</definedName>
    <definedName name="Toolcode.Apparatus">#REF!</definedName>
    <definedName name="Toolcode.Ref.STD">Ref.STD11[]</definedName>
    <definedName name="W_TEM_001" localSheetId="5">STD!#REF!</definedName>
    <definedName name="W_TEM_001">#REF!</definedName>
    <definedName name="W_TEM_002" localSheetId="5">STD!#REF!</definedName>
    <definedName name="W_TEM_002">#REF!</definedName>
    <definedName name="W_TEM_016" localSheetId="5">STD!#REF!</definedName>
    <definedName name="W_TEM_016">#REF!</definedName>
  </definedNames>
  <calcPr calcId="181029"/>
</workbook>
</file>

<file path=xl/calcChain.xml><?xml version="1.0" encoding="utf-8"?>
<calcChain xmlns="http://schemas.openxmlformats.org/spreadsheetml/2006/main">
  <c r="I9" i="78" l="1"/>
  <c r="N67" i="76"/>
  <c r="J16" i="76"/>
  <c r="H73" i="76"/>
  <c r="B73" i="76"/>
  <c r="L83" i="76"/>
  <c r="H83" i="76"/>
  <c r="H82" i="76"/>
  <c r="L82" i="76"/>
  <c r="AN26" i="78" l="1"/>
  <c r="AF26" i="78"/>
  <c r="Z26" i="78"/>
  <c r="I26" i="78"/>
  <c r="AN28" i="78"/>
  <c r="AF28" i="78"/>
  <c r="Z28" i="78"/>
  <c r="I28" i="78"/>
  <c r="AN22" i="78"/>
  <c r="AF22" i="78"/>
  <c r="Z22" i="78"/>
  <c r="I22" i="78"/>
  <c r="A12" i="85" l="1"/>
  <c r="B12" i="85"/>
  <c r="C12" i="85"/>
  <c r="D12" i="85"/>
  <c r="E12" i="85"/>
  <c r="F12" i="85"/>
  <c r="G12" i="85"/>
  <c r="A13" i="85"/>
  <c r="B13" i="85"/>
  <c r="C13" i="85"/>
  <c r="D13" i="85"/>
  <c r="E13" i="85"/>
  <c r="F13" i="85"/>
  <c r="G13" i="85"/>
  <c r="A14" i="85"/>
  <c r="B14" i="85"/>
  <c r="C14" i="85"/>
  <c r="D14" i="85"/>
  <c r="E14" i="85"/>
  <c r="F14" i="85"/>
  <c r="G14" i="85"/>
  <c r="A15" i="85"/>
  <c r="B15" i="85"/>
  <c r="C15" i="85"/>
  <c r="D15" i="85"/>
  <c r="E15" i="85"/>
  <c r="F15" i="85"/>
  <c r="G15" i="85"/>
  <c r="A16" i="85"/>
  <c r="B16" i="85"/>
  <c r="C16" i="85"/>
  <c r="D16" i="85"/>
  <c r="E16" i="85"/>
  <c r="F16" i="85"/>
  <c r="G16" i="85"/>
  <c r="A17" i="85"/>
  <c r="B17" i="85"/>
  <c r="C17" i="85"/>
  <c r="D17" i="85"/>
  <c r="E17" i="85"/>
  <c r="F17" i="85"/>
  <c r="G17" i="85"/>
  <c r="A18" i="85"/>
  <c r="B18" i="85"/>
  <c r="C18" i="85"/>
  <c r="D18" i="85"/>
  <c r="E18" i="85"/>
  <c r="F18" i="85"/>
  <c r="G18" i="85"/>
  <c r="A19" i="85"/>
  <c r="B19" i="85"/>
  <c r="C19" i="85"/>
  <c r="D19" i="85"/>
  <c r="E19" i="85"/>
  <c r="F19" i="85"/>
  <c r="G19" i="85"/>
  <c r="A20" i="85"/>
  <c r="B20" i="85"/>
  <c r="C20" i="85"/>
  <c r="D20" i="85"/>
  <c r="E20" i="85"/>
  <c r="F20" i="85"/>
  <c r="G20" i="85"/>
  <c r="B11" i="85"/>
  <c r="C11" i="85"/>
  <c r="D11" i="85"/>
  <c r="E11" i="85"/>
  <c r="F11" i="85"/>
  <c r="G11" i="85"/>
  <c r="A4" i="85"/>
  <c r="B4" i="85"/>
  <c r="C4" i="85"/>
  <c r="D4" i="85"/>
  <c r="E4" i="85"/>
  <c r="F4" i="85"/>
  <c r="G4" i="85"/>
  <c r="A5" i="85"/>
  <c r="B5" i="85"/>
  <c r="C5" i="85"/>
  <c r="D5" i="85"/>
  <c r="E5" i="85"/>
  <c r="F5" i="85"/>
  <c r="G5" i="85"/>
  <c r="A6" i="85"/>
  <c r="B6" i="85"/>
  <c r="C6" i="85"/>
  <c r="D6" i="85"/>
  <c r="E6" i="85"/>
  <c r="F6" i="85"/>
  <c r="G6" i="85"/>
  <c r="A7" i="85"/>
  <c r="B7" i="85"/>
  <c r="C7" i="85"/>
  <c r="D7" i="85"/>
  <c r="E7" i="85"/>
  <c r="F7" i="85"/>
  <c r="G7" i="85"/>
  <c r="A8" i="85"/>
  <c r="B8" i="85"/>
  <c r="C8" i="85"/>
  <c r="D8" i="85"/>
  <c r="E8" i="85"/>
  <c r="F8" i="85"/>
  <c r="G8" i="85"/>
  <c r="B3" i="85"/>
  <c r="C3" i="85"/>
  <c r="D3" i="85"/>
  <c r="E3" i="85"/>
  <c r="F3" i="85"/>
  <c r="G3" i="85"/>
  <c r="K3" i="80"/>
  <c r="K4" i="80"/>
  <c r="K5" i="80"/>
  <c r="K6" i="80"/>
  <c r="K7" i="80"/>
  <c r="K8" i="80"/>
  <c r="K9" i="80"/>
  <c r="K10" i="80"/>
  <c r="K11" i="80"/>
  <c r="K12" i="80"/>
  <c r="K13" i="80"/>
  <c r="K14" i="80"/>
  <c r="K15" i="80"/>
  <c r="K16" i="80"/>
  <c r="K17" i="80"/>
  <c r="K18" i="80"/>
  <c r="K19" i="80"/>
  <c r="K20" i="80"/>
  <c r="K2" i="80"/>
  <c r="D44" i="76"/>
  <c r="W44" i="76"/>
  <c r="H4" i="80"/>
  <c r="I4" i="80"/>
  <c r="H5" i="80"/>
  <c r="I5" i="80"/>
  <c r="H6" i="80"/>
  <c r="I6" i="80"/>
  <c r="H7" i="80"/>
  <c r="I7" i="80"/>
  <c r="H8" i="80"/>
  <c r="I8" i="80"/>
  <c r="H9" i="80"/>
  <c r="I9" i="80"/>
  <c r="H10" i="80"/>
  <c r="I10" i="80"/>
  <c r="H11" i="80"/>
  <c r="I11" i="80"/>
  <c r="H12" i="80"/>
  <c r="I12" i="80"/>
  <c r="H13" i="80"/>
  <c r="I13" i="80"/>
  <c r="H14" i="80"/>
  <c r="I14" i="80"/>
  <c r="H15" i="80"/>
  <c r="I15" i="80"/>
  <c r="H16" i="80"/>
  <c r="I16" i="80"/>
  <c r="H17" i="80"/>
  <c r="I17" i="80"/>
  <c r="H18" i="80"/>
  <c r="I18" i="80"/>
  <c r="H19" i="80"/>
  <c r="I19" i="80"/>
  <c r="H20" i="80"/>
  <c r="I20" i="80"/>
  <c r="I3" i="80"/>
  <c r="H3" i="80"/>
  <c r="A55" i="80"/>
  <c r="A4" i="80"/>
  <c r="B4" i="80"/>
  <c r="C4" i="80"/>
  <c r="D4" i="80"/>
  <c r="E4" i="80"/>
  <c r="F4" i="80"/>
  <c r="A5" i="80"/>
  <c r="B5" i="80"/>
  <c r="C5" i="80"/>
  <c r="D5" i="80"/>
  <c r="E5" i="80"/>
  <c r="F5" i="80"/>
  <c r="A6" i="80"/>
  <c r="B6" i="80"/>
  <c r="C6" i="80"/>
  <c r="D6" i="80"/>
  <c r="E6" i="80"/>
  <c r="F6" i="80"/>
  <c r="A7" i="80"/>
  <c r="B7" i="80"/>
  <c r="C7" i="80"/>
  <c r="D7" i="80"/>
  <c r="E7" i="80"/>
  <c r="F7" i="80"/>
  <c r="A8" i="80"/>
  <c r="B8" i="80"/>
  <c r="C8" i="80"/>
  <c r="D8" i="80"/>
  <c r="E8" i="80"/>
  <c r="F8" i="80"/>
  <c r="A9" i="80"/>
  <c r="B9" i="80"/>
  <c r="C9" i="80"/>
  <c r="D9" i="80"/>
  <c r="E9" i="80"/>
  <c r="F9" i="80"/>
  <c r="A10" i="80"/>
  <c r="B10" i="80"/>
  <c r="C10" i="80"/>
  <c r="D10" i="80"/>
  <c r="E10" i="80"/>
  <c r="F10" i="80"/>
  <c r="A11" i="80"/>
  <c r="B11" i="80"/>
  <c r="C11" i="80"/>
  <c r="D11" i="80"/>
  <c r="E11" i="80"/>
  <c r="F11" i="80"/>
  <c r="A12" i="80"/>
  <c r="B12" i="80"/>
  <c r="C12" i="80"/>
  <c r="D12" i="80"/>
  <c r="E12" i="80"/>
  <c r="F12" i="80"/>
  <c r="A13" i="80"/>
  <c r="B13" i="80"/>
  <c r="C13" i="80"/>
  <c r="D13" i="80"/>
  <c r="E13" i="80"/>
  <c r="F13" i="80"/>
  <c r="A14" i="80"/>
  <c r="B14" i="80"/>
  <c r="C14" i="80"/>
  <c r="D14" i="80"/>
  <c r="E14" i="80"/>
  <c r="F14" i="80"/>
  <c r="A15" i="80"/>
  <c r="B15" i="80"/>
  <c r="C15" i="80"/>
  <c r="D15" i="80"/>
  <c r="E15" i="80"/>
  <c r="F15" i="80"/>
  <c r="A16" i="80"/>
  <c r="B16" i="80"/>
  <c r="C16" i="80"/>
  <c r="D16" i="80"/>
  <c r="E16" i="80"/>
  <c r="F16" i="80"/>
  <c r="A17" i="80"/>
  <c r="B17" i="80"/>
  <c r="C17" i="80"/>
  <c r="D17" i="80"/>
  <c r="E17" i="80"/>
  <c r="F17" i="80"/>
  <c r="A18" i="80"/>
  <c r="B18" i="80"/>
  <c r="C18" i="80"/>
  <c r="D18" i="80"/>
  <c r="E18" i="80"/>
  <c r="F18" i="80"/>
  <c r="A19" i="80"/>
  <c r="B19" i="80"/>
  <c r="C19" i="80"/>
  <c r="D19" i="80"/>
  <c r="E19" i="80"/>
  <c r="F19" i="80"/>
  <c r="A20" i="80"/>
  <c r="B20" i="80"/>
  <c r="C20" i="80"/>
  <c r="D20" i="80"/>
  <c r="E20" i="80"/>
  <c r="F20" i="80"/>
  <c r="A21" i="80"/>
  <c r="B21" i="80"/>
  <c r="C21" i="80"/>
  <c r="D21" i="80"/>
  <c r="E21" i="80"/>
  <c r="F21" i="80"/>
  <c r="A22" i="80"/>
  <c r="B22" i="80"/>
  <c r="C22" i="80"/>
  <c r="D22" i="80"/>
  <c r="E22" i="80"/>
  <c r="F22" i="80"/>
  <c r="A23" i="80"/>
  <c r="B23" i="80"/>
  <c r="C23" i="80"/>
  <c r="D23" i="80"/>
  <c r="E23" i="80"/>
  <c r="F23" i="80"/>
  <c r="A24" i="80"/>
  <c r="B24" i="80"/>
  <c r="C24" i="80"/>
  <c r="D24" i="80"/>
  <c r="E24" i="80"/>
  <c r="F24" i="80"/>
  <c r="A25" i="80"/>
  <c r="B25" i="80"/>
  <c r="C25" i="80"/>
  <c r="D25" i="80"/>
  <c r="E25" i="80"/>
  <c r="F25" i="80"/>
  <c r="A26" i="80"/>
  <c r="B26" i="80"/>
  <c r="C26" i="80"/>
  <c r="D26" i="80"/>
  <c r="E26" i="80"/>
  <c r="F26" i="80"/>
  <c r="A27" i="80"/>
  <c r="B27" i="80"/>
  <c r="C27" i="80"/>
  <c r="D27" i="80"/>
  <c r="E27" i="80"/>
  <c r="F27" i="80"/>
  <c r="A28" i="80"/>
  <c r="B28" i="80"/>
  <c r="C28" i="80"/>
  <c r="D28" i="80"/>
  <c r="E28" i="80"/>
  <c r="F28" i="80"/>
  <c r="A29" i="80"/>
  <c r="B29" i="80"/>
  <c r="C29" i="80"/>
  <c r="D29" i="80"/>
  <c r="E29" i="80"/>
  <c r="F29" i="80"/>
  <c r="A30" i="80"/>
  <c r="B30" i="80"/>
  <c r="C30" i="80"/>
  <c r="D30" i="80"/>
  <c r="E30" i="80"/>
  <c r="F30" i="80"/>
  <c r="A31" i="80"/>
  <c r="B31" i="80"/>
  <c r="C31" i="80"/>
  <c r="D31" i="80"/>
  <c r="E31" i="80"/>
  <c r="F31" i="80"/>
  <c r="A32" i="80"/>
  <c r="B32" i="80"/>
  <c r="C32" i="80"/>
  <c r="D32" i="80"/>
  <c r="E32" i="80"/>
  <c r="F32" i="80"/>
  <c r="A33" i="80"/>
  <c r="B33" i="80"/>
  <c r="C33" i="80"/>
  <c r="D33" i="80"/>
  <c r="E33" i="80"/>
  <c r="F33" i="80"/>
  <c r="A34" i="80"/>
  <c r="B34" i="80"/>
  <c r="C34" i="80"/>
  <c r="D34" i="80"/>
  <c r="E34" i="80"/>
  <c r="F34" i="80"/>
  <c r="A35" i="80"/>
  <c r="B35" i="80"/>
  <c r="C35" i="80"/>
  <c r="D35" i="80"/>
  <c r="E35" i="80"/>
  <c r="F35" i="80"/>
  <c r="A36" i="80"/>
  <c r="B36" i="80"/>
  <c r="C36" i="80"/>
  <c r="D36" i="80"/>
  <c r="E36" i="80"/>
  <c r="F36" i="80"/>
  <c r="A37" i="80"/>
  <c r="B37" i="80"/>
  <c r="C37" i="80"/>
  <c r="D37" i="80"/>
  <c r="E37" i="80"/>
  <c r="F37" i="80"/>
  <c r="A38" i="80"/>
  <c r="B38" i="80"/>
  <c r="C38" i="80"/>
  <c r="D38" i="80"/>
  <c r="E38" i="80"/>
  <c r="F38" i="80"/>
  <c r="A39" i="80"/>
  <c r="B39" i="80"/>
  <c r="C39" i="80"/>
  <c r="D39" i="80"/>
  <c r="E39" i="80"/>
  <c r="F39" i="80"/>
  <c r="A40" i="80"/>
  <c r="B40" i="80"/>
  <c r="C40" i="80"/>
  <c r="D40" i="80"/>
  <c r="E40" i="80"/>
  <c r="F40" i="80"/>
  <c r="A41" i="80"/>
  <c r="B41" i="80"/>
  <c r="C41" i="80"/>
  <c r="D41" i="80"/>
  <c r="E41" i="80"/>
  <c r="F41" i="80"/>
  <c r="A42" i="80"/>
  <c r="B42" i="80"/>
  <c r="C42" i="80"/>
  <c r="D42" i="80"/>
  <c r="E42" i="80"/>
  <c r="F42" i="80"/>
  <c r="A43" i="80"/>
  <c r="B43" i="80"/>
  <c r="C43" i="80"/>
  <c r="D43" i="80"/>
  <c r="E43" i="80"/>
  <c r="F43" i="80"/>
  <c r="A44" i="80"/>
  <c r="B44" i="80"/>
  <c r="C44" i="80"/>
  <c r="D44" i="80"/>
  <c r="E44" i="80"/>
  <c r="F44" i="80"/>
  <c r="A45" i="80"/>
  <c r="B45" i="80"/>
  <c r="C45" i="80"/>
  <c r="D45" i="80"/>
  <c r="E45" i="80"/>
  <c r="F45" i="80"/>
  <c r="A46" i="80"/>
  <c r="B46" i="80"/>
  <c r="C46" i="80"/>
  <c r="D46" i="80"/>
  <c r="E46" i="80"/>
  <c r="F46" i="80"/>
  <c r="A47" i="80"/>
  <c r="B47" i="80"/>
  <c r="C47" i="80"/>
  <c r="D47" i="80"/>
  <c r="E47" i="80"/>
  <c r="F47" i="80"/>
  <c r="A48" i="80"/>
  <c r="B48" i="80"/>
  <c r="C48" i="80"/>
  <c r="D48" i="80"/>
  <c r="E48" i="80"/>
  <c r="F48" i="80"/>
  <c r="A49" i="80"/>
  <c r="B49" i="80"/>
  <c r="C49" i="80"/>
  <c r="D49" i="80"/>
  <c r="E49" i="80"/>
  <c r="F49" i="80"/>
  <c r="A50" i="80"/>
  <c r="B50" i="80"/>
  <c r="C50" i="80"/>
  <c r="D50" i="80"/>
  <c r="E50" i="80"/>
  <c r="F50" i="80"/>
  <c r="A51" i="80"/>
  <c r="B51" i="80"/>
  <c r="C51" i="80"/>
  <c r="D51" i="80"/>
  <c r="E51" i="80"/>
  <c r="F51" i="80"/>
  <c r="A52" i="80"/>
  <c r="B52" i="80"/>
  <c r="C52" i="80"/>
  <c r="D52" i="80"/>
  <c r="E52" i="80"/>
  <c r="F52" i="80"/>
  <c r="A53" i="80"/>
  <c r="B53" i="80"/>
  <c r="C53" i="80"/>
  <c r="D53" i="80"/>
  <c r="E53" i="80"/>
  <c r="F53" i="80"/>
  <c r="A54" i="80"/>
  <c r="B54" i="80"/>
  <c r="C54" i="80"/>
  <c r="D54" i="80"/>
  <c r="E54" i="80"/>
  <c r="F54" i="80"/>
  <c r="B55" i="80"/>
  <c r="C55" i="80"/>
  <c r="D55" i="80"/>
  <c r="E55" i="80"/>
  <c r="F55" i="80"/>
  <c r="A56" i="80"/>
  <c r="B56" i="80"/>
  <c r="C56" i="80"/>
  <c r="D56" i="80"/>
  <c r="E56" i="80"/>
  <c r="F56" i="80"/>
  <c r="A57" i="80"/>
  <c r="B57" i="80"/>
  <c r="C57" i="80"/>
  <c r="D57" i="80"/>
  <c r="E57" i="80"/>
  <c r="F57" i="80"/>
  <c r="A58" i="80"/>
  <c r="B58" i="80"/>
  <c r="C58" i="80"/>
  <c r="D58" i="80"/>
  <c r="E58" i="80"/>
  <c r="F58" i="80"/>
  <c r="A59" i="80"/>
  <c r="B59" i="80"/>
  <c r="C59" i="80"/>
  <c r="D59" i="80"/>
  <c r="E59" i="80"/>
  <c r="F59" i="80"/>
  <c r="B3" i="80"/>
  <c r="C3" i="80"/>
  <c r="D3" i="80"/>
  <c r="E3" i="80"/>
  <c r="F3" i="80"/>
  <c r="A3" i="80"/>
  <c r="A11" i="85"/>
  <c r="A3" i="85"/>
  <c r="H34" i="83"/>
  <c r="H32" i="83"/>
  <c r="AX20" i="83"/>
  <c r="AR20" i="83"/>
  <c r="B67" i="76" s="1"/>
  <c r="O34" i="78" l="1"/>
  <c r="N72" i="76"/>
  <c r="H72" i="76"/>
  <c r="B72" i="76"/>
  <c r="CA6" i="83"/>
  <c r="CA3" i="83"/>
  <c r="AI9" i="76"/>
  <c r="AI56" i="76" s="1"/>
  <c r="H96" i="76"/>
  <c r="AL26" i="83"/>
  <c r="AL25" i="83"/>
  <c r="BT12" i="83"/>
  <c r="BU12" i="83" s="1"/>
  <c r="N73" i="76" l="1"/>
  <c r="N71" i="76"/>
  <c r="Q23" i="83"/>
  <c r="J15" i="76"/>
  <c r="AD14" i="76"/>
  <c r="J14" i="76"/>
  <c r="B96" i="76" l="1"/>
  <c r="N96" i="76" l="1"/>
  <c r="N94" i="76"/>
  <c r="H67" i="76" l="1"/>
  <c r="AL28" i="83"/>
  <c r="AH23" i="83"/>
  <c r="J5" i="83"/>
  <c r="T13" i="83"/>
  <c r="T12" i="83"/>
  <c r="T11" i="83"/>
  <c r="T10" i="83"/>
  <c r="T15" i="83" l="1"/>
  <c r="Q26" i="83" s="1"/>
  <c r="T14" i="83"/>
  <c r="AH29" i="83" s="1"/>
  <c r="AR24" i="83" l="1"/>
  <c r="AN28" i="83" l="1"/>
  <c r="AM28" i="83"/>
  <c r="AN24" i="83"/>
  <c r="AM24" i="83"/>
  <c r="AL24" i="83"/>
  <c r="AN23" i="83"/>
  <c r="AM23" i="83"/>
  <c r="AL23" i="83"/>
  <c r="AN22" i="83"/>
  <c r="AM22" i="83"/>
  <c r="AL22" i="83"/>
  <c r="AN21" i="83"/>
  <c r="AM21" i="83"/>
  <c r="AL21" i="83"/>
  <c r="AL20" i="83"/>
  <c r="AG26" i="83"/>
  <c r="AF26" i="83"/>
  <c r="AH26" i="83" s="1"/>
  <c r="AG25" i="83"/>
  <c r="AF25" i="83"/>
  <c r="B54" i="76" l="1"/>
  <c r="AK3" i="83" l="1"/>
  <c r="AK2" i="83"/>
  <c r="AN1" i="83"/>
  <c r="AK1" i="83"/>
  <c r="CA5" i="83" l="1"/>
  <c r="CA4" i="83"/>
  <c r="CA7" i="83" l="1"/>
  <c r="Q24" i="83" s="1"/>
  <c r="AH24" i="83" s="1"/>
  <c r="E10" i="83"/>
  <c r="E13" i="83"/>
  <c r="E12" i="83"/>
  <c r="E11" i="83"/>
  <c r="I7" i="78"/>
  <c r="E14" i="83" l="1"/>
  <c r="E15" i="83"/>
  <c r="Q25" i="83" s="1"/>
  <c r="AH25" i="83" s="1"/>
  <c r="C18" i="76"/>
  <c r="I10" i="78"/>
  <c r="Q22" i="83" l="1"/>
  <c r="AH22" i="83" s="1"/>
  <c r="Q20" i="83"/>
  <c r="AX24" i="83"/>
  <c r="AH61" i="76"/>
  <c r="S61" i="76"/>
  <c r="AA61" i="76" s="1"/>
  <c r="B60" i="76"/>
  <c r="S60" i="76"/>
  <c r="AA60" i="76" s="1"/>
  <c r="AH60" i="76"/>
  <c r="AH20" i="83" l="1"/>
  <c r="Q21" i="83"/>
  <c r="AH21" i="83" s="1"/>
  <c r="AI61" i="76"/>
  <c r="AC61" i="76"/>
  <c r="W61" i="76"/>
  <c r="AB61" i="76"/>
  <c r="V61" i="76"/>
  <c r="AG61" i="76"/>
  <c r="U61" i="76"/>
  <c r="AL61" i="76"/>
  <c r="AF61" i="76"/>
  <c r="Z61" i="76"/>
  <c r="T61" i="76"/>
  <c r="AK61" i="76"/>
  <c r="AE61" i="76"/>
  <c r="Y61" i="76"/>
  <c r="B61" i="76"/>
  <c r="AJ61" i="76"/>
  <c r="AD61" i="76"/>
  <c r="X61" i="76"/>
  <c r="T67" i="76"/>
  <c r="BD24" i="83"/>
  <c r="Z67" i="76" s="1"/>
  <c r="AH27" i="83" l="1"/>
  <c r="AL27" i="83" s="1"/>
  <c r="Z28" i="83" s="1"/>
  <c r="AH28" i="83" s="1"/>
  <c r="AH30" i="83" s="1"/>
  <c r="I8" i="78"/>
  <c r="J11" i="76" s="1"/>
  <c r="BI24" i="83" l="1"/>
  <c r="AF67" i="76" s="1"/>
  <c r="J12" i="76"/>
  <c r="J21" i="76" l="1"/>
  <c r="W45" i="76" l="1"/>
  <c r="J22" i="76" l="1"/>
  <c r="D45" i="76" l="1"/>
  <c r="AD15" i="76" l="1"/>
  <c r="J13" i="76" l="1"/>
  <c r="J23" i="76"/>
  <c r="J24" i="76" l="1"/>
  <c r="AP41" i="78" l="1"/>
  <c r="AA34" i="83" s="1"/>
  <c r="S41" i="78"/>
  <c r="AA32" i="8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62335C-A651-4B30-A26F-DC0480C453B7}" keepAlive="1" name="Query - Cen" description="Connection to the 'Cen' query in the workbook." type="5" refreshedVersion="8" background="1" saveData="1">
    <dbPr connection="Provider=Microsoft.Mashup.OleDb.1;Data Source=$Workbook$;Location=Cen;Extended Properties=&quot;&quot;" command="SELECT * FROM [Cen]"/>
  </connection>
  <connection id="2" xr16:uid="{F2AA169C-4A11-46D1-924C-11FDD57E5AC8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<sst xmlns="http://schemas.openxmlformats.org/spreadsheetml/2006/main" count="711" uniqueCount="516">
  <si>
    <t>Reading</t>
  </si>
  <si>
    <t>Apparatus</t>
  </si>
  <si>
    <t>Order Item No.:</t>
  </si>
  <si>
    <t>Finished Date:</t>
  </si>
  <si>
    <t>%</t>
  </si>
  <si>
    <t>Page:</t>
  </si>
  <si>
    <t>of</t>
  </si>
  <si>
    <t>Certificate No.:</t>
  </si>
  <si>
    <t>Calibration Point:</t>
  </si>
  <si>
    <t>UUC Setting:</t>
  </si>
  <si>
    <t>Resolution:</t>
  </si>
  <si>
    <t xml:space="preserve">Number </t>
  </si>
  <si>
    <t>UUC</t>
  </si>
  <si>
    <t>( n )</t>
  </si>
  <si>
    <t>Calibrated By:</t>
  </si>
  <si>
    <t>Date:</t>
  </si>
  <si>
    <t>Note:</t>
  </si>
  <si>
    <t>Customer:</t>
  </si>
  <si>
    <t>Temperature:</t>
  </si>
  <si>
    <t>Instrument Name:</t>
  </si>
  <si>
    <t>Model:</t>
  </si>
  <si>
    <t>Serial No.:</t>
  </si>
  <si>
    <t>ID No.:</t>
  </si>
  <si>
    <t>Manufacturer:</t>
  </si>
  <si>
    <t>Received Date:</t>
  </si>
  <si>
    <t>Calibrated Date:</t>
  </si>
  <si>
    <t>Reference Standard</t>
  </si>
  <si>
    <t>Model</t>
  </si>
  <si>
    <t>Serial No</t>
  </si>
  <si>
    <t>Symbol</t>
  </si>
  <si>
    <t>Source of uncertainty</t>
  </si>
  <si>
    <t>Probability</t>
  </si>
  <si>
    <t>Divisor</t>
  </si>
  <si>
    <t>ui</t>
  </si>
  <si>
    <t>distribution</t>
  </si>
  <si>
    <t>Combined standard uncertainty</t>
  </si>
  <si>
    <t>U</t>
  </si>
  <si>
    <t>Expanded uncertainty</t>
  </si>
  <si>
    <t>(Without Adjustment)</t>
  </si>
  <si>
    <t>Environmental</t>
  </si>
  <si>
    <t>% RH</t>
  </si>
  <si>
    <t>Uncertainty</t>
  </si>
  <si>
    <t>Maximum Value</t>
  </si>
  <si>
    <t>Minimum Value</t>
  </si>
  <si>
    <t>Maximum</t>
  </si>
  <si>
    <t>Minimum</t>
  </si>
  <si>
    <t>Correction</t>
  </si>
  <si>
    <t>Ci</t>
  </si>
  <si>
    <t>No.</t>
  </si>
  <si>
    <t>Normal</t>
  </si>
  <si>
    <t>Rectangular</t>
  </si>
  <si>
    <t>kp =</t>
  </si>
  <si>
    <t>Certificate Number :</t>
  </si>
  <si>
    <t>Page :</t>
  </si>
  <si>
    <t>Relative Humidity :</t>
  </si>
  <si>
    <t>Traceability of  Measurement</t>
  </si>
  <si>
    <t xml:space="preserve">      Page :</t>
  </si>
  <si>
    <t>Certificate No.</t>
  </si>
  <si>
    <t>Parameter</t>
  </si>
  <si>
    <t>°C</t>
  </si>
  <si>
    <t xml:space="preserve">   </t>
  </si>
  <si>
    <t>Rel. Humidity:</t>
  </si>
  <si>
    <t>q</t>
  </si>
  <si>
    <t>S(q )</t>
  </si>
  <si>
    <t>√3</t>
  </si>
  <si>
    <t>CMC</t>
  </si>
  <si>
    <t>Report</t>
  </si>
  <si>
    <t xml:space="preserve"> CERTIFICATE OF CALIBRATION</t>
  </si>
  <si>
    <t xml:space="preserve">Equipment </t>
  </si>
  <si>
    <t>:</t>
  </si>
  <si>
    <t xml:space="preserve">Manufacturer </t>
  </si>
  <si>
    <t xml:space="preserve">Model </t>
  </si>
  <si>
    <t>ID Number</t>
  </si>
  <si>
    <t xml:space="preserve">Serial Number </t>
  </si>
  <si>
    <t>Customer</t>
  </si>
  <si>
    <t>Issued date</t>
  </si>
  <si>
    <t>Received number</t>
  </si>
  <si>
    <t xml:space="preserve">Received date </t>
  </si>
  <si>
    <t xml:space="preserve">Calibration date </t>
  </si>
  <si>
    <t>Ambient Temperature :</t>
  </si>
  <si>
    <t>Received number:</t>
  </si>
  <si>
    <t>Calibrated By</t>
  </si>
  <si>
    <t>Approved By</t>
  </si>
  <si>
    <t>This certificate is issued the units of measurement according to the International System of units (SI unit).</t>
  </si>
  <si>
    <t xml:space="preserve">standard laboratories. </t>
  </si>
  <si>
    <t xml:space="preserve">It provides traceability of measurement to international or national standard or other recognized national </t>
  </si>
  <si>
    <t xml:space="preserve">Bangkok, Thailand 10400 </t>
  </si>
  <si>
    <t>This certificate is valid only to the item calibrated on date and place of calibration. The report shall not be</t>
  </si>
  <si>
    <t xml:space="preserve">Reference Standard </t>
  </si>
  <si>
    <t>Instrument</t>
  </si>
  <si>
    <t>Serial NO.</t>
  </si>
  <si>
    <t>Cal.Date</t>
  </si>
  <si>
    <t xml:space="preserve">Calibration Procedure </t>
  </si>
  <si>
    <t>Standard</t>
  </si>
  <si>
    <t>2 of 2</t>
  </si>
  <si>
    <t>1 of 2</t>
  </si>
  <si>
    <t xml:space="preserve"> ----- END -----</t>
  </si>
  <si>
    <t>Santipap  Chankan</t>
  </si>
  <si>
    <t>Name</t>
  </si>
  <si>
    <t>Approved By:</t>
  </si>
  <si>
    <t>ºC</t>
  </si>
  <si>
    <t>The measurement uncertainty stated is the expanded uncertainty which is obtained from the standard uncertainty</t>
  </si>
  <si>
    <t>Result of Calibration :</t>
  </si>
  <si>
    <r>
      <t>q</t>
    </r>
    <r>
      <rPr>
        <b/>
        <i/>
        <vertAlign val="subscript"/>
        <sz val="11"/>
        <rFont val="Times New Roman"/>
        <family val="1"/>
      </rPr>
      <t>1</t>
    </r>
  </si>
  <si>
    <r>
      <t>q</t>
    </r>
    <r>
      <rPr>
        <b/>
        <i/>
        <vertAlign val="subscript"/>
        <sz val="11"/>
        <rFont val="Times New Roman"/>
        <family val="1"/>
      </rPr>
      <t>2</t>
    </r>
  </si>
  <si>
    <r>
      <t>q</t>
    </r>
    <r>
      <rPr>
        <b/>
        <i/>
        <vertAlign val="subscript"/>
        <sz val="11"/>
        <rFont val="Times New Roman"/>
        <family val="1"/>
      </rPr>
      <t>3</t>
    </r>
  </si>
  <si>
    <r>
      <t>q</t>
    </r>
    <r>
      <rPr>
        <b/>
        <i/>
        <vertAlign val="subscript"/>
        <sz val="11"/>
        <rFont val="Times New Roman"/>
        <family val="1"/>
      </rPr>
      <t>4</t>
    </r>
  </si>
  <si>
    <t>Vi or</t>
  </si>
  <si>
    <t>Uncertainty Budget for Calibration</t>
  </si>
  <si>
    <r>
      <t>multiplied by the coverage factor (</t>
    </r>
    <r>
      <rPr>
        <i/>
        <sz val="11"/>
        <rFont val="Times New Roman"/>
        <family val="1"/>
      </rPr>
      <t>k</t>
    </r>
    <r>
      <rPr>
        <sz val="11"/>
        <rFont val="Times New Roman"/>
        <family val="1"/>
      </rPr>
      <t>=2) to provide a level of confidence of approximately 95%.</t>
    </r>
  </si>
  <si>
    <t>Revision Number:</t>
  </si>
  <si>
    <t>reproduced except in full without approval of Medical depot division of Royal Thai Army Medical Department.</t>
  </si>
  <si>
    <t>Condition:</t>
  </si>
  <si>
    <t>Temperature indicator with Thermocouple Type K</t>
  </si>
  <si>
    <t>Thermo-hygrometer with probe</t>
  </si>
  <si>
    <t>Liquid Bath</t>
  </si>
  <si>
    <t>Autoclave</t>
  </si>
  <si>
    <t>Centrifuge</t>
  </si>
  <si>
    <t>Shaker</t>
  </si>
  <si>
    <t>Army Medical Department</t>
  </si>
  <si>
    <t>กรมแพทย์ทหารบก</t>
  </si>
  <si>
    <t>สถาบันพยาธิวิทยา</t>
  </si>
  <si>
    <t>รพ.ค่ายธนะรัชต์</t>
  </si>
  <si>
    <t>รพ.อานันทมหิดล</t>
  </si>
  <si>
    <t>รพ.ค่ายอดิศร</t>
  </si>
  <si>
    <t>รพ.ค่ายจักรพงษ์</t>
  </si>
  <si>
    <t>รพ.ค่ายสุรสิงหนาท</t>
  </si>
  <si>
    <t>รพ.ค่ายนวมินทราชินี</t>
  </si>
  <si>
    <t>รพ.ค่ายสุรสีห์</t>
  </si>
  <si>
    <t>รพ.ค่ายภาณุรังษี</t>
  </si>
  <si>
    <t>รพ.ค่ายรามราชนิเวศน์</t>
  </si>
  <si>
    <t>รพ.ค่ายสุรนารี</t>
  </si>
  <si>
    <t>รพ.ค่ายสมเด็จเจ้าพระยามหากษัตริย์ศึก</t>
  </si>
  <si>
    <t>รพ.ค่ายวีรวัฒน์โยธิน</t>
  </si>
  <si>
    <t>รพ.ค่ายสมเด็จพระพุทธยอดฟ้าฯ</t>
  </si>
  <si>
    <t>รพ.ค่ายศรีพัชรินทร</t>
  </si>
  <si>
    <t>รพ.ค่ายประจักษ์ศิลปาคม</t>
  </si>
  <si>
    <t>รพ.ค่ายศรีสองรัก</t>
  </si>
  <si>
    <t>รพ.ค่ายสรรพสิทธิประสงค์</t>
  </si>
  <si>
    <t>รพ.ค่ายกฤษณ์สีวะรา</t>
  </si>
  <si>
    <t>รพ.ค่ายจิรประวัติ</t>
  </si>
  <si>
    <t>รพ.ค่ายพ่อขุนผาเมือง</t>
  </si>
  <si>
    <t>รพ.ค่ายวชิรปราการ</t>
  </si>
  <si>
    <t>รพ.ค่ายพิชัยดาบหัก</t>
  </si>
  <si>
    <t>Fort Surasakmontri Hospital</t>
  </si>
  <si>
    <t>รพ.ค่ายสุริยพงษ์</t>
  </si>
  <si>
    <t>รพ.ค่ายกาวิละ</t>
  </si>
  <si>
    <t>รพ.ค่ายเม็งรายมหาราช</t>
  </si>
  <si>
    <t>รพ.ค่ายเขตอุดมศักดิ์</t>
  </si>
  <si>
    <t>รพ.ค่ายวิภาวดีรังสิต</t>
  </si>
  <si>
    <t>รพ.ค่ายวชิราวุธ</t>
  </si>
  <si>
    <t>รพ.ค่ายเทพสตรีศรีสุนทร</t>
  </si>
  <si>
    <t>รพ.ค่ายเสนาณรงค์</t>
  </si>
  <si>
    <t>รพ.ค่ายอิงคยุทธบริหาร</t>
  </si>
  <si>
    <t>พัน.สร.1</t>
  </si>
  <si>
    <t>พัน.สร.2</t>
  </si>
  <si>
    <t>พัน.สร.3</t>
  </si>
  <si>
    <t>พัน.สร.4</t>
  </si>
  <si>
    <t>พัน.สร.5</t>
  </si>
  <si>
    <t>พัน.สร.6</t>
  </si>
  <si>
    <t>พัน.สร.8</t>
  </si>
  <si>
    <t>พัน.สร.กรม สน.พล.ร.9</t>
  </si>
  <si>
    <t>พัน.สร.13</t>
  </si>
  <si>
    <t>พัน.สร.กรม สน.พล.ร.15</t>
  </si>
  <si>
    <t>พัน.สร.22 บชร.2</t>
  </si>
  <si>
    <t>พัน.สร.23 บชร.3</t>
  </si>
  <si>
    <t>ควภ.บชร.4</t>
  </si>
  <si>
    <t>Temperature indicator with Resistance thermometer</t>
  </si>
  <si>
    <t>Col.</t>
  </si>
  <si>
    <t>Lt.Col.</t>
  </si>
  <si>
    <t>Lt.</t>
  </si>
  <si>
    <t>SM1</t>
  </si>
  <si>
    <t>Sgt.</t>
  </si>
  <si>
    <t>Miss</t>
  </si>
  <si>
    <t>Phramongkutklao Hospital</t>
  </si>
  <si>
    <t>Bangkok</t>
  </si>
  <si>
    <t>Freezer</t>
  </si>
  <si>
    <t>Refrigerator</t>
  </si>
  <si>
    <t>Incubator</t>
  </si>
  <si>
    <t>Oven</t>
  </si>
  <si>
    <t>หน่วยรับบริการ</t>
  </si>
  <si>
    <t>ZIP code</t>
  </si>
  <si>
    <t>8 Phayathai, Thung phayathai, Ratchathewi</t>
  </si>
  <si>
    <t>รพ.พระมงกุฏเกล้า</t>
  </si>
  <si>
    <t>315 Ratchawithi, Thung phayathai, Ratchathewi</t>
  </si>
  <si>
    <t>Institute of Pathology</t>
  </si>
  <si>
    <t>2/2 Phayathai , Thung phayathai, Ratchathewi</t>
  </si>
  <si>
    <t>Fort Thanarat Hospital</t>
  </si>
  <si>
    <t>รพ.รร.นายร้อยพระจุลจอมเกล้า</t>
  </si>
  <si>
    <t>Chulachomklao Royal Military Academy Hospital</t>
  </si>
  <si>
    <t>99 Suwansorn , Brahmani, Muang Nakhon Nayok</t>
  </si>
  <si>
    <t>Nakhon Nayok</t>
  </si>
  <si>
    <t>Fort Chakkraphong Hospital</t>
  </si>
  <si>
    <t>779 Na Mueang, Muang Prachinburi</t>
  </si>
  <si>
    <t>Fort Surasi Hospital</t>
  </si>
  <si>
    <t>281 Lat Ya, Muang Kanchanaburi</t>
  </si>
  <si>
    <t>Kanchanaburi</t>
  </si>
  <si>
    <t>Fort Surasinghanart Hospital</t>
  </si>
  <si>
    <t>1/30 Phak Huai , Aranyaprathet</t>
  </si>
  <si>
    <t>Sa Kaeo</t>
  </si>
  <si>
    <t>Fort Panurangsi Hospital</t>
  </si>
  <si>
    <t>285/1 Khok Mo , Muang Ratchaburi</t>
  </si>
  <si>
    <t>Ratchaburi</t>
  </si>
  <si>
    <t>Saraburi</t>
  </si>
  <si>
    <t>301 Ban Suan, Mueang Chon Buri</t>
  </si>
  <si>
    <t>Fort Ramratchaniwet Hospital</t>
  </si>
  <si>
    <t>Fort Suranari Hospital</t>
  </si>
  <si>
    <t>211 pibul la-aied, Nong Phai lom, Muang Nakhon Ratchasima</t>
  </si>
  <si>
    <t>Fort Sunpasitthiprasong Hospital</t>
  </si>
  <si>
    <t>Fort Prackaksinlapakhom Hospital</t>
  </si>
  <si>
    <t>550 Thahan, Mak Khaeng, Muang Udon Thani</t>
  </si>
  <si>
    <t>Udon Thani</t>
  </si>
  <si>
    <t>Fort Somdej Phrabuddha Yodfachulaloke Maharaja Hospital</t>
  </si>
  <si>
    <t>Roi Et</t>
  </si>
  <si>
    <t>Fort Krit Siwara Hospital</t>
  </si>
  <si>
    <t>Fort Srisongrak Hospital</t>
  </si>
  <si>
    <t>Loei</t>
  </si>
  <si>
    <t>Fort Somdej Phranaresuan Maharaj Hospital</t>
  </si>
  <si>
    <t>9 Ban Khlong, Muang Phitsanulok</t>
  </si>
  <si>
    <t>Nakhon Sawan</t>
  </si>
  <si>
    <t>285 Chiangmai-lamphun, Wat Ket , Mueang Chiang Mai</t>
  </si>
  <si>
    <t>Chiang Mai</t>
  </si>
  <si>
    <t>Fort Mengraimaharaj Hospital</t>
  </si>
  <si>
    <t>Fort Pichai Dap Hak Hospital</t>
  </si>
  <si>
    <t>102 Samranruen, Tha Sao, Mueang Uttaradit</t>
  </si>
  <si>
    <t>Uttaradit</t>
  </si>
  <si>
    <t>รพ.ค่ายสุรศักดิ์มนตรี</t>
  </si>
  <si>
    <t>1 Phaholyothin, Phicha, Mueang Lampang</t>
  </si>
  <si>
    <t>Lampang</t>
  </si>
  <si>
    <t>Fort Phokhunphamueang Hospital</t>
  </si>
  <si>
    <t>99/2329 Saraburi-Lomsak, Satang , Mueang Phetchabun</t>
  </si>
  <si>
    <t>Fort Wachiraprakan Hospital</t>
  </si>
  <si>
    <t xml:space="preserve">รพ.ค่ายขุนเจืองธรรมิกราช </t>
  </si>
  <si>
    <t>200 Thawangthong, Muang Phayao</t>
  </si>
  <si>
    <t>Phayao</t>
  </si>
  <si>
    <t>Fort Suriyaphong Hospital</t>
  </si>
  <si>
    <t>330 Nan-Santisuk, fai-kaeo, Phu Phiang</t>
  </si>
  <si>
    <t>Nan</t>
  </si>
  <si>
    <t>Fort Wachirawut Hospital</t>
  </si>
  <si>
    <t>283 Ratchadamnoen, Pakpoon, Mueang Nakhon Si Thammarat</t>
  </si>
  <si>
    <t>191 Kanchanavanich, Kho Hong, Hat Yai</t>
  </si>
  <si>
    <t>Songkhla</t>
  </si>
  <si>
    <t>Fort Wiphavadirangsit Hospital</t>
  </si>
  <si>
    <t>233 Makham Tia, Muang Surat Thani</t>
  </si>
  <si>
    <t>Surat Thani</t>
  </si>
  <si>
    <t>Fort Thepsatsrisunthon Hospital</t>
  </si>
  <si>
    <t>181 Kapang, Thungsong</t>
  </si>
  <si>
    <t>Fort Ingkhayutthaborihan Hospital</t>
  </si>
  <si>
    <t>2 Bo Thong, Nong Chik</t>
  </si>
  <si>
    <t>Pattani</t>
  </si>
  <si>
    <t>Fort Khetudomsak Hospital</t>
  </si>
  <si>
    <t>1st Combat Medical Battalion</t>
  </si>
  <si>
    <t>2nd Combat Medical Battalion</t>
  </si>
  <si>
    <t>Mai ked, Muang Prachinburi</t>
  </si>
  <si>
    <t>3rd Combat Medical Battalion</t>
  </si>
  <si>
    <t>Pho glang, Muang Nakhon Ratchasima</t>
  </si>
  <si>
    <t>4th Combat Medical Battalion</t>
  </si>
  <si>
    <t>Ban Khlong, Muang Phitsanulok</t>
  </si>
  <si>
    <t>Phitsanulok</t>
  </si>
  <si>
    <t>5th Combat Medical Battalion</t>
  </si>
  <si>
    <t>6th Combat Medical Battalion</t>
  </si>
  <si>
    <t>8th Combat Medical Battalion</t>
  </si>
  <si>
    <t>Sadiang, Mueang Phetchabun</t>
  </si>
  <si>
    <t>Phetchabun</t>
  </si>
  <si>
    <t>Combat Medical Battalion, 9th Service Support Regiment</t>
  </si>
  <si>
    <t>13th Combat Medical Battalion</t>
  </si>
  <si>
    <t>Combat Medical Battalion, 15th Service Support Regiment</t>
  </si>
  <si>
    <t>108 Koh sa bha, Thepha</t>
  </si>
  <si>
    <t>22nd Combat Medical Battalion</t>
  </si>
  <si>
    <t>Nong Phai lom, Muang Nakhon Ratchasima</t>
  </si>
  <si>
    <t>23rd Combat Medical Battalion</t>
  </si>
  <si>
    <t>Aranyik, Mueang Phitsanulok</t>
  </si>
  <si>
    <t>4th Army Support Command</t>
  </si>
  <si>
    <t>Address</t>
  </si>
  <si>
    <t>City</t>
  </si>
  <si>
    <t>Service Unit</t>
  </si>
  <si>
    <t>Personnel</t>
  </si>
  <si>
    <t>Number :</t>
  </si>
  <si>
    <t>Rank</t>
  </si>
  <si>
    <t>51/8 Thahan, Nakhonchaisri, Dusit</t>
  </si>
  <si>
    <t>Defective</t>
  </si>
  <si>
    <t>Condition of unit under calibration</t>
  </si>
  <si>
    <t>Nakhon Si Thammarat</t>
  </si>
  <si>
    <t xml:space="preserve"> Lopburi</t>
  </si>
  <si>
    <t>Prachuap Khiri Khan</t>
  </si>
  <si>
    <t>Prachinburi</t>
  </si>
  <si>
    <t>Chon Buri</t>
  </si>
  <si>
    <t>Phetchaburi</t>
  </si>
  <si>
    <t>Nakhon Ratchasima</t>
  </si>
  <si>
    <t>Surin</t>
  </si>
  <si>
    <t>Sakon Nakhon</t>
  </si>
  <si>
    <t>Khon Kaen</t>
  </si>
  <si>
    <t>Buriram</t>
  </si>
  <si>
    <t>Chiang Rai</t>
  </si>
  <si>
    <t>Tak</t>
  </si>
  <si>
    <t>Chumphon</t>
  </si>
  <si>
    <t>286 Lat Ya, Mueang Kanchanaburi</t>
  </si>
  <si>
    <t>35 Phichaidadhak, Khao Sam Yot, Mueang Lopburi</t>
  </si>
  <si>
    <t>35 Khao Sam Yot , Mueang Lopburi</t>
  </si>
  <si>
    <t>125 Phetkasem, Khao Noi, Pranburi</t>
  </si>
  <si>
    <t>54 Pak Sleao, Mitraphap, Mueang Saraburi</t>
  </si>
  <si>
    <t>121 Khlong Krasang, Mueang Phetchaburi</t>
  </si>
  <si>
    <t>383 Warin-Pibul , Saensuk, Warin Chamrap</t>
  </si>
  <si>
    <t>777 Surin-Prasat , Nong Muang , Mueang Surin</t>
  </si>
  <si>
    <t>100/123 Thatnaweng, Muang Sakon Nakhon</t>
  </si>
  <si>
    <t>100 Kasikorn ThungSang , Sila , Mueang Khon Kaen</t>
  </si>
  <si>
    <t>147 Buriram Prakhonchai,  Samet , Mueang Buriram</t>
  </si>
  <si>
    <t>68 Loei-Chiang Khan , Srisamrak, Muang Loei</t>
  </si>
  <si>
    <t>161 Phaholyothin, Klangsaeng, Muang Nakhon Sawan</t>
  </si>
  <si>
    <t>256 Rob Wiang, Mueang Chiang Rai</t>
  </si>
  <si>
    <t>337 Mai Ngam, Mueang Tak</t>
  </si>
  <si>
    <t>Ananda Mahidol Hospital</t>
  </si>
  <si>
    <t>Fort Weerawatyothin Hospital</t>
  </si>
  <si>
    <t>Fort Kawila Hospital</t>
  </si>
  <si>
    <t>Repeatability of UUC</t>
  </si>
  <si>
    <t xml:space="preserve"> - ค่า Interpolation </t>
  </si>
  <si>
    <t>Calculation</t>
  </si>
  <si>
    <t>1 เลือกชุดข้อมูลทั้ง 2</t>
  </si>
  <si>
    <t>r/min</t>
  </si>
  <si>
    <t>2 คลิกเลือกกราฟแบบ scatter</t>
  </si>
  <si>
    <t>3 คลิกขวาที่จุดข้อมูลเลือกเพิ่มเส้นแนวโน้ม</t>
  </si>
  <si>
    <t>4 เลือกโพลิโนเมียล จากนั้นเลือก order แล้วเลือกแสดงสมการ</t>
  </si>
  <si>
    <t>measurement</t>
  </si>
  <si>
    <t>Record measurement</t>
  </si>
  <si>
    <t>Interpolation equation</t>
  </si>
  <si>
    <t>STD Reading+Correction</t>
  </si>
  <si>
    <t>UUC Reading</t>
  </si>
  <si>
    <t>STD Reading</t>
  </si>
  <si>
    <t>uT Int</t>
  </si>
  <si>
    <t>y = 1E-09x2 - 1E-06x + 0.0001 R² = 1</t>
  </si>
  <si>
    <t xml:space="preserve"> - ค่า error ระหว่างค่าที่ได้จากการสอบเทียบกับค่าที่ได้จากการคำนวณ (ไม่คิดเครื่องหมาย)</t>
  </si>
  <si>
    <t>แล้วเลือกค่าที่มากที่สุดจะเป็นค่า Interpolation error</t>
  </si>
  <si>
    <t>Y=ค่าแก้</t>
  </si>
  <si>
    <t>X=จุดที่ต้องการ</t>
  </si>
  <si>
    <t xml:space="preserve">X1 =จุดที่ต่ำกว่า X </t>
  </si>
  <si>
    <t>Y1 =ค่าแก้ที่จุด X1</t>
  </si>
  <si>
    <t xml:space="preserve">X2 =จุดที่สูงกว่า X </t>
  </si>
  <si>
    <t xml:space="preserve">Y2 =ค่าแก้ที่จุด X2 </t>
  </si>
  <si>
    <t xml:space="preserve">± r/min </t>
  </si>
  <si>
    <t xml:space="preserve">Calibration uncertainty of standard </t>
  </si>
  <si>
    <t xml:space="preserve">r/min </t>
  </si>
  <si>
    <t xml:space="preserve">Drift of standard </t>
  </si>
  <si>
    <t xml:space="preserve">Resolution of standard </t>
  </si>
  <si>
    <t>Resolution of  UUC</t>
  </si>
  <si>
    <t xml:space="preserve">Interpolation of standard </t>
  </si>
  <si>
    <t>Repeatability of STD</t>
  </si>
  <si>
    <t>uc</t>
  </si>
  <si>
    <t>Reporting of rotating speed (r/min)</t>
  </si>
  <si>
    <t>Cal.point</t>
  </si>
  <si>
    <t>UUC setting</t>
  </si>
  <si>
    <t>UUC reading</t>
  </si>
  <si>
    <t>STD reading</t>
  </si>
  <si>
    <t>(r/min)</t>
  </si>
  <si>
    <t>±(r/min)</t>
  </si>
  <si>
    <t>STD = Standard</t>
  </si>
  <si>
    <t>UUC = Unit Under Calibration</t>
  </si>
  <si>
    <r>
      <rPr>
        <b/>
        <sz val="12"/>
        <rFont val="Times New Roman"/>
        <family val="1"/>
      </rPr>
      <t>Calibration Method Used</t>
    </r>
    <r>
      <rPr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:</t>
    </r>
    <r>
      <rPr>
        <sz val="12"/>
        <rFont val="Times New Roman"/>
        <family val="1"/>
      </rPr>
      <t xml:space="preserve"> WI-09-ELC-001 by comparing against Standard Hand Tachometer</t>
    </r>
  </si>
  <si>
    <t>This calibration was performed by direct measurement of generated speed of rotation using calibrated tachometer.</t>
  </si>
  <si>
    <t>The data was recorded in steady state at a specfied speed.</t>
  </si>
  <si>
    <t xml:space="preserve">value </t>
  </si>
  <si>
    <t xml:space="preserve">± </t>
  </si>
  <si>
    <t>Veff</t>
  </si>
  <si>
    <r>
      <t>d</t>
    </r>
    <r>
      <rPr>
        <b/>
        <i/>
        <sz val="10"/>
        <rFont val="Times New Roman"/>
        <family val="1"/>
      </rPr>
      <t>T</t>
    </r>
    <r>
      <rPr>
        <b/>
        <i/>
        <vertAlign val="subscript"/>
        <sz val="10"/>
        <rFont val="Times New Roman"/>
        <family val="1"/>
      </rPr>
      <t>Cal_Std</t>
    </r>
  </si>
  <si>
    <r>
      <t>d</t>
    </r>
    <r>
      <rPr>
        <b/>
        <i/>
        <sz val="10"/>
        <rFont val="Times New Roman"/>
        <family val="1"/>
      </rPr>
      <t xml:space="preserve">T </t>
    </r>
    <r>
      <rPr>
        <b/>
        <i/>
        <vertAlign val="subscript"/>
        <sz val="10"/>
        <rFont val="Times New Roman"/>
        <family val="1"/>
      </rPr>
      <t>Drift_Std</t>
    </r>
  </si>
  <si>
    <r>
      <t>d</t>
    </r>
    <r>
      <rPr>
        <b/>
        <i/>
        <sz val="10"/>
        <rFont val="Times New Roman"/>
        <family val="1"/>
      </rPr>
      <t xml:space="preserve">T </t>
    </r>
    <r>
      <rPr>
        <b/>
        <i/>
        <vertAlign val="subscript"/>
        <sz val="10"/>
        <rFont val="Times New Roman"/>
        <family val="1"/>
      </rPr>
      <t>Res_Std</t>
    </r>
  </si>
  <si>
    <r>
      <t>d</t>
    </r>
    <r>
      <rPr>
        <b/>
        <i/>
        <sz val="10"/>
        <rFont val="Times New Roman"/>
        <family val="1"/>
      </rPr>
      <t xml:space="preserve">T </t>
    </r>
    <r>
      <rPr>
        <b/>
        <i/>
        <vertAlign val="subscript"/>
        <sz val="10"/>
        <rFont val="Times New Roman"/>
        <family val="1"/>
      </rPr>
      <t>Res_UUC</t>
    </r>
  </si>
  <si>
    <r>
      <t>d</t>
    </r>
    <r>
      <rPr>
        <b/>
        <i/>
        <sz val="10"/>
        <rFont val="Times New Roman"/>
        <family val="1"/>
      </rPr>
      <t xml:space="preserve">T </t>
    </r>
    <r>
      <rPr>
        <b/>
        <i/>
        <vertAlign val="subscript"/>
        <sz val="10"/>
        <rFont val="Times New Roman"/>
        <family val="1"/>
      </rPr>
      <t>Inter</t>
    </r>
  </si>
  <si>
    <r>
      <t>d</t>
    </r>
    <r>
      <rPr>
        <b/>
        <i/>
        <sz val="10"/>
        <rFont val="Times New Roman"/>
        <family val="1"/>
      </rPr>
      <t xml:space="preserve">T </t>
    </r>
    <r>
      <rPr>
        <b/>
        <i/>
        <vertAlign val="subscript"/>
        <sz val="10"/>
        <rFont val="Times New Roman"/>
        <family val="1"/>
      </rPr>
      <t>Rep_STD</t>
    </r>
  </si>
  <si>
    <r>
      <t>d</t>
    </r>
    <r>
      <rPr>
        <b/>
        <i/>
        <sz val="10"/>
        <rFont val="Times New Roman"/>
        <family val="1"/>
      </rPr>
      <t xml:space="preserve">T </t>
    </r>
    <r>
      <rPr>
        <b/>
        <i/>
        <vertAlign val="subscript"/>
        <sz val="10"/>
        <rFont val="Times New Roman"/>
        <family val="1"/>
      </rPr>
      <t>Rep_uuc</t>
    </r>
  </si>
  <si>
    <t>minute</t>
  </si>
  <si>
    <t>Time measurement</t>
  </si>
  <si>
    <t>Timer (Minute)*</t>
  </si>
  <si>
    <t>Time setting</t>
  </si>
  <si>
    <t>(Minute)</t>
  </si>
  <si>
    <t>*: Not TISI Accredited in this Certificate have been included for completeness</t>
  </si>
  <si>
    <t>Result of calibration</t>
  </si>
  <si>
    <t>No. Point</t>
  </si>
  <si>
    <t>Cal. Point</t>
  </si>
  <si>
    <t>Status</t>
  </si>
  <si>
    <t>เพิ่มจุดสอบเทียบ</t>
  </si>
  <si>
    <t>1.ใส่ No.Point ทุกลำดับ</t>
  </si>
  <si>
    <t>2.ใส่ Cal. Point ทุกลำดับ</t>
  </si>
  <si>
    <t>3.กดปุ่ม กดเพื่อเพิ่ม</t>
  </si>
  <si>
    <t>4.รอจนขึ้นคำว่า Complete ทุกอัน</t>
  </si>
  <si>
    <r>
      <t>q</t>
    </r>
    <r>
      <rPr>
        <b/>
        <i/>
        <vertAlign val="subscript"/>
        <sz val="11"/>
        <rFont val="Times New Roman"/>
        <family val="1"/>
      </rPr>
      <t>5</t>
    </r>
  </si>
  <si>
    <t>*เวลาทำแค่จุดละครั้ง</t>
  </si>
  <si>
    <t>Temperature &amp; Humidity</t>
  </si>
  <si>
    <t>Timer</t>
  </si>
  <si>
    <t>*Time check</t>
  </si>
  <si>
    <t>STD(r/min)</t>
  </si>
  <si>
    <t>STD (r/min)</t>
  </si>
  <si>
    <t>Error</t>
  </si>
  <si>
    <t>Triangular</t>
  </si>
  <si>
    <t>√6</t>
  </si>
  <si>
    <t>รพ.ค่ายสมเด็จพระนเรศวรมหาราช</t>
  </si>
  <si>
    <t xml:space="preserve">Medical Equipment Calibration Laboratory, </t>
  </si>
  <si>
    <t xml:space="preserve">Medical Supplies Maintenance Section of Medical Depot Division of </t>
  </si>
  <si>
    <t>Royal Thai Army Medical Department</t>
  </si>
  <si>
    <t xml:space="preserve">8/1 Phaya Thai Road, Thung Phaya Thai, Ratchathewi, </t>
  </si>
  <si>
    <t>Fort Senanarong Hospital</t>
  </si>
  <si>
    <t>รพ.ค่ายพระยอดเมืองขวาง</t>
  </si>
  <si>
    <t>Fort Phrayotmueangkhwang Hospital</t>
  </si>
  <si>
    <t>Kurukhu, Mueang Nakhon Phanom</t>
  </si>
  <si>
    <t>Nakhon Phanom</t>
  </si>
  <si>
    <t>Fort Adison Hospital</t>
  </si>
  <si>
    <t>Fort Nawamintharachini Hospital</t>
  </si>
  <si>
    <t>Fort Chiraprawat Hospital</t>
  </si>
  <si>
    <t>Fort Khunchueangthammikkarat Hospital</t>
  </si>
  <si>
    <t>Fort Sri-patcharinthorn Hospital</t>
  </si>
  <si>
    <t>Fort Somdet Chao Phraya Mahakasatsuek Hospital</t>
  </si>
  <si>
    <t>25 °C ± 5 °C</t>
  </si>
  <si>
    <t>UUC Time setting
เวลาที่ตั้ง</t>
  </si>
  <si>
    <t>STD Time Reading
เวลาที่อ่านได้จาก STD</t>
  </si>
  <si>
    <t>Minute</t>
  </si>
  <si>
    <t>Totsaphon  Alunpipatthanachai</t>
  </si>
  <si>
    <t>Tawatchai  Inhom</t>
  </si>
  <si>
    <t>Kriangkrai  Taisawang</t>
  </si>
  <si>
    <t>Sarayut  Ek-onsang</t>
  </si>
  <si>
    <t>Songkiet  Yamaumpon</t>
  </si>
  <si>
    <t>Thawadchai  Pruksarattananon</t>
  </si>
  <si>
    <t>Nattapong  Yubram</t>
  </si>
  <si>
    <t>Ramesh  Autsadayuth</t>
  </si>
  <si>
    <t>Anotai  Kloekratok</t>
  </si>
  <si>
    <t>Satit  Tipmanee</t>
  </si>
  <si>
    <t>124 Chaeng Sanit Rd, Pho Sai, Mueang Roi Et</t>
  </si>
  <si>
    <t>Kritdanai  Rergwitee</t>
  </si>
  <si>
    <t>Cal Date</t>
  </si>
  <si>
    <t>.</t>
  </si>
  <si>
    <t>Maj.</t>
  </si>
  <si>
    <t>Sataporn Rakjaroen</t>
  </si>
  <si>
    <t>SubLt.</t>
  </si>
  <si>
    <t>Chaloem Thongim</t>
  </si>
  <si>
    <t>Chombhunut  Thanatphonphakdee</t>
  </si>
  <si>
    <t>Tool Code</t>
  </si>
  <si>
    <t>Equipment</t>
  </si>
  <si>
    <t>Brand</t>
  </si>
  <si>
    <t>Cal. Date</t>
  </si>
  <si>
    <t>Cer No.</t>
  </si>
  <si>
    <t>W-ELC-001</t>
  </si>
  <si>
    <t>Digital Tachometer</t>
  </si>
  <si>
    <t>FLUKE</t>
  </si>
  <si>
    <t>W-ELC-002</t>
  </si>
  <si>
    <t>Testo</t>
  </si>
  <si>
    <t>1802191</t>
  </si>
  <si>
    <t>W-ELC-003</t>
  </si>
  <si>
    <t>DIGICON</t>
  </si>
  <si>
    <t>DT-250TP</t>
  </si>
  <si>
    <t>C.30741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</si>
  <si>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</si>
  <si>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</si>
  <si>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</si>
  <si>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</si>
  <si>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</si>
  <si>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</si>
  <si>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</si>
  <si>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</si>
  <si>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</si>
  <si>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</si>
  <si>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</si>
  <si>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</si>
  <si>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</si>
  <si>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</si>
  <si>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</si>
  <si>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</si>
  <si>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</si>
  <si>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</si>
  <si>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</si>
  <si>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1847069</t>
  </si>
  <si>
    <t>W-ETC-001</t>
  </si>
  <si>
    <t>Digital Thermo Hygrometer</t>
  </si>
  <si>
    <t>ROTRONIC</t>
  </si>
  <si>
    <t>BL-1D</t>
  </si>
  <si>
    <t>A18061013</t>
  </si>
  <si>
    <t>W-ETC-002</t>
  </si>
  <si>
    <t>A18061026</t>
  </si>
  <si>
    <t>W-ETC-003</t>
  </si>
  <si>
    <t>A18061029</t>
  </si>
  <si>
    <t>W-ETC-007</t>
  </si>
  <si>
    <t>A18061028</t>
  </si>
  <si>
    <t>Timer Junsd</t>
  </si>
  <si>
    <t>Digital Stopwatch</t>
  </si>
  <si>
    <t>Junsd</t>
  </si>
  <si>
    <t>JS-320</t>
  </si>
  <si>
    <t>E11758</t>
  </si>
  <si>
    <t>Timer Seiko</t>
  </si>
  <si>
    <t>Seiko</t>
  </si>
  <si>
    <t>S057-4000</t>
  </si>
  <si>
    <t>880018</t>
  </si>
  <si>
    <t>Ratchathani</t>
  </si>
  <si>
    <t>119 , Phosai, Srisomdet</t>
  </si>
  <si>
    <t>193 Moo 1, Wang Mai, Mueang Chumphon</t>
  </si>
  <si>
    <t>Calibration place:</t>
  </si>
  <si>
    <t>Calibration place</t>
  </si>
  <si>
    <t>25E2621</t>
  </si>
  <si>
    <t>8-13 Aug 2025</t>
  </si>
  <si>
    <t>25H1571</t>
  </si>
  <si>
    <t>23-31 Jul 2025</t>
  </si>
  <si>
    <t>25H1490</t>
  </si>
  <si>
    <t>25H1572</t>
  </si>
  <si>
    <t>25E2620</t>
  </si>
  <si>
    <t>25E3136</t>
  </si>
  <si>
    <t>25E3124</t>
  </si>
  <si>
    <t>/69</t>
  </si>
  <si>
    <t>30 Sep - 2 Oct 2025</t>
  </si>
  <si>
    <t>25H1893</t>
  </si>
  <si>
    <t>วิทยาลัยแพทยศาสตร์พระมงกุฎเกล้า</t>
  </si>
  <si>
    <t>Phramongkutklao College of Medicine</t>
  </si>
  <si>
    <t>317 Ratchawithi, Thung phayathai, Ratchathewi</t>
  </si>
  <si>
    <t>วิทยาลัยพยาบาลกองทัพบก</t>
  </si>
  <si>
    <t>The Royal Thai Army Nursing College</t>
  </si>
  <si>
    <t>317/6 Ratchawithi, Thung phayathai, Ratchathewi</t>
  </si>
  <si>
    <t>สถาบันวิจัยวิทยาศาสตร์การแพทย์ทหาร</t>
  </si>
  <si>
    <t>Armed Forces Research Institute of Medical Sciences</t>
  </si>
  <si>
    <t>315/6 Ratchawithi, Thung phayathai, Ratchathewi</t>
  </si>
  <si>
    <t>SM2</t>
  </si>
  <si>
    <t>60 % ± 20 %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</si>
</sst>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87" formatCode="0.000"/>
    <numFmt numFmtId="188" formatCode="0.0000"/>
    <numFmt numFmtId="189" formatCode="0.0"/>
    <numFmt numFmtId="190" formatCode="dd/m/yyyy"/>
    <numFmt numFmtId="191" formatCode="[$-1000000]h:mm:ss;@"/>
    <numFmt numFmtId="192" formatCode="d/mmmm/yyyy"/>
    <numFmt numFmtId="193" formatCode="[$-1010409]d\ mmmm\ yyyy;@"/>
    <numFmt numFmtId="194" formatCode="[$-1010000]d/m/yyyy;@"/>
    <numFmt numFmtId="195" formatCode="#,##0.0"/>
    <numFmt numFmtId="196" formatCode="_-* #,##0.0_-;\-* #,##0.0_-;_-* &quot;-&quot;??_-;_-@_-"/>
    <numFmt numFmtId="197" formatCode="0;\-0;&quot;&quot;"/>
    <numFmt numFmtId="198" formatCode="[$-1010409]d\ mmm\ yyyy;@"/>
  </numFmts>
  <fonts count="68" x14ac:knownFonts="1">
    <font>
      <sz val="10"/>
      <name val="Arial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1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b/>
      <i/>
      <vertAlign val="subscript"/>
      <sz val="11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2"/>
      <name val="TH Sarabun New"/>
      <family val="2"/>
    </font>
    <font>
      <sz val="14"/>
      <name val="TH Sarabun New"/>
      <family val="2"/>
      <charset val="222"/>
    </font>
    <font>
      <b/>
      <sz val="14"/>
      <name val="TH Sarabun New"/>
      <family val="2"/>
      <charset val="222"/>
    </font>
    <font>
      <sz val="14"/>
      <name val="TH Sarabun New"/>
      <family val="2"/>
    </font>
    <font>
      <b/>
      <sz val="14"/>
      <color indexed="8"/>
      <name val="TH Sarabun New"/>
      <family val="2"/>
    </font>
    <font>
      <b/>
      <vertAlign val="superscript"/>
      <sz val="11"/>
      <name val="Times New Roman"/>
      <family val="1"/>
    </font>
    <font>
      <i/>
      <sz val="11"/>
      <name val="Times New Roman"/>
      <family val="1"/>
    </font>
    <font>
      <b/>
      <sz val="26"/>
      <name val="Times New Roman"/>
      <family val="1"/>
    </font>
    <font>
      <sz val="12"/>
      <name val="TH Sarabun New"/>
      <family val="2"/>
      <charset val="222"/>
    </font>
    <font>
      <b/>
      <i/>
      <sz val="14"/>
      <name val="TH Sarabun New"/>
      <family val="2"/>
      <charset val="222"/>
    </font>
    <font>
      <sz val="12"/>
      <name val="Times New Roman"/>
      <family val="1"/>
    </font>
    <font>
      <b/>
      <sz val="12"/>
      <name val="Times New Roman"/>
      <family val="1"/>
    </font>
    <font>
      <sz val="14"/>
      <name val="Times New Roman"/>
      <family val="1"/>
    </font>
    <font>
      <b/>
      <sz val="12"/>
      <color indexed="30"/>
      <name val="Times New Roman"/>
      <family val="1"/>
    </font>
    <font>
      <b/>
      <sz val="14"/>
      <name val="Times New Roman"/>
      <family val="1"/>
    </font>
    <font>
      <b/>
      <sz val="20"/>
      <name val="Times New Roman"/>
      <family val="1"/>
    </font>
    <font>
      <vertAlign val="superscript"/>
      <sz val="11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  <charset val="222"/>
    </font>
    <font>
      <b/>
      <sz val="14"/>
      <name val="Times New Roman"/>
      <family val="1"/>
      <charset val="222"/>
    </font>
    <font>
      <b/>
      <u/>
      <sz val="12"/>
      <name val="Times New Roman"/>
      <family val="1"/>
    </font>
    <font>
      <u/>
      <sz val="12"/>
      <name val="Times New Roman"/>
      <family val="1"/>
    </font>
    <font>
      <sz val="12"/>
      <color indexed="48"/>
      <name val="Times New Roman"/>
      <family val="1"/>
    </font>
    <font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4"/>
      <name val="TH SarabunPSK"/>
      <family val="2"/>
      <charset val="222"/>
    </font>
    <font>
      <b/>
      <sz val="14"/>
      <name val="TH SarabunPSK"/>
      <family val="2"/>
    </font>
    <font>
      <sz val="11"/>
      <color indexed="8"/>
      <name val="Times New Roman"/>
      <family val="1"/>
    </font>
    <font>
      <sz val="10"/>
      <name val="Times New Roman"/>
      <family val="1"/>
    </font>
    <font>
      <b/>
      <sz val="14"/>
      <color theme="1"/>
      <name val="TH SarabunPSK"/>
      <family val="2"/>
    </font>
    <font>
      <b/>
      <sz val="14"/>
      <name val="TH Sarabun New"/>
      <family val="2"/>
    </font>
    <font>
      <sz val="14"/>
      <color theme="1"/>
      <name val="TH SarabunPSK"/>
      <family val="2"/>
    </font>
    <font>
      <sz val="16"/>
      <color theme="1"/>
      <name val="TH SarabunPSK"/>
      <family val="2"/>
    </font>
    <font>
      <sz val="14"/>
      <name val="TH SarabunPSK"/>
      <family val="2"/>
    </font>
    <font>
      <sz val="16"/>
      <name val="TH SarabunPSK"/>
      <family val="2"/>
    </font>
    <font>
      <sz val="11"/>
      <name val="Times New Roman"/>
      <family val="1"/>
      <charset val="222"/>
    </font>
    <font>
      <i/>
      <sz val="12"/>
      <name val="Times New Roman"/>
      <family val="1"/>
    </font>
    <font>
      <sz val="10"/>
      <name val="Times New Roman"/>
      <family val="1"/>
      <charset val="222"/>
    </font>
    <font>
      <sz val="11"/>
      <color theme="1"/>
      <name val="Times New Roman"/>
      <family val="1"/>
      <charset val="222"/>
    </font>
    <font>
      <sz val="10"/>
      <color theme="1"/>
      <name val="Times New Roman"/>
      <family val="1"/>
      <charset val="222"/>
    </font>
    <font>
      <i/>
      <sz val="16"/>
      <name val="TH Sarabun New"/>
      <family val="2"/>
    </font>
    <font>
      <sz val="11"/>
      <name val="TH Sarabun New"/>
      <family val="2"/>
      <charset val="222"/>
    </font>
    <font>
      <b/>
      <sz val="16"/>
      <name val="TH SarabunPSK"/>
      <family val="2"/>
      <charset val="222"/>
    </font>
    <font>
      <sz val="10"/>
      <name val="Arial"/>
      <family val="2"/>
    </font>
    <font>
      <b/>
      <sz val="12"/>
      <name val="TH Sarabun New"/>
      <family val="2"/>
    </font>
    <font>
      <b/>
      <i/>
      <sz val="14"/>
      <name val="TH Sarabun New"/>
      <family val="2"/>
    </font>
    <font>
      <b/>
      <i/>
      <sz val="10"/>
      <name val="Symbol"/>
      <family val="1"/>
      <charset val="222"/>
    </font>
    <font>
      <b/>
      <i/>
      <sz val="10"/>
      <name val="Times New Roman"/>
      <family val="1"/>
    </font>
    <font>
      <b/>
      <i/>
      <vertAlign val="subscript"/>
      <sz val="10"/>
      <name val="Times New Roman"/>
      <family val="1"/>
    </font>
    <font>
      <b/>
      <sz val="18"/>
      <color rgb="FF000000"/>
      <name val="TH Sarabun New"/>
      <family val="2"/>
    </font>
    <font>
      <b/>
      <sz val="11"/>
      <name val="Times New Roman"/>
      <family val="1"/>
      <charset val="222"/>
    </font>
    <font>
      <sz val="16"/>
      <name val="TH Sarabun New"/>
      <family val="2"/>
    </font>
    <font>
      <sz val="14"/>
      <name val="Times New Roman"/>
      <family val="1"/>
      <charset val="222"/>
    </font>
    <font>
      <b/>
      <sz val="12"/>
      <name val="Times New Roman"/>
      <family val="1"/>
      <charset val="222"/>
    </font>
    <font>
      <sz val="9"/>
      <name val="Times New Roman"/>
      <family val="1"/>
    </font>
    <font>
      <b/>
      <sz val="16"/>
      <name val="TH Sarabun New"/>
      <family val="2"/>
    </font>
    <font>
      <b/>
      <sz val="11"/>
      <name val="TH Sarabun New"/>
      <family val="2"/>
      <charset val="222"/>
    </font>
    <font>
      <sz val="10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87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3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53" fillId="0" borderId="0" applyFont="0" applyFill="0" applyBorder="0" applyAlignment="0" applyProtection="0"/>
    <xf numFmtId="0" fontId="2" fillId="0" borderId="0"/>
    <xf numFmtId="0" fontId="1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" fillId="0" borderId="0"/>
  </cellStyleXfs>
  <cellXfs count="553">
    <xf numFmtId="0" fontId="0" fillId="0" borderId="0" xfId="0"/>
    <xf numFmtId="0" fontId="1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190" fontId="10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0" fillId="0" borderId="25" xfId="0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25" xfId="0" applyFont="1" applyBorder="1" applyAlignment="1">
      <alignment vertical="center"/>
    </xf>
    <xf numFmtId="0" fontId="22" fillId="0" borderId="25" xfId="0" applyFont="1" applyBorder="1" applyAlignment="1">
      <alignment horizontal="left" vertical="center"/>
    </xf>
    <xf numFmtId="9" fontId="22" fillId="0" borderId="25" xfId="0" applyNumberFormat="1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9" fontId="20" fillId="0" borderId="0" xfId="0" applyNumberFormat="1" applyFont="1" applyAlignment="1">
      <alignment horizontal="left" vertical="center"/>
    </xf>
    <xf numFmtId="0" fontId="20" fillId="0" borderId="25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quotePrefix="1" applyFont="1" applyAlignment="1">
      <alignment vertical="center"/>
    </xf>
    <xf numFmtId="0" fontId="22" fillId="0" borderId="25" xfId="0" quotePrefix="1" applyFont="1" applyBorder="1" applyAlignment="1">
      <alignment vertical="center"/>
    </xf>
    <xf numFmtId="0" fontId="22" fillId="0" borderId="25" xfId="0" applyFont="1" applyBorder="1" applyAlignment="1">
      <alignment horizontal="center" vertical="center"/>
    </xf>
    <xf numFmtId="187" fontId="20" fillId="0" borderId="0" xfId="0" applyNumberFormat="1" applyFont="1" applyAlignment="1">
      <alignment vertical="center"/>
    </xf>
    <xf numFmtId="0" fontId="4" fillId="0" borderId="0" xfId="0" quotePrefix="1" applyFont="1" applyAlignment="1">
      <alignment vertical="center"/>
    </xf>
    <xf numFmtId="0" fontId="21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20" fillId="0" borderId="40" xfId="0" applyFont="1" applyBorder="1" applyAlignment="1">
      <alignment vertical="center"/>
    </xf>
    <xf numFmtId="0" fontId="20" fillId="0" borderId="60" xfId="0" applyFont="1" applyBorder="1" applyAlignment="1">
      <alignment vertical="center"/>
    </xf>
    <xf numFmtId="0" fontId="22" fillId="0" borderId="40" xfId="0" applyFont="1" applyBorder="1" applyAlignment="1">
      <alignment vertical="center"/>
    </xf>
    <xf numFmtId="0" fontId="22" fillId="0" borderId="40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34" fillId="3" borderId="11" xfId="0" applyFont="1" applyFill="1" applyBorder="1" applyAlignment="1">
      <alignment horizontal="center" vertical="center"/>
    </xf>
    <xf numFmtId="0" fontId="34" fillId="2" borderId="26" xfId="0" applyFont="1" applyFill="1" applyBorder="1" applyAlignment="1">
      <alignment horizontal="center" vertical="center"/>
    </xf>
    <xf numFmtId="0" fontId="34" fillId="2" borderId="62" xfId="0" applyFont="1" applyFill="1" applyBorder="1" applyAlignment="1">
      <alignment horizontal="center" vertical="center"/>
    </xf>
    <xf numFmtId="0" fontId="34" fillId="2" borderId="24" xfId="0" applyFont="1" applyFill="1" applyBorder="1" applyAlignment="1">
      <alignment horizontal="center" vertical="center"/>
    </xf>
    <xf numFmtId="0" fontId="21" fillId="0" borderId="43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64" xfId="0" applyFont="1" applyBorder="1" applyAlignment="1">
      <alignment vertical="center"/>
    </xf>
    <xf numFmtId="0" fontId="4" fillId="0" borderId="0" xfId="0" applyFont="1" applyAlignment="1">
      <alignment horizontal="left" vertical="top" wrapText="1"/>
    </xf>
    <xf numFmtId="0" fontId="20" fillId="0" borderId="0" xfId="0" applyFont="1" applyAlignment="1" applyProtection="1">
      <alignment vertical="center"/>
      <protection locked="0"/>
    </xf>
    <xf numFmtId="0" fontId="21" fillId="0" borderId="0" xfId="0" applyFont="1" applyAlignment="1" applyProtection="1">
      <alignment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187" fontId="20" fillId="0" borderId="0" xfId="0" applyNumberFormat="1" applyFont="1" applyAlignment="1" applyProtection="1">
      <alignment vertical="center"/>
      <protection locked="0"/>
    </xf>
    <xf numFmtId="188" fontId="20" fillId="0" borderId="0" xfId="0" applyNumberFormat="1" applyFont="1" applyAlignment="1" applyProtection="1">
      <alignment vertical="center"/>
      <protection locked="0"/>
    </xf>
    <xf numFmtId="2" fontId="20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3" fontId="52" fillId="0" borderId="0" xfId="3" applyNumberFormat="1" applyFont="1" applyProtection="1">
      <protection locked="0"/>
    </xf>
    <xf numFmtId="3" fontId="44" fillId="0" borderId="0" xfId="3" applyNumberFormat="1" applyFont="1" applyProtection="1">
      <protection locked="0"/>
    </xf>
    <xf numFmtId="0" fontId="23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2" fontId="20" fillId="0" borderId="0" xfId="0" applyNumberFormat="1" applyFont="1" applyAlignment="1" applyProtection="1">
      <alignment vertical="center"/>
      <protection locked="0"/>
    </xf>
    <xf numFmtId="2" fontId="21" fillId="0" borderId="0" xfId="0" applyNumberFormat="1" applyFont="1" applyAlignment="1" applyProtection="1">
      <alignment vertical="center"/>
      <protection locked="0"/>
    </xf>
    <xf numFmtId="0" fontId="25" fillId="0" borderId="0" xfId="0" applyFont="1" applyAlignment="1">
      <alignment horizontal="center" vertical="center"/>
    </xf>
    <xf numFmtId="0" fontId="62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6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21" fillId="0" borderId="0" xfId="0" applyNumberFormat="1" applyFont="1" applyAlignment="1">
      <alignment vertical="center"/>
    </xf>
    <xf numFmtId="49" fontId="22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0" fontId="6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0" fillId="0" borderId="25" xfId="0" applyBorder="1"/>
    <xf numFmtId="0" fontId="0" fillId="0" borderId="25" xfId="0" applyBorder="1" applyAlignment="1">
      <alignment vertical="center"/>
    </xf>
    <xf numFmtId="0" fontId="61" fillId="0" borderId="0" xfId="3" applyFont="1" applyAlignment="1">
      <alignment vertical="center"/>
    </xf>
    <xf numFmtId="0" fontId="65" fillId="8" borderId="62" xfId="3" applyFont="1" applyFill="1" applyBorder="1" applyAlignment="1">
      <alignment horizontal="center" vertical="center"/>
    </xf>
    <xf numFmtId="0" fontId="65" fillId="8" borderId="24" xfId="3" applyFont="1" applyFill="1" applyBorder="1" applyAlignment="1">
      <alignment horizontal="center" vertical="center"/>
    </xf>
    <xf numFmtId="0" fontId="65" fillId="9" borderId="62" xfId="3" applyFont="1" applyFill="1" applyBorder="1" applyAlignment="1">
      <alignment horizontal="center" vertical="center"/>
    </xf>
    <xf numFmtId="0" fontId="65" fillId="9" borderId="24" xfId="3" applyFont="1" applyFill="1" applyBorder="1" applyAlignment="1">
      <alignment horizontal="center" vertical="center"/>
    </xf>
    <xf numFmtId="197" fontId="65" fillId="0" borderId="0" xfId="3" applyNumberFormat="1" applyFont="1" applyAlignment="1">
      <alignment vertical="center"/>
    </xf>
    <xf numFmtId="197" fontId="65" fillId="8" borderId="26" xfId="3" applyNumberFormat="1" applyFont="1" applyFill="1" applyBorder="1" applyAlignment="1">
      <alignment horizontal="center" vertical="center"/>
    </xf>
    <xf numFmtId="197" fontId="61" fillId="0" borderId="86" xfId="3" applyNumberFormat="1" applyFont="1" applyBorder="1" applyAlignment="1">
      <alignment horizontal="center" vertical="center" wrapText="1"/>
    </xf>
    <xf numFmtId="197" fontId="65" fillId="9" borderId="26" xfId="3" applyNumberFormat="1" applyFont="1" applyFill="1" applyBorder="1" applyAlignment="1">
      <alignment horizontal="center" vertical="center"/>
    </xf>
    <xf numFmtId="197" fontId="61" fillId="0" borderId="0" xfId="3" applyNumberFormat="1" applyFont="1" applyAlignment="1">
      <alignment vertical="center"/>
    </xf>
    <xf numFmtId="198" fontId="61" fillId="0" borderId="0" xfId="3" applyNumberFormat="1" applyFont="1" applyAlignment="1">
      <alignment vertical="center"/>
    </xf>
    <xf numFmtId="198" fontId="65" fillId="8" borderId="62" xfId="3" applyNumberFormat="1" applyFont="1" applyFill="1" applyBorder="1" applyAlignment="1">
      <alignment horizontal="center" vertical="center"/>
    </xf>
    <xf numFmtId="198" fontId="61" fillId="0" borderId="86" xfId="3" applyNumberFormat="1" applyFont="1" applyBorder="1" applyAlignment="1">
      <alignment horizontal="center" vertical="center" wrapText="1"/>
    </xf>
    <xf numFmtId="198" fontId="65" fillId="9" borderId="62" xfId="3" applyNumberFormat="1" applyFont="1" applyFill="1" applyBorder="1" applyAlignment="1">
      <alignment horizontal="center" vertical="center"/>
    </xf>
    <xf numFmtId="197" fontId="61" fillId="0" borderId="86" xfId="3" applyNumberFormat="1" applyFont="1" applyBorder="1" applyAlignment="1">
      <alignment horizontal="left" vertical="center" wrapText="1"/>
    </xf>
    <xf numFmtId="0" fontId="61" fillId="0" borderId="0" xfId="3" applyFont="1" applyAlignment="1">
      <alignment horizontal="left" vertical="center"/>
    </xf>
    <xf numFmtId="0" fontId="65" fillId="9" borderId="62" xfId="3" applyFont="1" applyFill="1" applyBorder="1" applyAlignment="1">
      <alignment horizontal="left" vertical="center"/>
    </xf>
    <xf numFmtId="1" fontId="20" fillId="0" borderId="0" xfId="0" applyNumberFormat="1" applyFont="1" applyAlignment="1">
      <alignment vertical="center"/>
    </xf>
    <xf numFmtId="0" fontId="5" fillId="0" borderId="0" xfId="2" applyFont="1" applyAlignment="1">
      <alignment horizontal="left" vertical="center"/>
    </xf>
    <xf numFmtId="0" fontId="4" fillId="0" borderId="0" xfId="2" applyFont="1" applyAlignment="1">
      <alignment vertical="center"/>
    </xf>
    <xf numFmtId="0" fontId="5" fillId="0" borderId="0" xfId="2" applyFont="1" applyAlignment="1">
      <alignment horizontal="right" vertical="center"/>
    </xf>
    <xf numFmtId="0" fontId="5" fillId="0" borderId="0" xfId="2" applyFont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41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42" fillId="0" borderId="0" xfId="2" applyFont="1" applyAlignment="1">
      <alignment vertical="center"/>
    </xf>
    <xf numFmtId="0" fontId="5" fillId="0" borderId="0" xfId="2" applyFont="1" applyAlignment="1">
      <alignment vertical="center"/>
    </xf>
    <xf numFmtId="11" fontId="40" fillId="0" borderId="0" xfId="2" applyNumberFormat="1" applyFont="1" applyAlignment="1">
      <alignment vertical="center"/>
    </xf>
    <xf numFmtId="11" fontId="11" fillId="0" borderId="0" xfId="2" applyNumberFormat="1" applyFont="1" applyAlignment="1">
      <alignment vertical="center"/>
    </xf>
    <xf numFmtId="0" fontId="36" fillId="0" borderId="14" xfId="2" applyFont="1" applyBorder="1" applyAlignment="1">
      <alignment horizontal="center" vertical="center"/>
    </xf>
    <xf numFmtId="0" fontId="41" fillId="0" borderId="11" xfId="2" applyFont="1" applyBorder="1" applyAlignment="1">
      <alignment horizontal="center" vertical="center"/>
    </xf>
    <xf numFmtId="189" fontId="41" fillId="0" borderId="11" xfId="2" applyNumberFormat="1" applyFont="1" applyBorder="1" applyAlignment="1">
      <alignment horizontal="center" vertical="center" wrapText="1"/>
    </xf>
    <xf numFmtId="189" fontId="41" fillId="0" borderId="11" xfId="2" applyNumberFormat="1" applyFont="1" applyBorder="1" applyAlignment="1">
      <alignment horizontal="center" vertical="center"/>
    </xf>
    <xf numFmtId="188" fontId="41" fillId="0" borderId="11" xfId="2" applyNumberFormat="1" applyFont="1" applyBorder="1" applyAlignment="1">
      <alignment horizontal="center" vertical="center"/>
    </xf>
    <xf numFmtId="2" fontId="5" fillId="0" borderId="0" xfId="2" applyNumberFormat="1" applyFont="1" applyAlignment="1">
      <alignment vertical="center"/>
    </xf>
    <xf numFmtId="0" fontId="15" fillId="0" borderId="0" xfId="2" applyFont="1" applyAlignment="1">
      <alignment horizontal="left" vertical="center"/>
    </xf>
    <xf numFmtId="1" fontId="41" fillId="0" borderId="11" xfId="2" applyNumberFormat="1" applyFont="1" applyBorder="1" applyAlignment="1">
      <alignment horizontal="center" vertical="center" wrapText="1"/>
    </xf>
    <xf numFmtId="1" fontId="41" fillId="0" borderId="11" xfId="2" applyNumberFormat="1" applyFont="1" applyBorder="1" applyAlignment="1">
      <alignment horizontal="center" vertical="center"/>
    </xf>
    <xf numFmtId="0" fontId="40" fillId="0" borderId="0" xfId="2" applyFont="1" applyAlignment="1">
      <alignment vertical="center"/>
    </xf>
    <xf numFmtId="0" fontId="45" fillId="0" borderId="0" xfId="3" applyFont="1"/>
    <xf numFmtId="0" fontId="45" fillId="0" borderId="12" xfId="3" applyFont="1" applyBorder="1" applyAlignment="1">
      <alignment horizontal="center"/>
    </xf>
    <xf numFmtId="0" fontId="45" fillId="0" borderId="11" xfId="3" applyFont="1" applyBorder="1" applyAlignment="1">
      <alignment horizontal="center"/>
    </xf>
    <xf numFmtId="0" fontId="45" fillId="0" borderId="0" xfId="2" applyFont="1"/>
    <xf numFmtId="0" fontId="17" fillId="0" borderId="0" xfId="2" applyFont="1" applyAlignment="1">
      <alignment horizontal="center" vertical="center" textRotation="90"/>
    </xf>
    <xf numFmtId="0" fontId="45" fillId="0" borderId="15" xfId="2" applyFont="1" applyBorder="1" applyAlignment="1">
      <alignment horizontal="center"/>
    </xf>
    <xf numFmtId="0" fontId="45" fillId="0" borderId="11" xfId="2" applyFont="1" applyBorder="1" applyAlignment="1">
      <alignment horizontal="center"/>
    </xf>
    <xf numFmtId="0" fontId="47" fillId="0" borderId="0" xfId="2" applyFont="1"/>
    <xf numFmtId="0" fontId="39" fillId="0" borderId="11" xfId="2" applyFont="1" applyBorder="1" applyAlignment="1">
      <alignment horizontal="center" vertical="center"/>
    </xf>
    <xf numFmtId="0" fontId="43" fillId="0" borderId="0" xfId="2" applyFont="1" applyAlignment="1">
      <alignment vertical="center"/>
    </xf>
    <xf numFmtId="0" fontId="44" fillId="0" borderId="0" xfId="2" applyFont="1" applyAlignment="1">
      <alignment vertical="center" wrapText="1"/>
    </xf>
    <xf numFmtId="189" fontId="48" fillId="0" borderId="11" xfId="2" applyNumberFormat="1" applyFont="1" applyBorder="1" applyAlignment="1">
      <alignment horizontal="center" vertical="center" wrapText="1"/>
    </xf>
    <xf numFmtId="189" fontId="48" fillId="6" borderId="11" xfId="2" applyNumberFormat="1" applyFont="1" applyFill="1" applyBorder="1" applyAlignment="1">
      <alignment horizontal="center" vertical="center"/>
    </xf>
    <xf numFmtId="0" fontId="49" fillId="0" borderId="0" xfId="2" applyFont="1" applyAlignment="1">
      <alignment vertical="center"/>
    </xf>
    <xf numFmtId="3" fontId="48" fillId="0" borderId="11" xfId="2" applyNumberFormat="1" applyFont="1" applyBorder="1" applyAlignment="1">
      <alignment horizontal="center" vertical="center" wrapText="1"/>
    </xf>
    <xf numFmtId="1" fontId="48" fillId="6" borderId="11" xfId="2" applyNumberFormat="1" applyFont="1" applyFill="1" applyBorder="1" applyAlignment="1">
      <alignment horizontal="center" vertical="center"/>
    </xf>
    <xf numFmtId="0" fontId="45" fillId="0" borderId="0" xfId="3" applyFont="1" applyAlignment="1">
      <alignment horizontal="right"/>
    </xf>
    <xf numFmtId="3" fontId="45" fillId="0" borderId="11" xfId="3" applyNumberFormat="1" applyFont="1" applyBorder="1" applyAlignment="1">
      <alignment horizontal="center" vertical="center"/>
    </xf>
    <xf numFmtId="188" fontId="45" fillId="6" borderId="11" xfId="3" applyNumberFormat="1" applyFont="1" applyFill="1" applyBorder="1" applyAlignment="1">
      <alignment horizontal="center" vertical="center"/>
    </xf>
    <xf numFmtId="0" fontId="6" fillId="0" borderId="50" xfId="2" applyFont="1" applyBorder="1" applyAlignment="1">
      <alignment vertical="center"/>
    </xf>
    <xf numFmtId="189" fontId="50" fillId="0" borderId="50" xfId="2" applyNumberFormat="1" applyFont="1" applyBorder="1" applyAlignment="1">
      <alignment vertical="center"/>
    </xf>
    <xf numFmtId="187" fontId="50" fillId="0" borderId="50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187" fontId="50" fillId="0" borderId="0" xfId="2" applyNumberFormat="1" applyFont="1" applyAlignment="1">
      <alignment vertical="center"/>
    </xf>
    <xf numFmtId="0" fontId="8" fillId="0" borderId="0" xfId="3"/>
    <xf numFmtId="0" fontId="16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189" fontId="16" fillId="0" borderId="0" xfId="2" applyNumberFormat="1" applyFont="1" applyAlignment="1">
      <alignment horizontal="center" vertical="center"/>
    </xf>
    <xf numFmtId="0" fontId="51" fillId="0" borderId="0" xfId="2" applyFont="1" applyAlignment="1">
      <alignment vertical="center"/>
    </xf>
    <xf numFmtId="188" fontId="51" fillId="0" borderId="0" xfId="2" applyNumberFormat="1" applyFont="1" applyAlignment="1">
      <alignment vertical="center"/>
    </xf>
    <xf numFmtId="0" fontId="11" fillId="0" borderId="0" xfId="2" applyFont="1"/>
    <xf numFmtId="0" fontId="40" fillId="0" borderId="0" xfId="2" applyFont="1" applyAlignment="1">
      <alignment horizontal="left" vertical="center"/>
    </xf>
    <xf numFmtId="2" fontId="21" fillId="0" borderId="0" xfId="0" applyNumberFormat="1" applyFont="1" applyAlignment="1">
      <alignment vertical="center"/>
    </xf>
    <xf numFmtId="0" fontId="13" fillId="0" borderId="0" xfId="2" applyFont="1" applyAlignment="1">
      <alignment horizontal="center" vertical="center"/>
    </xf>
    <xf numFmtId="189" fontId="20" fillId="0" borderId="0" xfId="0" applyNumberFormat="1" applyFont="1" applyAlignment="1">
      <alignment vertical="center"/>
    </xf>
    <xf numFmtId="21" fontId="20" fillId="0" borderId="0" xfId="0" applyNumberFormat="1" applyFont="1" applyAlignment="1">
      <alignment vertical="center"/>
    </xf>
    <xf numFmtId="189" fontId="11" fillId="4" borderId="71" xfId="2" applyNumberFormat="1" applyFont="1" applyFill="1" applyBorder="1" applyAlignment="1">
      <alignment vertical="center"/>
    </xf>
    <xf numFmtId="189" fontId="11" fillId="4" borderId="50" xfId="2" applyNumberFormat="1" applyFont="1" applyFill="1" applyBorder="1" applyAlignment="1">
      <alignment vertical="center"/>
    </xf>
    <xf numFmtId="189" fontId="11" fillId="4" borderId="10" xfId="2" applyNumberFormat="1" applyFont="1" applyFill="1" applyBorder="1" applyAlignment="1">
      <alignment vertical="center"/>
    </xf>
    <xf numFmtId="187" fontId="13" fillId="0" borderId="0" xfId="2" applyNumberFormat="1" applyFont="1" applyAlignment="1">
      <alignment horizontal="center" vertical="center"/>
    </xf>
    <xf numFmtId="189" fontId="11" fillId="4" borderId="21" xfId="2" applyNumberFormat="1" applyFont="1" applyFill="1" applyBorder="1" applyAlignment="1">
      <alignment vertical="center"/>
    </xf>
    <xf numFmtId="189" fontId="11" fillId="4" borderId="54" xfId="2" applyNumberFormat="1" applyFont="1" applyFill="1" applyBorder="1" applyAlignment="1">
      <alignment vertical="center"/>
    </xf>
    <xf numFmtId="189" fontId="11" fillId="4" borderId="22" xfId="2" applyNumberFormat="1" applyFont="1" applyFill="1" applyBorder="1" applyAlignment="1">
      <alignment vertical="center"/>
    </xf>
    <xf numFmtId="0" fontId="19" fillId="0" borderId="0" xfId="2" applyFont="1" applyAlignment="1">
      <alignment horizontal="center" vertical="center"/>
    </xf>
    <xf numFmtId="0" fontId="54" fillId="0" borderId="0" xfId="2" applyFont="1" applyAlignment="1">
      <alignment horizontal="center" vertical="center"/>
    </xf>
    <xf numFmtId="0" fontId="55" fillId="0" borderId="0" xfId="2" applyFont="1" applyAlignment="1">
      <alignment horizontal="center" vertical="center"/>
    </xf>
    <xf numFmtId="2" fontId="4" fillId="0" borderId="0" xfId="2" applyNumberFormat="1" applyFont="1" applyAlignment="1">
      <alignment horizontal="center" vertical="center"/>
    </xf>
    <xf numFmtId="2" fontId="4" fillId="0" borderId="0" xfId="2" applyNumberFormat="1" applyFont="1" applyAlignment="1">
      <alignment vertical="center"/>
    </xf>
    <xf numFmtId="193" fontId="4" fillId="0" borderId="0" xfId="2" applyNumberFormat="1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vertical="center"/>
    </xf>
    <xf numFmtId="0" fontId="60" fillId="0" borderId="0" xfId="2" applyFont="1" applyAlignment="1">
      <alignment vertical="center"/>
    </xf>
    <xf numFmtId="0" fontId="66" fillId="0" borderId="0" xfId="2" applyFont="1" applyAlignment="1">
      <alignment vertical="center"/>
    </xf>
    <xf numFmtId="0" fontId="51" fillId="0" borderId="0" xfId="2" applyFont="1"/>
    <xf numFmtId="193" fontId="45" fillId="0" borderId="0" xfId="2" applyNumberFormat="1" applyFont="1" applyAlignment="1">
      <alignment vertical="center"/>
    </xf>
    <xf numFmtId="0" fontId="45" fillId="0" borderId="0" xfId="2" applyFont="1" applyAlignment="1">
      <alignment horizontal="right" vertical="center"/>
    </xf>
    <xf numFmtId="0" fontId="4" fillId="0" borderId="0" xfId="2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14" fontId="20" fillId="0" borderId="0" xfId="0" applyNumberFormat="1" applyFont="1" applyAlignment="1">
      <alignment horizontal="left" vertical="center"/>
    </xf>
    <xf numFmtId="0" fontId="27" fillId="0" borderId="59" xfId="0" applyFont="1" applyBorder="1" applyAlignment="1">
      <alignment vertical="center"/>
    </xf>
    <xf numFmtId="14" fontId="21" fillId="0" borderId="0" xfId="0" applyNumberFormat="1" applyFont="1" applyAlignment="1">
      <alignment vertical="center"/>
    </xf>
    <xf numFmtId="0" fontId="21" fillId="0" borderId="25" xfId="0" applyFont="1" applyBorder="1" applyAlignment="1">
      <alignment vertical="center"/>
    </xf>
    <xf numFmtId="3" fontId="20" fillId="0" borderId="0" xfId="0" applyNumberFormat="1" applyFont="1" applyAlignment="1">
      <alignment horizontal="left" vertical="center"/>
    </xf>
    <xf numFmtId="190" fontId="27" fillId="0" borderId="0" xfId="0" applyNumberFormat="1" applyFont="1" applyAlignment="1">
      <alignment vertical="center"/>
    </xf>
    <xf numFmtId="190" fontId="32" fillId="0" borderId="0" xfId="0" applyNumberFormat="1" applyFont="1" applyAlignment="1">
      <alignment vertical="center"/>
    </xf>
    <xf numFmtId="22" fontId="21" fillId="0" borderId="0" xfId="0" applyNumberFormat="1" applyFont="1" applyAlignment="1">
      <alignment horizontal="center" vertical="center"/>
    </xf>
    <xf numFmtId="187" fontId="20" fillId="0" borderId="0" xfId="0" applyNumberFormat="1" applyFont="1" applyAlignment="1">
      <alignment horizontal="center" vertical="center"/>
    </xf>
    <xf numFmtId="190" fontId="32" fillId="0" borderId="0" xfId="0" applyNumberFormat="1" applyFont="1" applyAlignment="1">
      <alignment vertical="center" wrapText="1"/>
    </xf>
    <xf numFmtId="14" fontId="20" fillId="0" borderId="0" xfId="0" applyNumberFormat="1" applyFont="1" applyAlignment="1">
      <alignment vertical="center"/>
    </xf>
    <xf numFmtId="14" fontId="21" fillId="0" borderId="0" xfId="0" applyNumberFormat="1" applyFont="1" applyAlignment="1">
      <alignment horizontal="right" vertical="center"/>
    </xf>
    <xf numFmtId="3" fontId="2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192" fontId="32" fillId="0" borderId="0" xfId="0" quotePrefix="1" applyNumberFormat="1" applyFont="1" applyAlignment="1">
      <alignment vertical="center"/>
    </xf>
    <xf numFmtId="20" fontId="32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0" fontId="20" fillId="0" borderId="11" xfId="0" applyFont="1" applyBorder="1" applyAlignment="1">
      <alignment vertical="center"/>
    </xf>
    <xf numFmtId="0" fontId="4" fillId="0" borderId="43" xfId="0" applyFont="1" applyBorder="1" applyAlignment="1">
      <alignment horizontal="left" vertical="center"/>
    </xf>
    <xf numFmtId="0" fontId="20" fillId="0" borderId="43" xfId="0" applyFont="1" applyBorder="1" applyAlignment="1">
      <alignment vertical="center"/>
    </xf>
    <xf numFmtId="0" fontId="4" fillId="0" borderId="43" xfId="0" applyFont="1" applyBorder="1" applyAlignment="1">
      <alignment horizontal="center" vertical="center"/>
    </xf>
    <xf numFmtId="1" fontId="4" fillId="0" borderId="43" xfId="0" applyNumberFormat="1" applyFont="1" applyBorder="1" applyAlignment="1">
      <alignment horizontal="center" vertical="center"/>
    </xf>
    <xf numFmtId="194" fontId="4" fillId="0" borderId="43" xfId="0" applyNumberFormat="1" applyFont="1" applyBorder="1" applyAlignment="1">
      <alignment horizontal="center" vertical="center"/>
    </xf>
    <xf numFmtId="14" fontId="20" fillId="5" borderId="23" xfId="0" applyNumberFormat="1" applyFont="1" applyFill="1" applyBorder="1" applyAlignment="1" applyProtection="1">
      <alignment vertical="center"/>
      <protection locked="0"/>
    </xf>
    <xf numFmtId="1" fontId="20" fillId="0" borderId="0" xfId="0" applyNumberFormat="1" applyFont="1" applyAlignment="1" applyProtection="1">
      <alignment horizontal="center" vertical="center"/>
      <protection locked="0"/>
    </xf>
    <xf numFmtId="3" fontId="2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49" fontId="20" fillId="5" borderId="0" xfId="0" applyNumberFormat="1" applyFont="1" applyFill="1" applyAlignment="1" applyProtection="1">
      <alignment vertical="center"/>
      <protection locked="0"/>
    </xf>
    <xf numFmtId="14" fontId="20" fillId="5" borderId="0" xfId="0" applyNumberFormat="1" applyFont="1" applyFill="1" applyAlignment="1" applyProtection="1">
      <alignment vertical="center"/>
      <protection locked="0"/>
    </xf>
    <xf numFmtId="0" fontId="45" fillId="0" borderId="23" xfId="2" applyFont="1" applyBorder="1" applyAlignment="1">
      <alignment horizontal="center" vertical="center"/>
    </xf>
    <xf numFmtId="0" fontId="45" fillId="0" borderId="44" xfId="2" applyFont="1" applyBorder="1" applyAlignment="1">
      <alignment horizontal="left" vertical="center"/>
    </xf>
    <xf numFmtId="0" fontId="45" fillId="0" borderId="59" xfId="2" applyFont="1" applyBorder="1" applyAlignment="1">
      <alignment horizontal="center" vertical="center"/>
    </xf>
    <xf numFmtId="193" fontId="45" fillId="0" borderId="44" xfId="2" applyNumberFormat="1" applyFont="1" applyBorder="1" applyAlignment="1">
      <alignment horizontal="left" vertical="center"/>
    </xf>
    <xf numFmtId="0" fontId="6" fillId="0" borderId="56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189" fontId="20" fillId="5" borderId="56" xfId="2" applyNumberFormat="1" applyFont="1" applyFill="1" applyBorder="1" applyAlignment="1" applyProtection="1">
      <alignment horizontal="center" vertical="center"/>
      <protection locked="0"/>
    </xf>
    <xf numFmtId="189" fontId="20" fillId="5" borderId="57" xfId="2" applyNumberFormat="1" applyFont="1" applyFill="1" applyBorder="1" applyAlignment="1" applyProtection="1">
      <alignment horizontal="center" vertical="center"/>
      <protection locked="0"/>
    </xf>
    <xf numFmtId="189" fontId="20" fillId="5" borderId="58" xfId="2" applyNumberFormat="1" applyFont="1" applyFill="1" applyBorder="1" applyAlignment="1" applyProtection="1">
      <alignment horizontal="center" vertical="center"/>
      <protection locked="0"/>
    </xf>
    <xf numFmtId="187" fontId="46" fillId="0" borderId="56" xfId="2" applyNumberFormat="1" applyFont="1" applyBorder="1" applyAlignment="1">
      <alignment horizontal="center" vertical="center"/>
    </xf>
    <xf numFmtId="187" fontId="46" fillId="0" borderId="57" xfId="2" applyNumberFormat="1" applyFont="1" applyBorder="1" applyAlignment="1">
      <alignment horizontal="center" vertical="center"/>
    </xf>
    <xf numFmtId="187" fontId="46" fillId="0" borderId="58" xfId="2" applyNumberFormat="1" applyFont="1" applyBorder="1" applyAlignment="1">
      <alignment horizontal="center" vertical="center"/>
    </xf>
    <xf numFmtId="0" fontId="40" fillId="0" borderId="49" xfId="2" applyFont="1" applyBorder="1" applyAlignment="1">
      <alignment horizontal="center" vertical="center"/>
    </xf>
    <xf numFmtId="0" fontId="40" fillId="0" borderId="50" xfId="2" applyFont="1" applyBorder="1" applyAlignment="1">
      <alignment horizontal="center" vertical="center"/>
    </xf>
    <xf numFmtId="0" fontId="40" fillId="0" borderId="3" xfId="2" applyFont="1" applyBorder="1" applyAlignment="1">
      <alignment horizontal="center" vertical="center"/>
    </xf>
    <xf numFmtId="189" fontId="11" fillId="0" borderId="43" xfId="2" applyNumberFormat="1" applyFont="1" applyBorder="1" applyAlignment="1">
      <alignment horizontal="center" vertical="center"/>
    </xf>
    <xf numFmtId="189" fontId="11" fillId="0" borderId="13" xfId="2" applyNumberFormat="1" applyFont="1" applyBorder="1" applyAlignment="1">
      <alignment horizontal="center" vertical="center"/>
    </xf>
    <xf numFmtId="1" fontId="11" fillId="0" borderId="11" xfId="2" applyNumberFormat="1" applyFont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71" xfId="2" applyFont="1" applyBorder="1" applyAlignment="1">
      <alignment horizontal="center" vertical="center"/>
    </xf>
    <xf numFmtId="0" fontId="40" fillId="0" borderId="5" xfId="2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0" fontId="40" fillId="0" borderId="20" xfId="2" applyFont="1" applyBorder="1" applyAlignment="1">
      <alignment horizontal="center" vertical="center"/>
    </xf>
    <xf numFmtId="0" fontId="40" fillId="0" borderId="54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1" fontId="11" fillId="0" borderId="12" xfId="2" applyNumberFormat="1" applyFont="1" applyBorder="1" applyAlignment="1">
      <alignment horizontal="center" vertical="center"/>
    </xf>
    <xf numFmtId="1" fontId="11" fillId="0" borderId="43" xfId="2" applyNumberFormat="1" applyFont="1" applyBorder="1" applyAlignment="1">
      <alignment horizontal="center" vertical="center"/>
    </xf>
    <xf numFmtId="1" fontId="11" fillId="0" borderId="13" xfId="2" applyNumberFormat="1" applyFont="1" applyBorder="1" applyAlignment="1">
      <alignment horizontal="center" vertical="center"/>
    </xf>
    <xf numFmtId="2" fontId="21" fillId="0" borderId="42" xfId="0" applyNumberFormat="1" applyFont="1" applyBorder="1" applyAlignment="1">
      <alignment horizontal="center" vertical="center"/>
    </xf>
    <xf numFmtId="2" fontId="21" fillId="0" borderId="39" xfId="0" applyNumberFormat="1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19" fillId="0" borderId="7" xfId="2" applyFont="1" applyBorder="1" applyAlignment="1">
      <alignment horizontal="center" vertical="center"/>
    </xf>
    <xf numFmtId="0" fontId="19" fillId="0" borderId="8" xfId="2" applyFont="1" applyBorder="1" applyAlignment="1">
      <alignment horizontal="center" vertical="center"/>
    </xf>
    <xf numFmtId="0" fontId="60" fillId="0" borderId="0" xfId="2" applyFont="1" applyAlignment="1">
      <alignment horizontal="left" vertical="center"/>
    </xf>
    <xf numFmtId="0" fontId="45" fillId="0" borderId="23" xfId="2" applyFont="1" applyBorder="1" applyAlignment="1">
      <alignment horizontal="left" vertical="center"/>
    </xf>
    <xf numFmtId="0" fontId="45" fillId="0" borderId="0" xfId="2" applyFont="1" applyAlignment="1">
      <alignment horizontal="center" vertical="center"/>
    </xf>
    <xf numFmtId="193" fontId="45" fillId="0" borderId="23" xfId="2" applyNumberFormat="1" applyFont="1" applyBorder="1" applyAlignment="1">
      <alignment horizontal="left" vertical="center"/>
    </xf>
    <xf numFmtId="189" fontId="40" fillId="0" borderId="28" xfId="2" applyNumberFormat="1" applyFont="1" applyBorder="1" applyAlignment="1">
      <alignment horizontal="center" vertical="center"/>
    </xf>
    <xf numFmtId="189" fontId="40" fillId="0" borderId="47" xfId="2" applyNumberFormat="1" applyFont="1" applyBorder="1" applyAlignment="1">
      <alignment horizontal="center" vertical="center"/>
    </xf>
    <xf numFmtId="189" fontId="40" fillId="0" borderId="48" xfId="2" applyNumberFormat="1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189" fontId="20" fillId="5" borderId="45" xfId="2" applyNumberFormat="1" applyFont="1" applyFill="1" applyBorder="1" applyAlignment="1" applyProtection="1">
      <alignment horizontal="center" vertical="center"/>
      <protection locked="0"/>
    </xf>
    <xf numFmtId="189" fontId="20" fillId="5" borderId="44" xfId="2" applyNumberFormat="1" applyFont="1" applyFill="1" applyBorder="1" applyAlignment="1" applyProtection="1">
      <alignment horizontal="center" vertical="center"/>
      <protection locked="0"/>
    </xf>
    <xf numFmtId="189" fontId="20" fillId="5" borderId="46" xfId="2" applyNumberFormat="1" applyFont="1" applyFill="1" applyBorder="1" applyAlignment="1" applyProtection="1">
      <alignment horizontal="center" vertical="center"/>
      <protection locked="0"/>
    </xf>
    <xf numFmtId="187" fontId="11" fillId="0" borderId="12" xfId="2" applyNumberFormat="1" applyFont="1" applyBorder="1" applyAlignment="1">
      <alignment horizontal="center" vertical="center"/>
    </xf>
    <xf numFmtId="187" fontId="11" fillId="0" borderId="43" xfId="2" applyNumberFormat="1" applyFont="1" applyBorder="1" applyAlignment="1">
      <alignment horizontal="center" vertical="center"/>
    </xf>
    <xf numFmtId="0" fontId="12" fillId="0" borderId="76" xfId="2" applyFont="1" applyBorder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0" fontId="12" fillId="0" borderId="77" xfId="2" applyFont="1" applyBorder="1" applyAlignment="1">
      <alignment horizontal="center" vertical="center"/>
    </xf>
    <xf numFmtId="0" fontId="12" fillId="0" borderId="5" xfId="2" applyFont="1" applyBorder="1" applyAlignment="1">
      <alignment horizontal="center" vertical="center"/>
    </xf>
    <xf numFmtId="195" fontId="46" fillId="0" borderId="66" xfId="2" applyNumberFormat="1" applyFont="1" applyBorder="1" applyAlignment="1">
      <alignment horizontal="center" vertical="center"/>
    </xf>
    <xf numFmtId="0" fontId="40" fillId="0" borderId="54" xfId="2" applyFont="1" applyBorder="1" applyAlignment="1">
      <alignment horizontal="left" vertical="center"/>
    </xf>
    <xf numFmtId="0" fontId="12" fillId="0" borderId="71" xfId="2" applyFont="1" applyBorder="1" applyAlignment="1">
      <alignment horizontal="center" vertical="center"/>
    </xf>
    <xf numFmtId="0" fontId="12" fillId="0" borderId="50" xfId="2" applyFont="1" applyBorder="1" applyAlignment="1">
      <alignment horizontal="center" vertical="center"/>
    </xf>
    <xf numFmtId="0" fontId="12" fillId="0" borderId="10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0" borderId="54" xfId="2" applyFont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40" fillId="0" borderId="10" xfId="2" applyFont="1" applyBorder="1" applyAlignment="1">
      <alignment horizontal="center" vertical="center"/>
    </xf>
    <xf numFmtId="0" fontId="40" fillId="0" borderId="22" xfId="2" applyFont="1" applyBorder="1" applyAlignment="1">
      <alignment horizontal="center" vertical="center"/>
    </xf>
    <xf numFmtId="0" fontId="19" fillId="0" borderId="79" xfId="2" applyFont="1" applyBorder="1" applyAlignment="1">
      <alignment horizontal="center" vertical="center"/>
    </xf>
    <xf numFmtId="0" fontId="19" fillId="0" borderId="75" xfId="2" applyFont="1" applyBorder="1" applyAlignment="1">
      <alignment horizontal="center" vertical="center"/>
    </xf>
    <xf numFmtId="0" fontId="40" fillId="0" borderId="2" xfId="2" applyFont="1" applyBorder="1" applyAlignment="1">
      <alignment horizontal="center" vertical="center" wrapText="1"/>
    </xf>
    <xf numFmtId="0" fontId="40" fillId="0" borderId="5" xfId="2" applyFont="1" applyBorder="1" applyAlignment="1">
      <alignment horizontal="center" vertical="center" wrapText="1"/>
    </xf>
    <xf numFmtId="3" fontId="46" fillId="0" borderId="45" xfId="5" applyNumberFormat="1" applyFont="1" applyBorder="1" applyAlignment="1" applyProtection="1">
      <alignment horizontal="center" vertical="center"/>
    </xf>
    <xf numFmtId="3" fontId="46" fillId="0" borderId="44" xfId="5" applyNumberFormat="1" applyFont="1" applyBorder="1" applyAlignment="1" applyProtection="1">
      <alignment horizontal="center" vertical="center"/>
    </xf>
    <xf numFmtId="3" fontId="46" fillId="0" borderId="46" xfId="5" applyNumberFormat="1" applyFont="1" applyBorder="1" applyAlignment="1" applyProtection="1">
      <alignment horizontal="center" vertical="center"/>
    </xf>
    <xf numFmtId="4" fontId="46" fillId="0" borderId="67" xfId="5" applyNumberFormat="1" applyFont="1" applyBorder="1" applyAlignment="1" applyProtection="1">
      <alignment horizontal="center" vertical="center"/>
    </xf>
    <xf numFmtId="14" fontId="5" fillId="0" borderId="49" xfId="2" applyNumberFormat="1" applyFont="1" applyBorder="1" applyAlignment="1">
      <alignment horizontal="center" vertical="center"/>
    </xf>
    <xf numFmtId="14" fontId="5" fillId="0" borderId="50" xfId="2" applyNumberFormat="1" applyFont="1" applyBorder="1" applyAlignment="1">
      <alignment horizontal="center" vertical="center"/>
    </xf>
    <xf numFmtId="14" fontId="5" fillId="0" borderId="3" xfId="2" applyNumberFormat="1" applyFont="1" applyBorder="1" applyAlignment="1">
      <alignment horizontal="center" vertical="center"/>
    </xf>
    <xf numFmtId="191" fontId="5" fillId="0" borderId="28" xfId="2" applyNumberFormat="1" applyFont="1" applyBorder="1" applyAlignment="1">
      <alignment horizontal="center" vertical="center"/>
    </xf>
    <xf numFmtId="191" fontId="5" fillId="0" borderId="47" xfId="2" applyNumberFormat="1" applyFont="1" applyBorder="1" applyAlignment="1">
      <alignment horizontal="center" vertical="center"/>
    </xf>
    <xf numFmtId="0" fontId="17" fillId="0" borderId="49" xfId="2" applyFont="1" applyBorder="1" applyAlignment="1">
      <alignment horizontal="center" vertical="center" textRotation="90"/>
    </xf>
    <xf numFmtId="0" fontId="17" fillId="0" borderId="50" xfId="2" applyFont="1" applyBorder="1" applyAlignment="1">
      <alignment horizontal="center" vertical="center" textRotation="90"/>
    </xf>
    <xf numFmtId="0" fontId="17" fillId="0" borderId="3" xfId="2" applyFont="1" applyBorder="1" applyAlignment="1">
      <alignment horizontal="center" vertical="center" textRotation="90"/>
    </xf>
    <xf numFmtId="0" fontId="17" fillId="0" borderId="55" xfId="2" applyFont="1" applyBorder="1" applyAlignment="1">
      <alignment horizontal="center" vertical="center" textRotation="90"/>
    </xf>
    <xf numFmtId="0" fontId="17" fillId="0" borderId="0" xfId="2" applyFont="1" applyAlignment="1">
      <alignment horizontal="center" vertical="center" textRotation="90"/>
    </xf>
    <xf numFmtId="0" fontId="17" fillId="0" borderId="1" xfId="2" applyFont="1" applyBorder="1" applyAlignment="1">
      <alignment horizontal="center" vertical="center" textRotation="90"/>
    </xf>
    <xf numFmtId="0" fontId="17" fillId="0" borderId="20" xfId="2" applyFont="1" applyBorder="1" applyAlignment="1">
      <alignment horizontal="center" vertical="center" textRotation="90"/>
    </xf>
    <xf numFmtId="0" fontId="17" fillId="0" borderId="54" xfId="2" applyFont="1" applyBorder="1" applyAlignment="1">
      <alignment horizontal="center" vertical="center" textRotation="90"/>
    </xf>
    <xf numFmtId="0" fontId="17" fillId="0" borderId="6" xfId="2" applyFont="1" applyBorder="1" applyAlignment="1">
      <alignment horizontal="center" vertical="center" textRotation="90"/>
    </xf>
    <xf numFmtId="14" fontId="5" fillId="0" borderId="55" xfId="2" applyNumberFormat="1" applyFont="1" applyBorder="1" applyAlignment="1">
      <alignment horizontal="center" vertical="center"/>
    </xf>
    <xf numFmtId="14" fontId="5" fillId="0" borderId="0" xfId="2" applyNumberFormat="1" applyFont="1" applyAlignment="1">
      <alignment horizontal="center" vertical="center"/>
    </xf>
    <xf numFmtId="14" fontId="5" fillId="0" borderId="1" xfId="2" applyNumberFormat="1" applyFont="1" applyBorder="1" applyAlignment="1">
      <alignment horizontal="center" vertical="center"/>
    </xf>
    <xf numFmtId="14" fontId="5" fillId="0" borderId="49" xfId="2" quotePrefix="1" applyNumberFormat="1" applyFont="1" applyBorder="1" applyAlignment="1">
      <alignment horizontal="center" vertical="center"/>
    </xf>
    <xf numFmtId="14" fontId="5" fillId="0" borderId="50" xfId="2" quotePrefix="1" applyNumberFormat="1" applyFont="1" applyBorder="1" applyAlignment="1">
      <alignment horizontal="center" vertical="center"/>
    </xf>
    <xf numFmtId="14" fontId="5" fillId="0" borderId="3" xfId="2" quotePrefix="1" applyNumberFormat="1" applyFont="1" applyBorder="1" applyAlignment="1">
      <alignment horizontal="center" vertical="center"/>
    </xf>
    <xf numFmtId="14" fontId="5" fillId="0" borderId="20" xfId="2" quotePrefix="1" applyNumberFormat="1" applyFont="1" applyBorder="1" applyAlignment="1">
      <alignment horizontal="center" vertical="center"/>
    </xf>
    <xf numFmtId="14" fontId="5" fillId="0" borderId="54" xfId="2" quotePrefix="1" applyNumberFormat="1" applyFont="1" applyBorder="1" applyAlignment="1">
      <alignment horizontal="center" vertical="center"/>
    </xf>
    <xf numFmtId="14" fontId="5" fillId="0" borderId="6" xfId="2" quotePrefix="1" applyNumberFormat="1" applyFont="1" applyBorder="1" applyAlignment="1">
      <alignment horizontal="center" vertical="center"/>
    </xf>
    <xf numFmtId="0" fontId="6" fillId="0" borderId="51" xfId="2" applyFont="1" applyBorder="1" applyAlignment="1">
      <alignment horizontal="center" vertical="center"/>
    </xf>
    <xf numFmtId="0" fontId="6" fillId="0" borderId="52" xfId="2" applyFont="1" applyBorder="1" applyAlignment="1">
      <alignment horizontal="center" vertical="center"/>
    </xf>
    <xf numFmtId="0" fontId="6" fillId="0" borderId="53" xfId="2" applyFont="1" applyBorder="1" applyAlignment="1">
      <alignment horizontal="center" vertical="center"/>
    </xf>
    <xf numFmtId="3" fontId="46" fillId="0" borderId="66" xfId="5" applyNumberFormat="1" applyFont="1" applyBorder="1" applyAlignment="1" applyProtection="1">
      <alignment horizontal="center" vertical="center"/>
    </xf>
    <xf numFmtId="4" fontId="46" fillId="0" borderId="66" xfId="5" applyNumberFormat="1" applyFont="1" applyBorder="1" applyAlignment="1" applyProtection="1">
      <alignment horizontal="center" vertical="center"/>
    </xf>
    <xf numFmtId="189" fontId="20" fillId="5" borderId="51" xfId="2" applyNumberFormat="1" applyFont="1" applyFill="1" applyBorder="1" applyAlignment="1" applyProtection="1">
      <alignment horizontal="center" vertical="center"/>
      <protection locked="0"/>
    </xf>
    <xf numFmtId="189" fontId="20" fillId="5" borderId="52" xfId="2" applyNumberFormat="1" applyFont="1" applyFill="1" applyBorder="1" applyAlignment="1" applyProtection="1">
      <alignment horizontal="center" vertical="center"/>
      <protection locked="0"/>
    </xf>
    <xf numFmtId="189" fontId="20" fillId="5" borderId="53" xfId="2" applyNumberFormat="1" applyFont="1" applyFill="1" applyBorder="1" applyAlignment="1" applyProtection="1">
      <alignment horizontal="center" vertical="center"/>
      <protection locked="0"/>
    </xf>
    <xf numFmtId="0" fontId="5" fillId="0" borderId="20" xfId="2" applyFont="1" applyBorder="1" applyAlignment="1">
      <alignment horizontal="center" vertical="center"/>
    </xf>
    <xf numFmtId="0" fontId="5" fillId="0" borderId="54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5" fillId="0" borderId="28" xfId="2" applyFont="1" applyBorder="1" applyAlignment="1">
      <alignment horizontal="center" vertical="center"/>
    </xf>
    <xf numFmtId="0" fontId="5" fillId="0" borderId="47" xfId="2" applyFont="1" applyBorder="1" applyAlignment="1">
      <alignment horizontal="center" vertical="center"/>
    </xf>
    <xf numFmtId="0" fontId="5" fillId="0" borderId="48" xfId="2" applyFont="1" applyBorder="1" applyAlignment="1">
      <alignment horizontal="center" vertical="center"/>
    </xf>
    <xf numFmtId="0" fontId="5" fillId="0" borderId="0" xfId="2" applyFont="1" applyAlignment="1">
      <alignment horizontal="right" vertical="center"/>
    </xf>
    <xf numFmtId="0" fontId="4" fillId="0" borderId="23" xfId="2" applyFont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196" fontId="5" fillId="5" borderId="54" xfId="5" applyNumberFormat="1" applyFont="1" applyFill="1" applyBorder="1" applyAlignment="1" applyProtection="1">
      <alignment horizontal="center" vertical="center"/>
      <protection locked="0"/>
    </xf>
    <xf numFmtId="0" fontId="5" fillId="5" borderId="54" xfId="2" applyFont="1" applyFill="1" applyBorder="1" applyAlignment="1" applyProtection="1">
      <alignment horizontal="center" vertical="center"/>
      <protection locked="0"/>
    </xf>
    <xf numFmtId="195" fontId="5" fillId="0" borderId="0" xfId="2" applyNumberFormat="1" applyFont="1" applyAlignment="1">
      <alignment horizontal="center" vertical="center"/>
    </xf>
    <xf numFmtId="3" fontId="46" fillId="0" borderId="56" xfId="5" applyNumberFormat="1" applyFont="1" applyBorder="1" applyAlignment="1" applyProtection="1">
      <alignment horizontal="center" vertical="center"/>
    </xf>
    <xf numFmtId="3" fontId="46" fillId="0" borderId="57" xfId="5" applyNumberFormat="1" applyFont="1" applyBorder="1" applyAlignment="1" applyProtection="1">
      <alignment horizontal="center" vertical="center"/>
    </xf>
    <xf numFmtId="3" fontId="46" fillId="0" borderId="58" xfId="5" applyNumberFormat="1" applyFont="1" applyBorder="1" applyAlignment="1" applyProtection="1">
      <alignment horizontal="center" vertical="center"/>
    </xf>
    <xf numFmtId="4" fontId="46" fillId="0" borderId="68" xfId="5" applyNumberFormat="1" applyFont="1" applyBorder="1" applyAlignment="1" applyProtection="1">
      <alignment horizontal="center" vertical="center"/>
    </xf>
    <xf numFmtId="187" fontId="11" fillId="0" borderId="9" xfId="2" applyNumberFormat="1" applyFont="1" applyBorder="1" applyAlignment="1">
      <alignment horizontal="center" vertical="center"/>
    </xf>
    <xf numFmtId="187" fontId="11" fillId="0" borderId="73" xfId="2" applyNumberFormat="1" applyFont="1" applyBorder="1" applyAlignment="1">
      <alignment horizontal="center" vertical="center"/>
    </xf>
    <xf numFmtId="189" fontId="11" fillId="0" borderId="73" xfId="2" applyNumberFormat="1" applyFont="1" applyBorder="1" applyAlignment="1">
      <alignment horizontal="center" vertical="center"/>
    </xf>
    <xf numFmtId="189" fontId="11" fillId="0" borderId="19" xfId="2" applyNumberFormat="1" applyFont="1" applyBorder="1" applyAlignment="1">
      <alignment horizontal="center" vertical="center"/>
    </xf>
    <xf numFmtId="2" fontId="40" fillId="0" borderId="75" xfId="2" applyNumberFormat="1" applyFont="1" applyBorder="1" applyAlignment="1">
      <alignment horizontal="center" vertical="center"/>
    </xf>
    <xf numFmtId="0" fontId="54" fillId="0" borderId="21" xfId="2" applyFont="1" applyBorder="1" applyAlignment="1">
      <alignment horizontal="center" vertical="center"/>
    </xf>
    <xf numFmtId="0" fontId="54" fillId="0" borderId="54" xfId="2" applyFont="1" applyBorder="1" applyAlignment="1">
      <alignment horizontal="center" vertical="center"/>
    </xf>
    <xf numFmtId="0" fontId="54" fillId="0" borderId="22" xfId="2" applyFont="1" applyBorder="1" applyAlignment="1">
      <alignment horizontal="center" vertical="center"/>
    </xf>
    <xf numFmtId="187" fontId="11" fillId="0" borderId="15" xfId="2" applyNumberFormat="1" applyFont="1" applyBorder="1" applyAlignment="1">
      <alignment horizontal="center" vertical="center"/>
    </xf>
    <xf numFmtId="187" fontId="11" fillId="0" borderId="40" xfId="2" applyNumberFormat="1" applyFont="1" applyBorder="1" applyAlignment="1">
      <alignment horizontal="center" vertical="center"/>
    </xf>
    <xf numFmtId="189" fontId="11" fillId="0" borderId="40" xfId="2" applyNumberFormat="1" applyFont="1" applyBorder="1" applyAlignment="1">
      <alignment horizontal="center" vertical="center"/>
    </xf>
    <xf numFmtId="189" fontId="11" fillId="0" borderId="41" xfId="2" applyNumberFormat="1" applyFont="1" applyBorder="1" applyAlignment="1">
      <alignment horizontal="center" vertical="center"/>
    </xf>
    <xf numFmtId="0" fontId="11" fillId="0" borderId="8" xfId="2" applyFont="1" applyBorder="1" applyAlignment="1">
      <alignment horizontal="center" vertical="center"/>
    </xf>
    <xf numFmtId="0" fontId="11" fillId="0" borderId="11" xfId="2" applyFont="1" applyBorder="1" applyAlignment="1">
      <alignment horizontal="center" vertical="center"/>
    </xf>
    <xf numFmtId="0" fontId="11" fillId="0" borderId="14" xfId="2" applyFont="1" applyBorder="1" applyAlignment="1">
      <alignment horizontal="center" vertical="center"/>
    </xf>
    <xf numFmtId="187" fontId="13" fillId="0" borderId="9" xfId="2" applyNumberFormat="1" applyFont="1" applyBorder="1" applyAlignment="1">
      <alignment horizontal="center" vertical="center"/>
    </xf>
    <xf numFmtId="187" fontId="13" fillId="0" borderId="73" xfId="2" applyNumberFormat="1" applyFont="1" applyBorder="1" applyAlignment="1">
      <alignment horizontal="center" vertical="center"/>
    </xf>
    <xf numFmtId="187" fontId="13" fillId="0" borderId="74" xfId="2" applyNumberFormat="1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/>
    </xf>
    <xf numFmtId="0" fontId="13" fillId="0" borderId="81" xfId="2" applyFont="1" applyBorder="1" applyAlignment="1">
      <alignment horizontal="center" vertical="center"/>
    </xf>
    <xf numFmtId="189" fontId="11" fillId="0" borderId="28" xfId="2" applyNumberFormat="1" applyFont="1" applyBorder="1" applyAlignment="1">
      <alignment horizontal="center" vertical="center"/>
    </xf>
    <xf numFmtId="189" fontId="11" fillId="0" borderId="47" xfId="2" applyNumberFormat="1" applyFont="1" applyBorder="1" applyAlignment="1">
      <alignment horizontal="center" vertical="center"/>
    </xf>
    <xf numFmtId="189" fontId="11" fillId="0" borderId="48" xfId="2" applyNumberFormat="1" applyFont="1" applyBorder="1" applyAlignment="1">
      <alignment horizontal="center" vertical="center"/>
    </xf>
    <xf numFmtId="0" fontId="11" fillId="0" borderId="49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3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0" fontId="11" fillId="0" borderId="48" xfId="2" applyFont="1" applyBorder="1" applyAlignment="1">
      <alignment horizontal="center" vertical="center"/>
    </xf>
    <xf numFmtId="187" fontId="11" fillId="0" borderId="8" xfId="2" applyNumberFormat="1" applyFont="1" applyBorder="1" applyAlignment="1">
      <alignment horizontal="center" vertical="center"/>
    </xf>
    <xf numFmtId="187" fontId="11" fillId="0" borderId="13" xfId="2" applyNumberFormat="1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73" xfId="2" applyFont="1" applyBorder="1" applyAlignment="1">
      <alignment horizontal="center" vertical="center"/>
    </xf>
    <xf numFmtId="0" fontId="13" fillId="0" borderId="74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4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1" fontId="13" fillId="0" borderId="12" xfId="2" applyNumberFormat="1" applyFont="1" applyBorder="1" applyAlignment="1">
      <alignment horizontal="center" vertical="center"/>
    </xf>
    <xf numFmtId="1" fontId="13" fillId="0" borderId="43" xfId="2" applyNumberFormat="1" applyFont="1" applyBorder="1" applyAlignment="1">
      <alignment horizontal="center" vertical="center"/>
    </xf>
    <xf numFmtId="1" fontId="13" fillId="0" borderId="16" xfId="2" applyNumberFormat="1" applyFont="1" applyBorder="1" applyAlignment="1">
      <alignment horizontal="center" vertical="center"/>
    </xf>
    <xf numFmtId="1" fontId="13" fillId="0" borderId="17" xfId="2" applyNumberFormat="1" applyFont="1" applyBorder="1" applyAlignment="1">
      <alignment horizontal="center" vertical="center"/>
    </xf>
    <xf numFmtId="1" fontId="13" fillId="0" borderId="27" xfId="2" applyNumberFormat="1" applyFont="1" applyBorder="1" applyAlignment="1">
      <alignment horizontal="center" vertical="center"/>
    </xf>
    <xf numFmtId="1" fontId="13" fillId="0" borderId="81" xfId="2" applyNumberFormat="1" applyFont="1" applyBorder="1" applyAlignment="1">
      <alignment horizontal="center" vertical="center"/>
    </xf>
    <xf numFmtId="1" fontId="11" fillId="0" borderId="75" xfId="2" applyNumberFormat="1" applyFont="1" applyBorder="1" applyAlignment="1">
      <alignment horizontal="center" vertical="center"/>
    </xf>
    <xf numFmtId="1" fontId="11" fillId="0" borderId="9" xfId="2" applyNumberFormat="1" applyFont="1" applyBorder="1" applyAlignment="1">
      <alignment horizontal="center" vertical="center"/>
    </xf>
    <xf numFmtId="1" fontId="11" fillId="0" borderId="73" xfId="2" applyNumberFormat="1" applyFont="1" applyBorder="1" applyAlignment="1">
      <alignment horizontal="center" vertical="center"/>
    </xf>
    <xf numFmtId="1" fontId="11" fillId="0" borderId="19" xfId="2" applyNumberFormat="1" applyFont="1" applyBorder="1" applyAlignment="1">
      <alignment horizontal="center" vertical="center"/>
    </xf>
    <xf numFmtId="2" fontId="11" fillId="0" borderId="75" xfId="2" applyNumberFormat="1" applyFont="1" applyBorder="1" applyAlignment="1">
      <alignment horizontal="center" vertical="center"/>
    </xf>
    <xf numFmtId="2" fontId="11" fillId="0" borderId="17" xfId="2" applyNumberFormat="1" applyFont="1" applyBorder="1" applyAlignment="1">
      <alignment horizontal="center" vertical="center"/>
    </xf>
    <xf numFmtId="0" fontId="11" fillId="4" borderId="71" xfId="2" applyFont="1" applyFill="1" applyBorder="1" applyAlignment="1">
      <alignment horizontal="center" vertical="center"/>
    </xf>
    <xf numFmtId="0" fontId="11" fillId="4" borderId="50" xfId="2" applyFont="1" applyFill="1" applyBorder="1" applyAlignment="1">
      <alignment horizontal="center" vertical="center"/>
    </xf>
    <xf numFmtId="0" fontId="11" fillId="4" borderId="10" xfId="2" applyFont="1" applyFill="1" applyBorder="1" applyAlignment="1">
      <alignment horizontal="center" vertical="center"/>
    </xf>
    <xf numFmtId="0" fontId="11" fillId="4" borderId="21" xfId="2" applyFont="1" applyFill="1" applyBorder="1" applyAlignment="1">
      <alignment horizontal="center" vertical="center"/>
    </xf>
    <xf numFmtId="0" fontId="11" fillId="4" borderId="54" xfId="2" applyFont="1" applyFill="1" applyBorder="1" applyAlignment="1">
      <alignment horizontal="center" vertical="center"/>
    </xf>
    <xf numFmtId="0" fontId="11" fillId="4" borderId="22" xfId="2" applyFont="1" applyFill="1" applyBorder="1" applyAlignment="1">
      <alignment horizontal="center" vertical="center"/>
    </xf>
    <xf numFmtId="0" fontId="56" fillId="0" borderId="18" xfId="2" applyFont="1" applyBorder="1" applyAlignment="1">
      <alignment horizontal="left" vertical="center"/>
    </xf>
    <xf numFmtId="0" fontId="56" fillId="0" borderId="73" xfId="2" applyFont="1" applyBorder="1" applyAlignment="1">
      <alignment horizontal="left" vertical="center"/>
    </xf>
    <xf numFmtId="0" fontId="56" fillId="0" borderId="19" xfId="2" applyFont="1" applyBorder="1" applyAlignment="1">
      <alignment horizontal="left" vertical="center"/>
    </xf>
    <xf numFmtId="0" fontId="56" fillId="0" borderId="78" xfId="2" applyFont="1" applyBorder="1" applyAlignment="1">
      <alignment horizontal="left" vertical="center"/>
    </xf>
    <xf numFmtId="0" fontId="56" fillId="0" borderId="43" xfId="2" applyFont="1" applyBorder="1" applyAlignment="1">
      <alignment horizontal="left" vertical="center"/>
    </xf>
    <xf numFmtId="0" fontId="56" fillId="0" borderId="13" xfId="2" applyFont="1" applyBorder="1" applyAlignment="1">
      <alignment horizontal="left" vertical="center"/>
    </xf>
    <xf numFmtId="0" fontId="56" fillId="0" borderId="80" xfId="2" applyFont="1" applyBorder="1" applyAlignment="1">
      <alignment horizontal="left" vertical="center"/>
    </xf>
    <xf numFmtId="0" fontId="56" fillId="0" borderId="40" xfId="2" applyFont="1" applyBorder="1" applyAlignment="1">
      <alignment horizontal="left" vertical="center"/>
    </xf>
    <xf numFmtId="0" fontId="56" fillId="0" borderId="41" xfId="2" applyFont="1" applyBorder="1" applyAlignment="1">
      <alignment horizontal="left" vertical="center"/>
    </xf>
    <xf numFmtId="0" fontId="18" fillId="0" borderId="9" xfId="2" applyFont="1" applyBorder="1" applyAlignment="1">
      <alignment horizontal="left" vertical="center"/>
    </xf>
    <xf numFmtId="0" fontId="18" fillId="0" borderId="73" xfId="2" applyFont="1" applyBorder="1" applyAlignment="1">
      <alignment horizontal="left" vertical="center"/>
    </xf>
    <xf numFmtId="0" fontId="18" fillId="0" borderId="19" xfId="2" applyFont="1" applyBorder="1" applyAlignment="1">
      <alignment horizontal="left" vertical="center"/>
    </xf>
    <xf numFmtId="0" fontId="18" fillId="0" borderId="12" xfId="2" applyFont="1" applyBorder="1" applyAlignment="1">
      <alignment horizontal="left" vertical="center"/>
    </xf>
    <xf numFmtId="0" fontId="18" fillId="0" borderId="43" xfId="2" applyFont="1" applyBorder="1" applyAlignment="1">
      <alignment horizontal="left" vertical="center"/>
    </xf>
    <xf numFmtId="0" fontId="18" fillId="0" borderId="13" xfId="2" applyFont="1" applyBorder="1" applyAlignment="1">
      <alignment horizontal="left" vertical="center"/>
    </xf>
    <xf numFmtId="0" fontId="18" fillId="0" borderId="17" xfId="2" applyFont="1" applyBorder="1" applyAlignment="1">
      <alignment horizontal="left" vertical="center"/>
    </xf>
    <xf numFmtId="0" fontId="18" fillId="0" borderId="27" xfId="2" applyFont="1" applyBorder="1" applyAlignment="1">
      <alignment horizontal="left" vertical="center"/>
    </xf>
    <xf numFmtId="0" fontId="18" fillId="0" borderId="72" xfId="2" applyFont="1" applyBorder="1" applyAlignment="1">
      <alignment horizontal="left" vertical="center"/>
    </xf>
    <xf numFmtId="0" fontId="54" fillId="0" borderId="71" xfId="2" applyFont="1" applyBorder="1" applyAlignment="1">
      <alignment horizontal="center" vertical="center"/>
    </xf>
    <xf numFmtId="0" fontId="54" fillId="0" borderId="50" xfId="2" applyFont="1" applyBorder="1" applyAlignment="1">
      <alignment horizontal="center" vertical="center"/>
    </xf>
    <xf numFmtId="0" fontId="54" fillId="0" borderId="10" xfId="2" applyFont="1" applyBorder="1" applyAlignment="1">
      <alignment horizontal="center" vertical="center"/>
    </xf>
    <xf numFmtId="0" fontId="40" fillId="0" borderId="8" xfId="2" applyFont="1" applyBorder="1" applyAlignment="1">
      <alignment horizontal="center" vertical="center"/>
    </xf>
    <xf numFmtId="0" fontId="55" fillId="0" borderId="75" xfId="2" applyFont="1" applyBorder="1" applyAlignment="1">
      <alignment horizontal="center" vertical="center"/>
    </xf>
    <xf numFmtId="1" fontId="11" fillId="0" borderId="17" xfId="2" applyNumberFormat="1" applyFont="1" applyBorder="1" applyAlignment="1">
      <alignment horizontal="center" vertical="center"/>
    </xf>
    <xf numFmtId="1" fontId="11" fillId="0" borderId="27" xfId="2" applyNumberFormat="1" applyFont="1" applyBorder="1" applyAlignment="1">
      <alignment horizontal="center" vertical="center"/>
    </xf>
    <xf numFmtId="1" fontId="11" fillId="0" borderId="72" xfId="2" applyNumberFormat="1" applyFont="1" applyBorder="1" applyAlignment="1">
      <alignment horizontal="center" vertical="center"/>
    </xf>
    <xf numFmtId="1" fontId="11" fillId="0" borderId="8" xfId="2" applyNumberFormat="1" applyFont="1" applyBorder="1" applyAlignment="1">
      <alignment horizontal="center" vertical="center"/>
    </xf>
    <xf numFmtId="1" fontId="20" fillId="2" borderId="82" xfId="0" applyNumberFormat="1" applyFont="1" applyFill="1" applyBorder="1" applyAlignment="1">
      <alignment horizontal="center" vertical="center"/>
    </xf>
    <xf numFmtId="2" fontId="20" fillId="2" borderId="82" xfId="0" applyNumberFormat="1" applyFont="1" applyFill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3" fontId="20" fillId="2" borderId="82" xfId="0" applyNumberFormat="1" applyFont="1" applyFill="1" applyBorder="1" applyAlignment="1">
      <alignment horizontal="center" vertical="center"/>
    </xf>
    <xf numFmtId="195" fontId="20" fillId="2" borderId="82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189" fontId="20" fillId="0" borderId="70" xfId="0" applyNumberFormat="1" applyFont="1" applyBorder="1" applyAlignment="1" applyProtection="1">
      <alignment horizontal="center" vertical="center"/>
      <protection locked="0"/>
    </xf>
    <xf numFmtId="1" fontId="20" fillId="0" borderId="0" xfId="0" applyNumberFormat="1" applyFont="1" applyAlignment="1">
      <alignment vertical="center"/>
    </xf>
    <xf numFmtId="3" fontId="20" fillId="0" borderId="70" xfId="0" applyNumberFormat="1" applyFont="1" applyBorder="1" applyAlignment="1" applyProtection="1">
      <alignment horizontal="center" vertical="center"/>
      <protection locked="0"/>
    </xf>
    <xf numFmtId="195" fontId="20" fillId="0" borderId="70" xfId="0" applyNumberFormat="1" applyFont="1" applyBorder="1" applyAlignment="1" applyProtection="1">
      <alignment horizontal="center" vertical="center"/>
      <protection locked="0"/>
    </xf>
    <xf numFmtId="1" fontId="20" fillId="0" borderId="70" xfId="0" applyNumberFormat="1" applyFont="1" applyBorder="1" applyAlignment="1" applyProtection="1">
      <alignment horizontal="center" vertical="center"/>
      <protection locked="0"/>
    </xf>
    <xf numFmtId="195" fontId="20" fillId="0" borderId="69" xfId="0" applyNumberFormat="1" applyFont="1" applyBorder="1" applyAlignment="1" applyProtection="1">
      <alignment horizontal="center" vertical="center"/>
      <protection locked="0"/>
    </xf>
    <xf numFmtId="1" fontId="20" fillId="0" borderId="69" xfId="0" applyNumberFormat="1" applyFont="1" applyBorder="1" applyAlignment="1" applyProtection="1">
      <alignment horizontal="center" vertical="center"/>
      <protection locked="0"/>
    </xf>
    <xf numFmtId="189" fontId="20" fillId="0" borderId="69" xfId="0" applyNumberFormat="1" applyFont="1" applyBorder="1" applyAlignment="1" applyProtection="1">
      <alignment horizontal="center" vertical="center"/>
      <protection locked="0"/>
    </xf>
    <xf numFmtId="2" fontId="21" fillId="0" borderId="42" xfId="0" applyNumberFormat="1" applyFont="1" applyBorder="1" applyAlignment="1" applyProtection="1">
      <alignment horizontal="center" vertical="center"/>
      <protection locked="0"/>
    </xf>
    <xf numFmtId="0" fontId="21" fillId="0" borderId="83" xfId="0" applyFont="1" applyBorder="1" applyAlignment="1" applyProtection="1">
      <alignment horizontal="center" vertical="center"/>
      <protection locked="0"/>
    </xf>
    <xf numFmtId="3" fontId="20" fillId="0" borderId="69" xfId="0" applyNumberFormat="1" applyFont="1" applyBorder="1" applyAlignment="1" applyProtection="1">
      <alignment horizontal="center" vertical="center"/>
      <protection locked="0"/>
    </xf>
    <xf numFmtId="2" fontId="21" fillId="0" borderId="83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left" vertical="center"/>
    </xf>
    <xf numFmtId="0" fontId="21" fillId="0" borderId="42" xfId="0" applyFont="1" applyBorder="1" applyAlignment="1" applyProtection="1">
      <alignment horizontal="center" vertical="center"/>
      <protection locked="0"/>
    </xf>
    <xf numFmtId="0" fontId="4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189" fontId="20" fillId="0" borderId="35" xfId="0" applyNumberFormat="1" applyFont="1" applyBorder="1" applyAlignment="1">
      <alignment horizontal="center" vertical="center"/>
    </xf>
    <xf numFmtId="189" fontId="20" fillId="0" borderId="33" xfId="0" applyNumberFormat="1" applyFont="1" applyBorder="1" applyAlignment="1">
      <alignment horizontal="center" vertical="center"/>
    </xf>
    <xf numFmtId="189" fontId="20" fillId="0" borderId="34" xfId="0" applyNumberFormat="1" applyFont="1" applyBorder="1" applyAlignment="1">
      <alignment horizontal="center" vertical="center"/>
    </xf>
    <xf numFmtId="189" fontId="20" fillId="0" borderId="37" xfId="0" applyNumberFormat="1" applyFont="1" applyBorder="1" applyAlignment="1">
      <alignment horizontal="center" vertical="center"/>
    </xf>
    <xf numFmtId="189" fontId="20" fillId="0" borderId="38" xfId="0" applyNumberFormat="1" applyFont="1" applyBorder="1" applyAlignment="1">
      <alignment horizontal="center" vertical="center"/>
    </xf>
    <xf numFmtId="189" fontId="20" fillId="0" borderId="36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vertical="center"/>
    </xf>
    <xf numFmtId="0" fontId="20" fillId="0" borderId="0" xfId="0" applyFont="1" applyAlignment="1">
      <alignment horizontal="center" vertical="center"/>
    </xf>
    <xf numFmtId="193" fontId="20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10" fontId="20" fillId="0" borderId="0" xfId="0" applyNumberFormat="1" applyFont="1" applyAlignment="1">
      <alignment vertical="center"/>
    </xf>
    <xf numFmtId="0" fontId="20" fillId="0" borderId="0" xfId="0" applyFont="1" applyAlignment="1">
      <alignment horizontal="left" vertical="center"/>
    </xf>
    <xf numFmtId="45" fontId="20" fillId="0" borderId="69" xfId="0" applyNumberFormat="1" applyFont="1" applyBorder="1" applyAlignment="1" applyProtection="1">
      <alignment horizontal="center" vertical="center"/>
      <protection locked="0"/>
    </xf>
    <xf numFmtId="0" fontId="20" fillId="0" borderId="4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21" fontId="20" fillId="0" borderId="35" xfId="0" applyNumberFormat="1" applyFont="1" applyBorder="1" applyAlignment="1" applyProtection="1">
      <alignment horizontal="center" vertical="center"/>
      <protection locked="0"/>
    </xf>
    <xf numFmtId="21" fontId="20" fillId="0" borderId="33" xfId="0" applyNumberFormat="1" applyFont="1" applyBorder="1" applyAlignment="1" applyProtection="1">
      <alignment horizontal="center" vertical="center"/>
      <protection locked="0"/>
    </xf>
    <xf numFmtId="21" fontId="20" fillId="0" borderId="34" xfId="0" applyNumberFormat="1" applyFont="1" applyBorder="1" applyAlignment="1" applyProtection="1">
      <alignment horizontal="center" vertical="center"/>
      <protection locked="0"/>
    </xf>
    <xf numFmtId="21" fontId="20" fillId="0" borderId="70" xfId="0" applyNumberFormat="1" applyFont="1" applyBorder="1" applyAlignment="1" applyProtection="1">
      <alignment horizontal="center" vertical="center"/>
      <protection locked="0"/>
    </xf>
    <xf numFmtId="0" fontId="21" fillId="0" borderId="39" xfId="0" applyFont="1" applyBorder="1" applyAlignment="1" applyProtection="1">
      <alignment horizontal="center" vertical="center"/>
      <protection locked="0"/>
    </xf>
    <xf numFmtId="11" fontId="4" fillId="0" borderId="65" xfId="3" applyNumberFormat="1" applyFont="1" applyBorder="1" applyAlignment="1">
      <alignment horizontal="center" vertical="center"/>
    </xf>
    <xf numFmtId="0" fontId="4" fillId="0" borderId="65" xfId="3" applyFont="1" applyBorder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0" fontId="4" fillId="0" borderId="37" xfId="0" applyFont="1" applyBorder="1" applyAlignment="1">
      <alignment horizontal="left" vertical="center"/>
    </xf>
    <xf numFmtId="0" fontId="4" fillId="0" borderId="38" xfId="0" applyFont="1" applyBorder="1" applyAlignment="1">
      <alignment horizontal="left" vertical="center"/>
    </xf>
    <xf numFmtId="0" fontId="4" fillId="0" borderId="36" xfId="0" applyFont="1" applyBorder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198" fontId="4" fillId="0" borderId="64" xfId="0" applyNumberFormat="1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35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0" borderId="34" xfId="0" applyFont="1" applyBorder="1" applyAlignment="1">
      <alignment horizontal="left" vertical="center"/>
    </xf>
    <xf numFmtId="19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0" borderId="43" xfId="0" applyFont="1" applyBorder="1" applyAlignment="1">
      <alignment horizontal="left" vertical="center"/>
    </xf>
    <xf numFmtId="0" fontId="29" fillId="0" borderId="13" xfId="0" applyFont="1" applyBorder="1" applyAlignment="1">
      <alignment horizontal="left" vertical="center"/>
    </xf>
    <xf numFmtId="198" fontId="0" fillId="0" borderId="11" xfId="0" applyNumberFormat="1" applyBorder="1" applyAlignment="1">
      <alignment horizontal="center" vertical="center"/>
    </xf>
    <xf numFmtId="198" fontId="4" fillId="0" borderId="1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0" fontId="4" fillId="5" borderId="12" xfId="0" applyFont="1" applyFill="1" applyBorder="1" applyAlignment="1" applyProtection="1">
      <alignment horizontal="center" vertical="center"/>
      <protection locked="0"/>
    </xf>
    <xf numFmtId="0" fontId="4" fillId="5" borderId="43" xfId="0" applyFont="1" applyFill="1" applyBorder="1" applyAlignment="1" applyProtection="1">
      <alignment horizontal="center" vertical="center"/>
      <protection locked="0"/>
    </xf>
    <xf numFmtId="0" fontId="4" fillId="5" borderId="13" xfId="0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6" fillId="0" borderId="61" xfId="2" applyFont="1" applyBorder="1" applyAlignment="1">
      <alignment horizontal="center" vertical="center"/>
    </xf>
    <xf numFmtId="45" fontId="20" fillId="5" borderId="61" xfId="2" applyNumberFormat="1" applyFont="1" applyFill="1" applyBorder="1" applyAlignment="1" applyProtection="1">
      <alignment horizontal="center" vertical="center"/>
      <protection locked="0"/>
    </xf>
    <xf numFmtId="0" fontId="17" fillId="0" borderId="14" xfId="2" applyFont="1" applyBorder="1" applyAlignment="1">
      <alignment horizontal="center" vertical="center" textRotation="90"/>
    </xf>
    <xf numFmtId="0" fontId="17" fillId="0" borderId="4" xfId="2" applyFont="1" applyBorder="1" applyAlignment="1">
      <alignment horizontal="center" vertical="center" textRotation="90"/>
    </xf>
    <xf numFmtId="0" fontId="17" fillId="0" borderId="62" xfId="2" applyFont="1" applyBorder="1" applyAlignment="1">
      <alignment horizontal="center" vertical="center" textRotation="90"/>
    </xf>
    <xf numFmtId="0" fontId="5" fillId="0" borderId="11" xfId="2" applyFont="1" applyBorder="1" applyAlignment="1">
      <alignment horizontal="center" vertical="center"/>
    </xf>
    <xf numFmtId="14" fontId="5" fillId="0" borderId="11" xfId="2" quotePrefix="1" applyNumberFormat="1" applyFont="1" applyBorder="1" applyAlignment="1">
      <alignment horizontal="center" vertical="center" wrapText="1"/>
    </xf>
    <xf numFmtId="14" fontId="5" fillId="0" borderId="11" xfId="2" quotePrefix="1" applyNumberFormat="1" applyFont="1" applyBorder="1" applyAlignment="1">
      <alignment horizontal="center" vertical="center"/>
    </xf>
    <xf numFmtId="191" fontId="5" fillId="0" borderId="14" xfId="2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6" fillId="0" borderId="84" xfId="2" applyFont="1" applyBorder="1" applyAlignment="1">
      <alignment horizontal="center" vertical="center"/>
    </xf>
    <xf numFmtId="45" fontId="20" fillId="5" borderId="84" xfId="2" applyNumberFormat="1" applyFont="1" applyFill="1" applyBorder="1" applyAlignment="1" applyProtection="1">
      <alignment horizontal="center" vertical="center"/>
      <protection locked="0"/>
    </xf>
    <xf numFmtId="0" fontId="6" fillId="0" borderId="63" xfId="2" applyFont="1" applyBorder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20" fillId="0" borderId="23" xfId="0" applyFont="1" applyBorder="1" applyAlignment="1" applyProtection="1">
      <alignment horizontal="center" vertical="center"/>
      <protection locked="0"/>
    </xf>
    <xf numFmtId="14" fontId="20" fillId="0" borderId="0" xfId="0" applyNumberFormat="1" applyFont="1" applyAlignment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5" borderId="23" xfId="0" applyFont="1" applyFill="1" applyBorder="1" applyAlignment="1" applyProtection="1">
      <alignment horizontal="center" vertical="center"/>
      <protection locked="0"/>
    </xf>
    <xf numFmtId="0" fontId="27" fillId="7" borderId="23" xfId="0" applyFont="1" applyFill="1" applyBorder="1" applyAlignment="1">
      <alignment horizontal="center" vertical="center"/>
    </xf>
    <xf numFmtId="49" fontId="27" fillId="5" borderId="23" xfId="0" applyNumberFormat="1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>
      <alignment horizontal="left" vertical="center"/>
    </xf>
    <xf numFmtId="0" fontId="31" fillId="0" borderId="12" xfId="0" applyFont="1" applyBorder="1" applyAlignment="1">
      <alignment horizontal="center" vertical="center"/>
    </xf>
    <xf numFmtId="0" fontId="31" fillId="0" borderId="4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189" fontId="27" fillId="5" borderId="85" xfId="0" applyNumberFormat="1" applyFont="1" applyFill="1" applyBorder="1" applyAlignment="1" applyProtection="1">
      <alignment horizontal="center" vertical="center"/>
      <protection locked="0"/>
    </xf>
    <xf numFmtId="189" fontId="27" fillId="5" borderId="64" xfId="0" applyNumberFormat="1" applyFont="1" applyFill="1" applyBorder="1" applyAlignment="1" applyProtection="1">
      <alignment horizontal="center" vertical="center"/>
      <protection locked="0"/>
    </xf>
    <xf numFmtId="189" fontId="27" fillId="0" borderId="0" xfId="0" applyNumberFormat="1" applyFont="1" applyAlignment="1">
      <alignment horizontal="center" vertical="center"/>
    </xf>
    <xf numFmtId="189" fontId="27" fillId="0" borderId="29" xfId="0" applyNumberFormat="1" applyFont="1" applyBorder="1" applyAlignment="1">
      <alignment horizontal="center" vertical="center"/>
    </xf>
    <xf numFmtId="0" fontId="27" fillId="5" borderId="44" xfId="0" applyFont="1" applyFill="1" applyBorder="1" applyAlignment="1" applyProtection="1">
      <alignment horizontal="center" vertical="center"/>
      <protection locked="0"/>
    </xf>
    <xf numFmtId="190" fontId="27" fillId="0" borderId="0" xfId="0" applyNumberFormat="1" applyFont="1" applyAlignment="1">
      <alignment horizontal="left" vertical="center"/>
    </xf>
    <xf numFmtId="0" fontId="27" fillId="0" borderId="26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190" fontId="27" fillId="5" borderId="23" xfId="0" applyNumberFormat="1" applyFont="1" applyFill="1" applyBorder="1" applyAlignment="1" applyProtection="1">
      <alignment horizontal="left" vertical="center"/>
      <protection locked="0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93" fontId="20" fillId="5" borderId="44" xfId="0" applyNumberFormat="1" applyFont="1" applyFill="1" applyBorder="1" applyAlignment="1" applyProtection="1">
      <alignment horizontal="left" vertical="center"/>
      <protection locked="0"/>
    </xf>
    <xf numFmtId="193" fontId="20" fillId="2" borderId="0" xfId="0" applyNumberFormat="1" applyFont="1" applyFill="1" applyAlignment="1" applyProtection="1">
      <alignment horizontal="left" vertical="center"/>
      <protection locked="0"/>
    </xf>
    <xf numFmtId="0" fontId="4" fillId="5" borderId="11" xfId="0" applyFont="1" applyFill="1" applyBorder="1" applyAlignment="1" applyProtection="1">
      <alignment horizontal="center" vertical="center"/>
      <protection locked="0"/>
    </xf>
    <xf numFmtId="0" fontId="0" fillId="0" borderId="43" xfId="0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14" fontId="20" fillId="5" borderId="23" xfId="0" applyNumberFormat="1" applyFont="1" applyFill="1" applyBorder="1" applyAlignment="1" applyProtection="1">
      <alignment horizontal="center" vertical="center"/>
      <protection locked="0"/>
    </xf>
    <xf numFmtId="0" fontId="5" fillId="5" borderId="11" xfId="2" applyFont="1" applyFill="1" applyBorder="1" applyAlignment="1" applyProtection="1">
      <alignment horizontal="center" vertical="center" wrapText="1"/>
      <protection locked="0"/>
    </xf>
    <xf numFmtId="0" fontId="5" fillId="5" borderId="11" xfId="2" applyFont="1" applyFill="1" applyBorder="1" applyAlignment="1" applyProtection="1">
      <alignment horizontal="center" vertical="center"/>
      <protection locked="0"/>
    </xf>
    <xf numFmtId="49" fontId="27" fillId="5" borderId="44" xfId="0" applyNumberFormat="1" applyFont="1" applyFill="1" applyBorder="1" applyAlignment="1" applyProtection="1">
      <alignment horizontal="left" vertical="center"/>
      <protection locked="0"/>
    </xf>
    <xf numFmtId="49" fontId="27" fillId="5" borderId="44" xfId="0" quotePrefix="1" applyNumberFormat="1" applyFont="1" applyFill="1" applyBorder="1" applyAlignment="1" applyProtection="1">
      <alignment horizontal="left" vertical="center"/>
      <protection locked="0"/>
    </xf>
    <xf numFmtId="14" fontId="5" fillId="0" borderId="15" xfId="2" quotePrefix="1" applyNumberFormat="1" applyFont="1" applyBorder="1" applyAlignment="1">
      <alignment horizontal="center" vertical="center" wrapText="1"/>
    </xf>
    <xf numFmtId="14" fontId="5" fillId="0" borderId="40" xfId="2" quotePrefix="1" applyNumberFormat="1" applyFont="1" applyBorder="1" applyAlignment="1">
      <alignment horizontal="center" vertical="center"/>
    </xf>
    <xf numFmtId="14" fontId="5" fillId="0" borderId="41" xfId="2" quotePrefix="1" applyNumberFormat="1" applyFont="1" applyBorder="1" applyAlignment="1">
      <alignment horizontal="center" vertical="center"/>
    </xf>
    <xf numFmtId="14" fontId="5" fillId="0" borderId="24" xfId="2" quotePrefix="1" applyNumberFormat="1" applyFont="1" applyBorder="1" applyAlignment="1">
      <alignment horizontal="center" vertical="center"/>
    </xf>
    <xf numFmtId="14" fontId="5" fillId="0" borderId="60" xfId="2" quotePrefix="1" applyNumberFormat="1" applyFont="1" applyBorder="1" applyAlignment="1">
      <alignment horizontal="center" vertical="center"/>
    </xf>
    <xf numFmtId="14" fontId="5" fillId="0" borderId="26" xfId="2" quotePrefix="1" applyNumberFormat="1" applyFont="1" applyBorder="1" applyAlignment="1">
      <alignment horizontal="center" vertical="center"/>
    </xf>
    <xf numFmtId="14" fontId="5" fillId="0" borderId="14" xfId="2" applyNumberFormat="1" applyFont="1" applyBorder="1" applyAlignment="1">
      <alignment horizontal="center" vertical="center"/>
    </xf>
    <xf numFmtId="14" fontId="5" fillId="0" borderId="4" xfId="2" applyNumberFormat="1" applyFont="1" applyBorder="1" applyAlignment="1">
      <alignment horizontal="center" vertical="center"/>
    </xf>
    <xf numFmtId="0" fontId="5" fillId="0" borderId="62" xfId="2" applyFont="1" applyBorder="1" applyAlignment="1">
      <alignment horizontal="center" vertical="center"/>
    </xf>
  </cellXfs>
  <cellStyles count="11">
    <cellStyle name="Comma" xfId="5" builtinId="3"/>
    <cellStyle name="Comma 2" xfId="9" xr:uid="{69DEF3BC-A7A4-4B6F-99B0-0CF10F18FC36}"/>
    <cellStyle name="Normal" xfId="0" builtinId="0"/>
    <cellStyle name="Normal 2" xfId="3" xr:uid="{86861ABF-FFAE-48EE-A921-F227F2298124}"/>
    <cellStyle name="จุลภาค 2" xfId="4" xr:uid="{DF7EBAC2-2D92-4488-967C-F3982B7B63D3}"/>
    <cellStyle name="จุลภาค 2 2" xfId="8" xr:uid="{145E7A63-C376-41BF-8130-901ECB3702A9}"/>
    <cellStyle name="ปกติ 2" xfId="1" xr:uid="{A6AB3439-3691-473B-9E4E-FEB0CEAA2B4E}"/>
    <cellStyle name="ปกติ 2 2" xfId="6" xr:uid="{D0D6F587-BC4D-423E-9595-28EBAC8D1931}"/>
    <cellStyle name="ปกติ 2 2 2" xfId="10" xr:uid="{7693B38A-6003-46A3-87AD-1C23C65B484A}"/>
    <cellStyle name="ปกติ 2 3" xfId="7" xr:uid="{A10042DF-FA78-48FE-AEA0-EA9FCF06464D}"/>
    <cellStyle name="ปกติ 3" xfId="2" xr:uid="{F54809D6-347C-4065-9479-6729C1F2E526}"/>
  </cellStyles>
  <dxfs count="82">
    <dxf>
      <font>
        <strike val="0"/>
        <outline val="0"/>
        <shadow val="0"/>
        <u val="none"/>
        <vertAlign val="baseline"/>
        <sz val="16"/>
        <name val="TH Sarabun New"/>
        <family val="2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198" formatCode="[$-1010409]d\ mmm\ yyyy;@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30" formatCode="@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197" formatCode="0;\-0;&quot;&quot;"/>
      <alignment horizontal="center" vertical="center" textRotation="0" wrapText="1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H Sarabun New"/>
        <family val="2"/>
        <scheme val="none"/>
      </font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198" formatCode="[$-1010409]d\ mmm\ yyyy;@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numFmt numFmtId="197" formatCode="0;\-0;&quot;&quot;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TH Sarabun New"/>
        <family val="2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2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00CC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H SarabunPSK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</dxf>
    <dxf>
      <numFmt numFmtId="195" formatCode="#,##0.0"/>
    </dxf>
    <dxf>
      <numFmt numFmtId="3" formatCode="#,##0"/>
    </dxf>
    <dxf>
      <numFmt numFmtId="195" formatCode="#,##0.0"/>
    </dxf>
    <dxf>
      <numFmt numFmtId="2" formatCode="0.0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3" formatCode="#,##0"/>
    </dxf>
    <dxf>
      <numFmt numFmtId="195" formatCode="#,##0.0"/>
    </dxf>
    <dxf>
      <numFmt numFmtId="3" formatCode="#,##0"/>
    </dxf>
    <dxf>
      <numFmt numFmtId="195" formatCode="#,##0.0"/>
    </dxf>
    <dxf>
      <numFmt numFmtId="3" formatCode="#,##0"/>
    </dxf>
    <dxf>
      <numFmt numFmtId="195" formatCode="#,##0.0"/>
    </dxf>
    <dxf>
      <numFmt numFmtId="3" formatCode="#,##0"/>
    </dxf>
    <dxf>
      <numFmt numFmtId="195" formatCode="#,##0.0"/>
    </dxf>
    <dxf>
      <numFmt numFmtId="1" formatCode="0"/>
    </dxf>
    <dxf>
      <numFmt numFmtId="189" formatCode="0.0"/>
    </dxf>
    <dxf>
      <numFmt numFmtId="1" formatCode="0"/>
    </dxf>
    <dxf>
      <numFmt numFmtId="189" formatCode="0.0"/>
    </dxf>
    <dxf>
      <numFmt numFmtId="2" formatCode="0.00"/>
    </dxf>
    <dxf>
      <numFmt numFmtId="1" formatCode="0"/>
    </dxf>
    <dxf>
      <numFmt numFmtId="189" formatCode="0.0"/>
    </dxf>
    <dxf>
      <numFmt numFmtId="187" formatCode="0.000"/>
    </dxf>
    <dxf>
      <numFmt numFmtId="188" formatCode="0.0000"/>
    </dxf>
    <dxf>
      <numFmt numFmtId="189" formatCode="0.0"/>
    </dxf>
    <dxf>
      <numFmt numFmtId="2" formatCode="0.00"/>
    </dxf>
    <dxf>
      <numFmt numFmtId="2" formatCode="0.00"/>
    </dxf>
    <dxf>
      <numFmt numFmtId="187" formatCode="0.000"/>
    </dxf>
  </dxfs>
  <tableStyles count="0" defaultTableStyle="TableStyleMedium9" defaultPivotStyle="PivotStyleLight16"/>
  <colors>
    <mruColors>
      <color rgb="FF00FF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h-TH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h-TH"/>
                </a:p>
              </c:txPr>
            </c:trendlineLbl>
          </c:trendline>
          <c:xVal>
            <c:numRef>
              <c:f>'Cal 1'!$BX$3:$BX$6</c:f>
              <c:numCache>
                <c:formatCode>0.0</c:formatCode>
                <c:ptCount val="4"/>
                <c:pt idx="0">
                  <c:v>100</c:v>
                </c:pt>
                <c:pt idx="1">
                  <c:v>900</c:v>
                </c:pt>
                <c:pt idx="2" formatCode="0">
                  <c:v>1000</c:v>
                </c:pt>
                <c:pt idx="3" formatCode="0">
                  <c:v>30000</c:v>
                </c:pt>
              </c:numCache>
            </c:numRef>
          </c:xVal>
          <c:yVal>
            <c:numRef>
              <c:f>'Cal 1'!$BY$3:$BY$6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FF-4D96-955D-55053B85C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738896"/>
        <c:axId val="662737584"/>
      </c:scatterChart>
      <c:valAx>
        <c:axId val="66273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62737584"/>
        <c:crosses val="autoZero"/>
        <c:crossBetween val="midCat"/>
      </c:valAx>
      <c:valAx>
        <c:axId val="66273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h-TH"/>
          </a:p>
        </c:txPr>
        <c:crossAx val="66273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h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AU$17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48986</xdr:colOff>
      <xdr:row>1</xdr:row>
      <xdr:rowOff>1360</xdr:rowOff>
    </xdr:from>
    <xdr:ext cx="945146" cy="911225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>
      <xdr:nvPicPr>
        <xdr:cNvPr id="4" name="รูปภาพ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26529" y="0"/>
          <a:ext cx="1012030" cy="1080476"/>
        </a:xfrm>
        <a:prstGeom prst="rect">
          <a:avLst/>
        </a:prstGeom>
      </xdr:spPr>
    </xdr:pic>
    <xdr:clientData/>
  </xdr:oneCellAnchor>
  <xdr:twoCellAnchor>
    <xdr:from>
      <xdr:col>1</xdr:col>
      <xdr:colOff>37171</xdr:colOff>
      <xdr:row>15</xdr:row>
      <xdr:rowOff>199793</xdr:rowOff>
    </xdr:from>
    <xdr:to>
      <xdr:col>7</xdr:col>
      <xdr:colOff>125451</xdr:colOff>
      <xdr:row>15</xdr:row>
      <xdr:rowOff>199793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8B8B460-0541-63B1-0F34-689CEDB99BF9}"/>
            </a:ext>
          </a:extLst>
        </xdr:cNvPr>
        <xdr:cNvCxnSpPr/>
      </xdr:nvCxnSpPr>
      <xdr:spPr>
        <a:xfrm>
          <a:off x="120805" y="3614854"/>
          <a:ext cx="1119768" cy="0"/>
        </a:xfrm>
        <a:prstGeom prst="line">
          <a:avLst/>
        </a:prstGeom>
        <a:ln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25</xdr:row>
      <xdr:rowOff>66675</xdr:rowOff>
    </xdr:from>
    <xdr:to>
      <xdr:col>1</xdr:col>
      <xdr:colOff>142875</xdr:colOff>
      <xdr:row>25</xdr:row>
      <xdr:rowOff>152400</xdr:rowOff>
    </xdr:to>
    <xdr:sp macro="" textlink="">
      <xdr:nvSpPr>
        <xdr:cNvPr id="3086" name="Rectangle 22">
          <a:extLst>
            <a:ext uri="{FF2B5EF4-FFF2-40B4-BE49-F238E27FC236}">
              <a16:creationId xmlns:a16="http://schemas.microsoft.com/office/drawing/2014/main" id="{00000000-0008-0000-0400-00000E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27</xdr:row>
      <xdr:rowOff>66675</xdr:rowOff>
    </xdr:from>
    <xdr:to>
      <xdr:col>1</xdr:col>
      <xdr:colOff>142875</xdr:colOff>
      <xdr:row>27</xdr:row>
      <xdr:rowOff>152400</xdr:rowOff>
    </xdr:to>
    <xdr:sp macro="" textlink="">
      <xdr:nvSpPr>
        <xdr:cNvPr id="3087" name="Rectangle 22">
          <a:extLst>
            <a:ext uri="{FF2B5EF4-FFF2-40B4-BE49-F238E27FC236}">
              <a16:creationId xmlns:a16="http://schemas.microsoft.com/office/drawing/2014/main" id="{00000000-0008-0000-0400-00000F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25</xdr:row>
      <xdr:rowOff>66675</xdr:rowOff>
    </xdr:from>
    <xdr:to>
      <xdr:col>1</xdr:col>
      <xdr:colOff>142875</xdr:colOff>
      <xdr:row>25</xdr:row>
      <xdr:rowOff>152400</xdr:rowOff>
    </xdr:to>
    <xdr:sp macro="" textlink="">
      <xdr:nvSpPr>
        <xdr:cNvPr id="3103" name="Rectangle 22">
          <a:extLst>
            <a:ext uri="{FF2B5EF4-FFF2-40B4-BE49-F238E27FC236}">
              <a16:creationId xmlns:a16="http://schemas.microsoft.com/office/drawing/2014/main" id="{00000000-0008-0000-0400-00001F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27</xdr:row>
      <xdr:rowOff>66675</xdr:rowOff>
    </xdr:from>
    <xdr:to>
      <xdr:col>1</xdr:col>
      <xdr:colOff>142875</xdr:colOff>
      <xdr:row>27</xdr:row>
      <xdr:rowOff>152400</xdr:rowOff>
    </xdr:to>
    <xdr:sp macro="" textlink="">
      <xdr:nvSpPr>
        <xdr:cNvPr id="3104" name="Rectangle 22">
          <a:extLst>
            <a:ext uri="{FF2B5EF4-FFF2-40B4-BE49-F238E27FC236}">
              <a16:creationId xmlns:a16="http://schemas.microsoft.com/office/drawing/2014/main" id="{00000000-0008-0000-0400-000020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25</xdr:row>
      <xdr:rowOff>66675</xdr:rowOff>
    </xdr:from>
    <xdr:to>
      <xdr:col>1</xdr:col>
      <xdr:colOff>142875</xdr:colOff>
      <xdr:row>25</xdr:row>
      <xdr:rowOff>152400</xdr:rowOff>
    </xdr:to>
    <xdr:sp macro="" textlink="">
      <xdr:nvSpPr>
        <xdr:cNvPr id="3107" name="Rectangle 22">
          <a:extLst>
            <a:ext uri="{FF2B5EF4-FFF2-40B4-BE49-F238E27FC236}">
              <a16:creationId xmlns:a16="http://schemas.microsoft.com/office/drawing/2014/main" id="{00000000-0008-0000-0400-000023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27</xdr:row>
      <xdr:rowOff>66675</xdr:rowOff>
    </xdr:from>
    <xdr:to>
      <xdr:col>1</xdr:col>
      <xdr:colOff>142875</xdr:colOff>
      <xdr:row>27</xdr:row>
      <xdr:rowOff>152400</xdr:rowOff>
    </xdr:to>
    <xdr:sp macro="" textlink="">
      <xdr:nvSpPr>
        <xdr:cNvPr id="3108" name="Rectangle 22">
          <a:extLst>
            <a:ext uri="{FF2B5EF4-FFF2-40B4-BE49-F238E27FC236}">
              <a16:creationId xmlns:a16="http://schemas.microsoft.com/office/drawing/2014/main" id="{00000000-0008-0000-0400-000024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25</xdr:row>
      <xdr:rowOff>66675</xdr:rowOff>
    </xdr:from>
    <xdr:to>
      <xdr:col>1</xdr:col>
      <xdr:colOff>142875</xdr:colOff>
      <xdr:row>25</xdr:row>
      <xdr:rowOff>152400</xdr:rowOff>
    </xdr:to>
    <xdr:sp macro="" textlink="">
      <xdr:nvSpPr>
        <xdr:cNvPr id="3111" name="Rectangle 22">
          <a:extLst>
            <a:ext uri="{FF2B5EF4-FFF2-40B4-BE49-F238E27FC236}">
              <a16:creationId xmlns:a16="http://schemas.microsoft.com/office/drawing/2014/main" id="{00000000-0008-0000-0400-000027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27</xdr:row>
      <xdr:rowOff>66675</xdr:rowOff>
    </xdr:from>
    <xdr:to>
      <xdr:col>1</xdr:col>
      <xdr:colOff>142875</xdr:colOff>
      <xdr:row>27</xdr:row>
      <xdr:rowOff>152400</xdr:rowOff>
    </xdr:to>
    <xdr:sp macro="" textlink="">
      <xdr:nvSpPr>
        <xdr:cNvPr id="3112" name="Rectangle 22">
          <a:extLst>
            <a:ext uri="{FF2B5EF4-FFF2-40B4-BE49-F238E27FC236}">
              <a16:creationId xmlns:a16="http://schemas.microsoft.com/office/drawing/2014/main" id="{00000000-0008-0000-0400-000028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1" name="Rectangle 2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5" name="Rectangle 2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9" name="Rectangle 22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63" name="Rectangle 2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>
          <a:spLocks noChangeArrowheads="1"/>
        </xdr:cNvSpPr>
      </xdr:nvSpPr>
      <xdr:spPr bwMode="auto">
        <a:xfrm>
          <a:off x="247650" y="4391025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161925</xdr:colOff>
          <xdr:row>16</xdr:row>
          <xdr:rowOff>9525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171450</xdr:colOff>
          <xdr:row>16</xdr:row>
          <xdr:rowOff>200025</xdr:rowOff>
        </xdr:from>
        <xdr:to>
          <xdr:col>31</xdr:col>
          <xdr:colOff>57150</xdr:colOff>
          <xdr:row>18</xdr:row>
          <xdr:rowOff>9525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</xdr:colOff>
          <xdr:row>14</xdr:row>
          <xdr:rowOff>19050</xdr:rowOff>
        </xdr:from>
        <xdr:to>
          <xdr:col>51</xdr:col>
          <xdr:colOff>457200</xdr:colOff>
          <xdr:row>15</xdr:row>
          <xdr:rowOff>142875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000000"/>
                  </a:solidFill>
                  <a:latin typeface="TH Sarabun New"/>
                  <a:cs typeface="TH Sarabun New"/>
                </a:rPr>
                <a:t>กดเพื่อเพิ่ม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390525</xdr:colOff>
          <xdr:row>16</xdr:row>
          <xdr:rowOff>142875</xdr:rowOff>
        </xdr:from>
        <xdr:to>
          <xdr:col>51</xdr:col>
          <xdr:colOff>447675</xdr:colOff>
          <xdr:row>18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3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000000"/>
                  </a:solidFill>
                  <a:latin typeface="TH Sarabun New"/>
                  <a:cs typeface="TH Sarabun New"/>
                </a:rPr>
                <a:t>กดเพื่อลบ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77010</xdr:colOff>
      <xdr:row>15</xdr:row>
      <xdr:rowOff>206713</xdr:rowOff>
    </xdr:from>
    <xdr:to>
      <xdr:col>29</xdr:col>
      <xdr:colOff>121596</xdr:colOff>
      <xdr:row>15</xdr:row>
      <xdr:rowOff>206713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23F77B8-BA84-CD99-F822-F9E1EA96BDA7}"/>
            </a:ext>
          </a:extLst>
        </xdr:cNvPr>
        <xdr:cNvCxnSpPr/>
      </xdr:nvCxnSpPr>
      <xdr:spPr>
        <a:xfrm>
          <a:off x="4304489" y="3368202"/>
          <a:ext cx="1138947" cy="0"/>
        </a:xfrm>
        <a:prstGeom prst="line">
          <a:avLst/>
        </a:prstGeom>
        <a:ln>
          <a:solidFill>
            <a:schemeClr val="tx1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71</xdr:col>
      <xdr:colOff>114714</xdr:colOff>
      <xdr:row>0</xdr:row>
      <xdr:rowOff>125897</xdr:rowOff>
    </xdr:from>
    <xdr:to>
      <xdr:col>74</xdr:col>
      <xdr:colOff>354494</xdr:colOff>
      <xdr:row>4</xdr:row>
      <xdr:rowOff>27333</xdr:rowOff>
    </xdr:to>
    <xdr:pic>
      <xdr:nvPicPr>
        <xdr:cNvPr id="2" name="รูปภาพ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9236" y="125897"/>
          <a:ext cx="2251597" cy="68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74</xdr:col>
      <xdr:colOff>998165</xdr:colOff>
      <xdr:row>10</xdr:row>
      <xdr:rowOff>46785</xdr:rowOff>
    </xdr:from>
    <xdr:to>
      <xdr:col>83</xdr:col>
      <xdr:colOff>534241</xdr:colOff>
      <xdr:row>21</xdr:row>
      <xdr:rowOff>187979</xdr:rowOff>
    </xdr:to>
    <xdr:graphicFrame macro="">
      <xdr:nvGraphicFramePr>
        <xdr:cNvPr id="3" name="แผนภูม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DB8698-0A3D-4BE3-A2EB-DB3494A4356E}" autoFormatId="16" applyNumberFormats="0" applyBorderFormats="0" applyFontFormats="0" applyPatternFormats="0" applyAlignmentFormats="0" applyWidthHeightFormats="0">
  <queryTableRefresh nextId="12">
    <queryTableFields count="11">
      <queryTableField id="1" name="Customer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Personnel" tableColumnId="8"/>
      <queryTableField id="9" name="Column9" tableColumnId="9"/>
      <queryTableField id="10" name="Column10" tableColumnId="10"/>
      <queryTableField id="11" name="UUC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E98E37-EE2D-4877-9094-4A889D65C6FC}" autoFormatId="16" applyNumberFormats="0" applyBorderFormats="0" applyFontFormats="0" applyPatternFormats="0" applyAlignmentFormats="0" applyWidthHeightFormats="0">
  <queryTableRefresh nextId="21">
    <queryTableFields count="20">
      <queryTableField id="1" name="Reference Standard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7CDA77-CF19-4B80-B1A2-B2EEB7A384B3}" name="Customers6" displayName="Customers6" ref="A2:F59" totalsRowShown="0" headerRowDxfId="53" dataDxfId="51" headerRowBorderDxfId="52" tableBorderDxfId="50" totalsRowBorderDxfId="49">
  <autoFilter ref="A2:F59" xr:uid="{F47CDA77-CF19-4B80-B1A2-B2EEB7A384B3}"/>
  <sortState xmlns:xlrd2="http://schemas.microsoft.com/office/spreadsheetml/2017/richdata2" ref="A3:F54">
    <sortCondition ref="A2:A54"/>
  </sortState>
  <tableColumns count="6">
    <tableColumn id="2" xr3:uid="{57B9A262-1A76-449C-9920-033B481B2353}" name="No." dataDxfId="48">
      <calculatedColumnFormula>IF(Data_1[[#This Row],[Customer]]="","",Data_1[[#This Row],[Customer]])</calculatedColumnFormula>
    </tableColumn>
    <tableColumn id="8" xr3:uid="{FE5D3E11-81C0-411F-87C4-024C1EDFDEE7}" name="หน่วยรับบริการ" dataDxfId="47">
      <calculatedColumnFormula>IF(Data_1[[#This Row],[Column2]]="","",Data_1[[#This Row],[Column2]])</calculatedColumnFormula>
    </tableColumn>
    <tableColumn id="3" xr3:uid="{11FFF4C5-A075-48FC-A9E1-5A65876D3D3A}" name="Service Unit" dataDxfId="46">
      <calculatedColumnFormula>IF(Data_1[[#This Row],[Column3]]="","",Data_1[[#This Row],[Column3]])</calculatedColumnFormula>
    </tableColumn>
    <tableColumn id="4" xr3:uid="{DDDE8095-D1AA-42CF-9314-8BAF7B5710E1}" name="Address" dataDxfId="45">
      <calculatedColumnFormula>IF(Data_1[[#This Row],[Column4]]="","",Data_1[[#This Row],[Column4]])</calculatedColumnFormula>
    </tableColumn>
    <tableColumn id="5" xr3:uid="{CBEBF6E2-E840-4942-99CF-13763DD68645}" name="City" dataDxfId="44">
      <calculatedColumnFormula>IF(Data_1[[#This Row],[Column5]]="","",Data_1[[#This Row],[Column5]])</calculatedColumnFormula>
    </tableColumn>
    <tableColumn id="6" xr3:uid="{1B37332F-556F-434B-A2E6-8E5ED134F8A1}" name="ZIP code" dataDxfId="43">
      <calculatedColumnFormula>IF(Data_1[[#This Row],[Column6]]="","",Data_1[[#This Row],[Column6]])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CFF8CC2-9536-4821-A21D-4517D29BEDAC}" name="Personnel8" displayName="Personnel8" ref="H2:I20" totalsRowShown="0" headerRowDxfId="42">
  <autoFilter ref="H2:I20" xr:uid="{1CFF8CC2-9536-4821-A21D-4517D29BEDAC}"/>
  <tableColumns count="2">
    <tableColumn id="1" xr3:uid="{39C83339-4441-48AF-8888-05ABE8B5DB9C}" name="Name" dataDxfId="41">
      <calculatedColumnFormula>IF(Data_1[[#This Row],[Personnel]]="","",(Data_1[[#This Row],[Personnel]]))</calculatedColumnFormula>
    </tableColumn>
    <tableColumn id="2" xr3:uid="{F4BFD6E9-1635-4C01-A72C-2996E61170AE}" name="Rank" dataDxfId="40">
      <calculatedColumnFormula>IF(Data_1[[#This Row],[Column9]]="","",(Data_1[[#This Row],[Column9]]))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A563C8-042F-47D6-B523-B58518D72FED}" name="Data_1" displayName="Data_1" ref="A1:K57" tableType="queryTable" totalsRowShown="0">
  <autoFilter ref="A1:K57" xr:uid="{55A563C8-042F-47D6-B523-B58518D72FED}"/>
  <tableColumns count="11">
    <tableColumn id="1" xr3:uid="{E8E3BF7D-795E-433C-8D56-6BB9B44F3209}" uniqueName="1" name="Customer" queryTableFieldId="1"/>
    <tableColumn id="2" xr3:uid="{633A93B2-9BDE-47DD-BC6B-44E5CE852C35}" uniqueName="2" name="Column2" queryTableFieldId="2" dataDxfId="39"/>
    <tableColumn id="3" xr3:uid="{186F883E-BA4B-49A1-8DE9-65D8441671CA}" uniqueName="3" name="Column3" queryTableFieldId="3" dataDxfId="38"/>
    <tableColumn id="4" xr3:uid="{1F3CE1D0-7D5F-4E51-B723-10506353413F}" uniqueName="4" name="Column4" queryTableFieldId="4" dataDxfId="37"/>
    <tableColumn id="5" xr3:uid="{34E25482-8435-44C1-B496-F2CA9E869AF1}" uniqueName="5" name="Column5" queryTableFieldId="5" dataDxfId="36"/>
    <tableColumn id="6" xr3:uid="{2C8C84A0-D5AD-42AE-AF58-A5AD285C1E55}" uniqueName="6" name="Column6" queryTableFieldId="6"/>
    <tableColumn id="7" xr3:uid="{50F006BD-D297-4C9D-A73B-45DF8C010D15}" uniqueName="7" name="Column7" queryTableFieldId="7"/>
    <tableColumn id="8" xr3:uid="{600F33B1-D5E0-4B16-BC24-0985BC200947}" uniqueName="8" name="Personnel" queryTableFieldId="8" dataDxfId="35"/>
    <tableColumn id="9" xr3:uid="{2B374E8B-6567-48B2-8E57-1899570A04F9}" uniqueName="9" name="Column9" queryTableFieldId="9" dataDxfId="34"/>
    <tableColumn id="10" xr3:uid="{7FC9793F-5F81-4938-BF70-224945BE4C91}" uniqueName="10" name="Column10" queryTableFieldId="10"/>
    <tableColumn id="11" xr3:uid="{C4B42389-2859-4AD6-A5B8-CD3EB26511F5}" uniqueName="11" name="UUC" queryTableFieldId="11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AAE929-4A64-4365-8E40-39A206DC5B25}" name="Cal_point" displayName="Cal_point" ref="AV15:AX16" totalsRowShown="0" headerRowDxfId="31" dataDxfId="30">
  <autoFilter ref="AV15:AX16" xr:uid="{77AAE929-4A64-4365-8E40-39A206DC5B25}"/>
  <tableColumns count="3">
    <tableColumn id="1" xr3:uid="{12424CC7-3D89-4CB5-B10D-B33B56F9C43B}" name="No. Point" dataDxfId="29"/>
    <tableColumn id="2" xr3:uid="{78EE7EC7-A369-4CEF-8072-3BF830FD4631}" name="Cal. Point" dataDxfId="28"/>
    <tableColumn id="3" xr3:uid="{8A87C523-7580-42D0-BC50-17AC2B1B3777}" name="Status" dataDxfId="2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F2EAED-08A2-40B8-9501-A9B25B3D8BE3}" name="Cen" displayName="Cen" ref="A1:T20" tableType="queryTable" totalsRowShown="0">
  <autoFilter ref="A1:T20" xr:uid="{1AF2EAED-08A2-40B8-9501-A9B25B3D8BE3}"/>
  <tableColumns count="20">
    <tableColumn id="1" xr3:uid="{D3D43504-99B8-48BA-99E8-6ECD3B06AC5F}" uniqueName="1" name="Reference Standard" queryTableFieldId="1" dataDxfId="26"/>
    <tableColumn id="2" xr3:uid="{2ED816A9-55C3-4A37-B7F7-7FF16B261DB1}" uniqueName="2" name="Column2" queryTableFieldId="2" dataDxfId="25"/>
    <tableColumn id="3" xr3:uid="{D4F362DA-5591-466F-BBB2-71044247D6E0}" uniqueName="3" name="Column3" queryTableFieldId="3" dataDxfId="24"/>
    <tableColumn id="4" xr3:uid="{F1B05D3B-3C3A-41C8-AB9A-CBEA58B1B12E}" uniqueName="4" name="Column4" queryTableFieldId="4"/>
    <tableColumn id="5" xr3:uid="{8DE46225-3C0D-4BA3-8265-E0553B99216A}" uniqueName="5" name="Column5" queryTableFieldId="5" dataDxfId="23"/>
    <tableColumn id="6" xr3:uid="{99395391-1EAD-4B53-939A-B4CA1FA3D6A5}" uniqueName="6" name="Column6" queryTableFieldId="6"/>
    <tableColumn id="7" xr3:uid="{7F89AE7D-C95A-4291-85CA-DB1DF9102870}" uniqueName="7" name="Column7" queryTableFieldId="7" dataDxfId="22"/>
    <tableColumn id="8" xr3:uid="{7F4BEF62-9F46-4296-A0B7-B14E6BDC76E3}" uniqueName="8" name="Column8" queryTableFieldId="8"/>
    <tableColumn id="9" xr3:uid="{02A2205D-327A-413F-9493-052E7F86CCDC}" uniqueName="9" name="Column9" queryTableFieldId="9"/>
    <tableColumn id="10" xr3:uid="{18E01C6C-27E2-4D51-846C-BF16A213072D}" uniqueName="10" name="Column10" queryTableFieldId="10"/>
    <tableColumn id="11" xr3:uid="{A93AA529-7927-4705-ADF1-A9F2A98066B3}" uniqueName="11" name="Column11" queryTableFieldId="11"/>
    <tableColumn id="12" xr3:uid="{4DBD34E2-457F-495B-B42F-D7E595318163}" uniqueName="12" name="Column12" queryTableFieldId="12"/>
    <tableColumn id="13" xr3:uid="{8E3217DF-57EE-470A-9659-45FEAD934048}" uniqueName="13" name="Column13" queryTableFieldId="13"/>
    <tableColumn id="14" xr3:uid="{D2BD061A-C3B4-49A3-BD8F-8D3A85B2BA18}" uniqueName="14" name="Column14" queryTableFieldId="14"/>
    <tableColumn id="15" xr3:uid="{0971886D-749F-4505-863B-401C67791E54}" uniqueName="15" name="Column15" queryTableFieldId="15"/>
    <tableColumn id="16" xr3:uid="{583D08C9-44DB-4C9C-9FEA-42920E9FA3C4}" uniqueName="16" name="Column16" queryTableFieldId="16"/>
    <tableColumn id="17" xr3:uid="{910A420D-ED38-42C0-A1CE-4192793AD2D1}" uniqueName="17" name="Column17" queryTableFieldId="17"/>
    <tableColumn id="18" xr3:uid="{086FF632-363E-4423-AA18-F453DEE3C9C8}" uniqueName="18" name="Column18" queryTableFieldId="18"/>
    <tableColumn id="19" xr3:uid="{8505F2C4-E4B8-437F-A23E-009389C65EB3}" uniqueName="19" name="Column19" queryTableFieldId="19"/>
    <tableColumn id="20" xr3:uid="{0B85D35F-C4AB-41BD-A5D7-3BFE06130F10}" uniqueName="20" name="Column20" queryTableField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8088A3-E78E-4095-8D7E-E559AC1C238F}" name="Ref.STD11" displayName="Ref.STD11" ref="A2:G8" totalsRowShown="0" headerRowDxfId="21" dataDxfId="19" headerRowBorderDxfId="20" tableBorderDxfId="18" dataCellStyle="Normal 2">
  <autoFilter ref="A2:G8" xr:uid="{FE512C48-BB1A-4C44-94FC-E4F3C9FCF725}"/>
  <tableColumns count="7">
    <tableColumn id="1" xr3:uid="{6C6B0811-CBD6-4C52-B9B3-F4FFBABB088D}" name="Tool Code" dataDxfId="17" dataCellStyle="Normal 2">
      <calculatedColumnFormula>IF(Cen[[#This Row],[Reference Standard]]="","",Cen[[#This Row],[Reference Standard]])</calculatedColumnFormula>
    </tableColumn>
    <tableColumn id="2" xr3:uid="{96CBEE4C-BBFE-4681-ACCA-34F0C2F61BDF}" name="Equipment" dataDxfId="16" dataCellStyle="Normal 2">
      <calculatedColumnFormula>IF(Cen[[#This Row],[Column2]]="","",Cen[[#This Row],[Column2]])</calculatedColumnFormula>
    </tableColumn>
    <tableColumn id="3" xr3:uid="{6B49C063-26D8-4270-A5DF-3BD98EE61A60}" name="Brand" dataDxfId="15" dataCellStyle="Normal 2">
      <calculatedColumnFormula>IF(Cen[[#This Row],[Column3]]="","",Cen[[#This Row],[Column3]])</calculatedColumnFormula>
    </tableColumn>
    <tableColumn id="4" xr3:uid="{31D918C4-FCB6-45D4-AF47-64FBB90665D9}" name="Model" dataDxfId="14" dataCellStyle="Normal 2">
      <calculatedColumnFormula>IF(Cen[[#This Row],[Column4]]="","",Cen[[#This Row],[Column4]])</calculatedColumnFormula>
    </tableColumn>
    <tableColumn id="5" xr3:uid="{36E566BC-E7E3-40FB-8DA1-E933C29516D3}" name="Serial No" dataDxfId="13" dataCellStyle="Normal 2">
      <calculatedColumnFormula>IF(Cen[[#This Row],[Column5]]="","",Cen[[#This Row],[Column5]])</calculatedColumnFormula>
    </tableColumn>
    <tableColumn id="6" xr3:uid="{7599C1C5-E0FD-43FF-854B-E72D93828B0F}" name="Cal. Date" dataDxfId="12" dataCellStyle="Normal 2">
      <calculatedColumnFormula>IF(Cen[[#This Row],[Column6]]="","",Cen[[#This Row],[Column6]])</calculatedColumnFormula>
    </tableColumn>
    <tableColumn id="7" xr3:uid="{24BC7909-5D5C-4841-806E-13068EF7CF59}" name="Cer No." dataDxfId="11" dataCellStyle="Normal 2">
      <calculatedColumnFormula>IF(Cen[[#This Row],[Column7]]="","",Cen[[#This Row],[Column7]])</calculatedColumnFormula>
    </tableColumn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834F8E-8284-4A20-9BFC-9728351257F8}" name="Apparatus12" displayName="Apparatus12" ref="A10:G20" totalsRowShown="0" headerRowDxfId="10" dataDxfId="8" headerRowBorderDxfId="9" tableBorderDxfId="7">
  <autoFilter ref="A10:G20" xr:uid="{F5B6B0AC-CB8D-40D8-9EE5-7C3165B033A3}"/>
  <tableColumns count="7">
    <tableColumn id="1" xr3:uid="{4A786631-C41D-4D92-A5CA-14FFAD5912A1}" name="Tool Code" dataDxfId="6">
      <calculatedColumnFormula>IF(Cen[[#This Row],[Reference Standard]]="","",Cen[[#This Row],[Reference Standard]])</calculatedColumnFormula>
    </tableColumn>
    <tableColumn id="2" xr3:uid="{0756C8C6-9F25-496B-87FA-32E1FB7FC065}" name="Equipment" dataDxfId="5">
      <calculatedColumnFormula>IF(Cen[[#This Row],[Column2]]="","",Cen[[#This Row],[Column2]])</calculatedColumnFormula>
    </tableColumn>
    <tableColumn id="3" xr3:uid="{DCEF0D69-469E-4DA0-B8D7-9DBAE4B58A2D}" name="Brand" dataDxfId="4">
      <calculatedColumnFormula>IF(Cen[[#This Row],[Column3]]="","",Cen[[#This Row],[Column3]])</calculatedColumnFormula>
    </tableColumn>
    <tableColumn id="4" xr3:uid="{31D32897-68D9-4BA4-AF6A-14497F56C3BD}" name="Model" dataDxfId="3">
      <calculatedColumnFormula>IF(Cen[[#This Row],[Column4]]="","",Cen[[#This Row],[Column4]])</calculatedColumnFormula>
    </tableColumn>
    <tableColumn id="5" xr3:uid="{8158EFF8-EB92-486F-B8F8-A58F51A3C31D}" name="Serial No" dataDxfId="2">
      <calculatedColumnFormula>IF(Cen[[#This Row],[Column5]]="","",Cen[[#This Row],[Column5]])</calculatedColumnFormula>
    </tableColumn>
    <tableColumn id="6" xr3:uid="{C850C6A3-AC9F-4381-B2D1-775E2D6C5DD2}" name="Cal. Date" dataDxfId="1" dataCellStyle="Normal 2">
      <calculatedColumnFormula>IF(Cen[[#This Row],[Column6]]="","",Cen[[#This Row],[Column6]])</calculatedColumnFormula>
    </tableColumn>
    <tableColumn id="7" xr3:uid="{7D4774A0-3687-489B-B489-71E052E44FC4}" name="Cer No." dataDxfId="0">
      <calculatedColumnFormula>IF(Cen[[#This Row],[Column7]]="","",Cen[[#This Row],[Column7]])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Q171"/>
  <sheetViews>
    <sheetView zoomScaleNormal="100" workbookViewId="0">
      <selection activeCell="AC10" sqref="AC10:AH10"/>
    </sheetView>
  </sheetViews>
  <sheetFormatPr defaultColWidth="9.140625" defaultRowHeight="18.75" x14ac:dyDescent="0.2"/>
  <cols>
    <col min="1" max="1" width="1.28515625" style="10" customWidth="1"/>
    <col min="2" max="39" width="2.5703125" style="10" customWidth="1"/>
    <col min="40" max="40" width="12" style="1" customWidth="1"/>
    <col min="41" max="41" width="11.140625" style="1" customWidth="1"/>
    <col min="42" max="16384" width="9.140625" style="1"/>
  </cols>
  <sheetData>
    <row r="1" spans="1:42" ht="8.25" customHeight="1" x14ac:dyDescent="0.2"/>
    <row r="2" spans="1:42" ht="19.5" customHeight="1" x14ac:dyDescent="0.2">
      <c r="B2" s="64"/>
      <c r="C2" s="65"/>
      <c r="D2" s="65"/>
      <c r="E2" s="65"/>
      <c r="F2" s="65"/>
      <c r="G2" s="64"/>
      <c r="H2" s="463" t="s">
        <v>395</v>
      </c>
      <c r="I2" s="463"/>
      <c r="J2" s="463"/>
      <c r="K2" s="463"/>
      <c r="L2" s="463"/>
      <c r="M2" s="463"/>
      <c r="N2" s="463"/>
      <c r="O2" s="463"/>
      <c r="P2" s="463"/>
      <c r="Q2" s="463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63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</row>
    <row r="3" spans="1:42" ht="19.5" customHeight="1" x14ac:dyDescent="0.2">
      <c r="B3" s="64"/>
      <c r="C3" s="64"/>
      <c r="D3" s="64"/>
      <c r="E3" s="64"/>
      <c r="F3" s="64"/>
      <c r="G3" s="64"/>
      <c r="H3" s="463" t="s">
        <v>396</v>
      </c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3"/>
      <c r="AG3" s="463"/>
      <c r="AH3" s="463"/>
      <c r="AI3" s="64"/>
      <c r="AJ3" s="64"/>
      <c r="AK3" s="64"/>
      <c r="AL3" s="64"/>
      <c r="AM3" s="64"/>
    </row>
    <row r="4" spans="1:42" ht="15.75" customHeight="1" x14ac:dyDescent="0.2">
      <c r="B4" s="64"/>
      <c r="C4" s="64"/>
      <c r="D4" s="64"/>
      <c r="E4" s="64"/>
      <c r="F4" s="64"/>
      <c r="G4" s="64"/>
      <c r="H4" s="463" t="s">
        <v>397</v>
      </c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</row>
    <row r="5" spans="1:42" ht="15.75" customHeight="1" x14ac:dyDescent="0.2">
      <c r="H5" s="66" t="s">
        <v>398</v>
      </c>
      <c r="I5" s="3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</row>
    <row r="6" spans="1:42" ht="21.75" customHeight="1" x14ac:dyDescent="0.2">
      <c r="B6" s="7"/>
      <c r="C6" s="7"/>
      <c r="D6" s="7"/>
      <c r="E6" s="7"/>
      <c r="F6" s="7"/>
      <c r="G6" s="7"/>
      <c r="H6" s="71" t="s">
        <v>86</v>
      </c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42" ht="21.75" customHeight="1" x14ac:dyDescent="0.2">
      <c r="B7" s="464" t="s">
        <v>67</v>
      </c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</row>
    <row r="8" spans="1:42" ht="21.75" customHeight="1" x14ac:dyDescent="0.2">
      <c r="B8" s="464"/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464"/>
      <c r="U8" s="464"/>
      <c r="V8" s="464"/>
      <c r="W8" s="464"/>
      <c r="X8" s="464"/>
      <c r="Y8" s="464"/>
      <c r="Z8" s="464"/>
      <c r="AA8" s="464"/>
      <c r="AB8" s="464"/>
      <c r="AC8" s="464"/>
      <c r="AD8" s="464"/>
      <c r="AE8" s="464"/>
      <c r="AF8" s="464"/>
      <c r="AG8" s="464"/>
      <c r="AH8" s="464"/>
      <c r="AI8" s="464"/>
      <c r="AJ8" s="464"/>
      <c r="AK8" s="464"/>
      <c r="AL8" s="464"/>
      <c r="AM8" s="464"/>
    </row>
    <row r="9" spans="1:42" s="2" customFormat="1" ht="18" customHeight="1" x14ac:dyDescent="0.2">
      <c r="A9" s="12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413" t="s">
        <v>52</v>
      </c>
      <c r="Z9" s="413"/>
      <c r="AA9" s="413"/>
      <c r="AB9" s="413"/>
      <c r="AC9" s="413"/>
      <c r="AD9" s="413"/>
      <c r="AE9" s="413"/>
      <c r="AF9" s="413"/>
      <c r="AG9" s="413"/>
      <c r="AH9" s="413"/>
      <c r="AI9" s="414" t="str">
        <f>IF(Page1!AO6=""," "&amp;Page1!AO4&amp;Page1!AR4&amp;" "&amp;Page1!AT4," "&amp;Page1!AO4&amp;Page1!AR4&amp;" "&amp;"R"&amp;Page1!AO6)</f>
        <v xml:space="preserve"> /69 </v>
      </c>
      <c r="AJ9" s="414"/>
      <c r="AK9" s="414"/>
      <c r="AL9" s="414"/>
      <c r="AM9" s="414"/>
      <c r="AN9" s="3"/>
      <c r="AO9" s="3"/>
      <c r="AP9" s="3"/>
    </row>
    <row r="10" spans="1:42" ht="18" customHeight="1" x14ac:dyDescent="0.2">
      <c r="D10" s="58"/>
      <c r="E10" s="58"/>
      <c r="F10" s="58"/>
      <c r="G10" s="58"/>
      <c r="H10" s="58"/>
      <c r="I10" s="58"/>
      <c r="AC10" s="413" t="s">
        <v>53</v>
      </c>
      <c r="AD10" s="413"/>
      <c r="AE10" s="413"/>
      <c r="AF10" s="413"/>
      <c r="AG10" s="413"/>
      <c r="AH10" s="413"/>
      <c r="AI10" s="442" t="s">
        <v>95</v>
      </c>
      <c r="AJ10" s="442"/>
      <c r="AK10" s="442"/>
      <c r="AL10" s="442"/>
      <c r="AM10" s="442"/>
    </row>
    <row r="11" spans="1:42" ht="18" customHeight="1" x14ac:dyDescent="0.2">
      <c r="B11" s="11" t="s">
        <v>74</v>
      </c>
      <c r="C11" s="11"/>
      <c r="D11" s="11"/>
      <c r="E11" s="11"/>
      <c r="F11" s="11"/>
      <c r="G11" s="12"/>
      <c r="H11" s="12"/>
      <c r="I11" s="11" t="s">
        <v>69</v>
      </c>
      <c r="J11" s="440" t="str">
        <f>IF(Page1!$I$8="","",Page1!$I$8)</f>
        <v/>
      </c>
      <c r="K11" s="440"/>
      <c r="L11" s="440"/>
      <c r="M11" s="440"/>
      <c r="N11" s="440"/>
      <c r="O11" s="440"/>
      <c r="P11" s="440"/>
      <c r="Q11" s="440"/>
      <c r="R11" s="440"/>
      <c r="S11" s="440"/>
      <c r="T11" s="440"/>
      <c r="U11" s="440"/>
      <c r="V11" s="440"/>
      <c r="W11" s="440"/>
      <c r="X11" s="440"/>
      <c r="Y11" s="440"/>
      <c r="Z11" s="440"/>
      <c r="AA11" s="440"/>
      <c r="AB11" s="440"/>
      <c r="AC11" s="440"/>
      <c r="AD11" s="440"/>
      <c r="AE11" s="440"/>
      <c r="AF11" s="440"/>
      <c r="AG11" s="440"/>
      <c r="AH11" s="440"/>
      <c r="AI11" s="440"/>
      <c r="AJ11" s="440"/>
      <c r="AK11" s="440"/>
      <c r="AL11" s="440"/>
      <c r="AM11" s="440"/>
    </row>
    <row r="12" spans="1:42" ht="18" customHeight="1" x14ac:dyDescent="0.2">
      <c r="B12" s="11"/>
      <c r="C12" s="11"/>
      <c r="D12" s="11"/>
      <c r="E12" s="11"/>
      <c r="F12" s="11"/>
      <c r="G12" s="12"/>
      <c r="H12" s="12"/>
      <c r="J12" s="440" t="str">
        <f>IF(Page1!$I$9="","",Page1!$I$9&amp;", "&amp;Page1!$I$10)</f>
        <v/>
      </c>
      <c r="K12" s="440"/>
      <c r="L12" s="440"/>
      <c r="M12" s="440"/>
      <c r="N12" s="440"/>
      <c r="O12" s="440"/>
      <c r="P12" s="440"/>
      <c r="Q12" s="440"/>
      <c r="R12" s="440"/>
      <c r="S12" s="440"/>
      <c r="T12" s="440"/>
      <c r="U12" s="440"/>
      <c r="V12" s="440"/>
      <c r="W12" s="440"/>
      <c r="X12" s="440"/>
      <c r="Y12" s="440"/>
      <c r="Z12" s="440"/>
      <c r="AA12" s="440"/>
      <c r="AB12" s="440"/>
      <c r="AC12" s="440"/>
      <c r="AD12" s="440"/>
      <c r="AE12" s="440"/>
      <c r="AF12" s="440"/>
      <c r="AG12" s="440"/>
      <c r="AH12" s="440"/>
      <c r="AI12" s="440"/>
      <c r="AJ12" s="440"/>
      <c r="AK12" s="440"/>
      <c r="AL12" s="440"/>
      <c r="AM12" s="440"/>
    </row>
    <row r="13" spans="1:42" ht="18" customHeight="1" x14ac:dyDescent="0.2">
      <c r="B13" s="427" t="s">
        <v>68</v>
      </c>
      <c r="C13" s="427"/>
      <c r="D13" s="427"/>
      <c r="E13" s="427"/>
      <c r="F13" s="427"/>
      <c r="G13" s="12"/>
      <c r="H13" s="12"/>
      <c r="I13" s="11" t="s">
        <v>69</v>
      </c>
      <c r="J13" s="6" t="str">
        <f>IF(Page1!I11="","",Page1!I11)</f>
        <v/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42" ht="18" customHeight="1" x14ac:dyDescent="0.2">
      <c r="B14" s="11" t="s">
        <v>70</v>
      </c>
      <c r="C14" s="11"/>
      <c r="D14" s="11"/>
      <c r="E14" s="11"/>
      <c r="F14" s="11"/>
      <c r="G14" s="12"/>
      <c r="H14" s="12"/>
      <c r="I14" s="11" t="s">
        <v>69</v>
      </c>
      <c r="J14" s="441" t="str">
        <f>IF(Page1!I12="","-",Page1!I12)</f>
        <v>-</v>
      </c>
      <c r="K14" s="441"/>
      <c r="L14" s="441"/>
      <c r="M14" s="441"/>
      <c r="N14" s="441"/>
      <c r="O14" s="441"/>
      <c r="P14" s="441"/>
      <c r="Q14" s="441"/>
      <c r="R14" s="441"/>
      <c r="S14" s="441"/>
      <c r="T14" s="441"/>
      <c r="U14" s="441"/>
      <c r="V14" s="441"/>
      <c r="W14" s="441"/>
      <c r="X14" s="68" t="s">
        <v>71</v>
      </c>
      <c r="Y14" s="69"/>
      <c r="Z14" s="69"/>
      <c r="AA14" s="69"/>
      <c r="AB14" s="69"/>
      <c r="AC14" s="68" t="s">
        <v>69</v>
      </c>
      <c r="AD14" s="444" t="str">
        <f>IF(Page1!I13="","-",Page1!I13)</f>
        <v>-</v>
      </c>
      <c r="AE14" s="444"/>
      <c r="AF14" s="444"/>
      <c r="AG14" s="444"/>
      <c r="AH14" s="444"/>
      <c r="AI14" s="444"/>
      <c r="AJ14" s="444"/>
      <c r="AK14" s="444"/>
      <c r="AL14" s="444"/>
      <c r="AM14" s="444"/>
      <c r="AN14" s="5"/>
    </row>
    <row r="15" spans="1:42" ht="18" customHeight="1" x14ac:dyDescent="0.2">
      <c r="B15" s="11" t="s">
        <v>73</v>
      </c>
      <c r="C15" s="11"/>
      <c r="D15" s="11"/>
      <c r="E15" s="11"/>
      <c r="F15" s="11"/>
      <c r="G15" s="12"/>
      <c r="H15" s="12"/>
      <c r="I15" s="11" t="s">
        <v>69</v>
      </c>
      <c r="J15" s="444" t="str">
        <f>IF(Page1!I14="","-",Page1!I14)</f>
        <v>-</v>
      </c>
      <c r="K15" s="444"/>
      <c r="L15" s="444"/>
      <c r="M15" s="444"/>
      <c r="N15" s="444"/>
      <c r="O15" s="444"/>
      <c r="P15" s="444"/>
      <c r="Q15" s="444"/>
      <c r="R15" s="444"/>
      <c r="S15" s="444"/>
      <c r="T15" s="444"/>
      <c r="U15" s="444"/>
      <c r="V15" s="444"/>
      <c r="W15" s="444"/>
      <c r="X15" s="68" t="s">
        <v>72</v>
      </c>
      <c r="Y15" s="69"/>
      <c r="Z15" s="69"/>
      <c r="AA15" s="69"/>
      <c r="AB15" s="69"/>
      <c r="AC15" s="68" t="s">
        <v>69</v>
      </c>
      <c r="AD15" s="444" t="str">
        <f>IF(Page1!I15="","-",Page1!I15)</f>
        <v>-</v>
      </c>
      <c r="AE15" s="444"/>
      <c r="AF15" s="444"/>
      <c r="AG15" s="444"/>
      <c r="AH15" s="444"/>
      <c r="AI15" s="444"/>
      <c r="AJ15" s="444"/>
      <c r="AK15" s="444"/>
      <c r="AL15" s="444"/>
      <c r="AM15" s="444"/>
      <c r="AN15" s="5"/>
    </row>
    <row r="16" spans="1:42" ht="18" customHeight="1" x14ac:dyDescent="0.2">
      <c r="B16" s="11" t="s">
        <v>492</v>
      </c>
      <c r="D16" s="11"/>
      <c r="E16" s="11"/>
      <c r="F16" s="11"/>
      <c r="G16" s="12"/>
      <c r="H16" s="12"/>
      <c r="I16" s="11" t="s">
        <v>69</v>
      </c>
      <c r="J16" s="440" t="str">
        <f>IF(Page1!AE16="","-",Page1!AE16)</f>
        <v>-</v>
      </c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  <c r="AG16" s="440"/>
      <c r="AH16" s="440"/>
      <c r="AI16" s="440"/>
      <c r="AJ16" s="440"/>
      <c r="AK16" s="440"/>
      <c r="AL16" s="440"/>
      <c r="AM16" s="440"/>
      <c r="AN16" s="4"/>
      <c r="AO16" s="4"/>
    </row>
    <row r="17" spans="2:43" ht="18" customHeight="1" x14ac:dyDescent="0.2">
      <c r="B17" s="30" t="s">
        <v>281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2"/>
    </row>
    <row r="18" spans="2:43" ht="18" customHeight="1" x14ac:dyDescent="0.2">
      <c r="C18" s="446" t="str">
        <f>IF(Page1!AG18="","Normal condition, no indication find for any damage or malfunction",Page1!AG18)</f>
        <v>Normal condition, no indication find for any damage or malfunction</v>
      </c>
      <c r="D18" s="446"/>
      <c r="E18" s="446"/>
      <c r="F18" s="446"/>
      <c r="G18" s="446"/>
      <c r="H18" s="446"/>
      <c r="I18" s="446"/>
      <c r="J18" s="446"/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</row>
    <row r="19" spans="2:43" ht="6" customHeight="1" x14ac:dyDescent="0.2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</row>
    <row r="20" spans="2:43" ht="6" customHeight="1" x14ac:dyDescent="0.2">
      <c r="C20" s="11"/>
      <c r="D20" s="11"/>
      <c r="E20" s="11"/>
    </row>
    <row r="21" spans="2:43" ht="17.25" customHeight="1" x14ac:dyDescent="0.2">
      <c r="B21" s="11" t="s">
        <v>76</v>
      </c>
      <c r="C21" s="11"/>
      <c r="I21" s="11" t="s">
        <v>69</v>
      </c>
      <c r="J21" s="446" t="str">
        <f>IF(Page1!AO5="","",Page1!AO5)</f>
        <v/>
      </c>
      <c r="K21" s="446"/>
      <c r="L21" s="446"/>
      <c r="M21" s="446"/>
      <c r="N21" s="446"/>
      <c r="O21" s="446"/>
      <c r="P21" s="446"/>
      <c r="Q21" s="446"/>
      <c r="R21" s="446"/>
      <c r="S21" s="446"/>
      <c r="T21" s="446"/>
      <c r="U21" s="446"/>
      <c r="V21" s="446"/>
      <c r="W21" s="446"/>
      <c r="X21" s="446"/>
      <c r="Y21" s="446"/>
    </row>
    <row r="22" spans="2:43" ht="17.25" customHeight="1" x14ac:dyDescent="0.2">
      <c r="B22" s="11" t="s">
        <v>77</v>
      </c>
      <c r="C22" s="11"/>
      <c r="I22" s="11" t="s">
        <v>69</v>
      </c>
      <c r="J22" s="443" t="str">
        <f>IF(Page1!I16="","",Page1!I16)</f>
        <v/>
      </c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  <c r="V22" s="443"/>
      <c r="W22" s="443"/>
      <c r="X22" s="443"/>
      <c r="Y22" s="443"/>
    </row>
    <row r="23" spans="2:43" ht="17.25" customHeight="1" x14ac:dyDescent="0.2">
      <c r="B23" s="11" t="s">
        <v>78</v>
      </c>
      <c r="C23" s="11"/>
      <c r="D23" s="11"/>
      <c r="E23" s="11"/>
      <c r="F23" s="11"/>
      <c r="G23" s="11"/>
      <c r="I23" s="11" t="s">
        <v>69</v>
      </c>
      <c r="J23" s="443" t="str">
        <f>IF(Page1!I17="","",Page1!I17)</f>
        <v/>
      </c>
      <c r="K23" s="443"/>
      <c r="L23" s="443"/>
      <c r="M23" s="443"/>
      <c r="N23" s="443"/>
      <c r="O23" s="443"/>
      <c r="P23" s="443"/>
      <c r="Q23" s="443"/>
      <c r="R23" s="443"/>
      <c r="S23" s="443"/>
      <c r="T23" s="443"/>
      <c r="U23" s="443"/>
      <c r="V23" s="443"/>
      <c r="W23" s="443"/>
      <c r="X23" s="443"/>
      <c r="Y23" s="443"/>
      <c r="AQ23" s="1" t="s">
        <v>427</v>
      </c>
    </row>
    <row r="24" spans="2:43" ht="17.25" customHeight="1" x14ac:dyDescent="0.2">
      <c r="B24" s="11" t="s">
        <v>75</v>
      </c>
      <c r="C24" s="11"/>
      <c r="I24" s="11" t="s">
        <v>69</v>
      </c>
      <c r="J24" s="443" t="str">
        <f>IF(Page1!$I$18="","",Page1!$I$18)</f>
        <v/>
      </c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</row>
    <row r="25" spans="2:43" ht="6.75" customHeight="1" x14ac:dyDescent="0.2"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</row>
    <row r="26" spans="2:43" ht="6" customHeight="1" x14ac:dyDescent="0.2"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</row>
    <row r="27" spans="2:43" ht="18" customHeight="1" x14ac:dyDescent="0.2">
      <c r="B27" s="30" t="s">
        <v>39</v>
      </c>
      <c r="C27" s="30"/>
      <c r="D27" s="15"/>
      <c r="E27" s="15"/>
      <c r="F27" s="15"/>
      <c r="G27" s="15"/>
      <c r="H27" s="15"/>
      <c r="I27" s="13" t="s">
        <v>69</v>
      </c>
      <c r="J27" s="20" t="s">
        <v>79</v>
      </c>
      <c r="K27" s="20"/>
      <c r="L27" s="20"/>
      <c r="M27" s="20"/>
      <c r="N27" s="20"/>
      <c r="O27" s="20"/>
      <c r="P27" s="20"/>
      <c r="Q27" s="12"/>
      <c r="R27" s="12"/>
      <c r="S27" s="416" t="s">
        <v>410</v>
      </c>
      <c r="T27" s="416"/>
      <c r="U27" s="416"/>
      <c r="V27" s="416"/>
      <c r="W27" s="416"/>
      <c r="X27" s="416"/>
      <c r="Y27" s="416"/>
      <c r="Z27" s="416"/>
      <c r="AA27" s="11"/>
      <c r="AB27" s="11"/>
    </row>
    <row r="28" spans="2:43" ht="18" customHeight="1" x14ac:dyDescent="0.2">
      <c r="B28" s="12"/>
      <c r="C28" s="12"/>
      <c r="D28" s="12"/>
      <c r="E28" s="12"/>
      <c r="F28" s="12"/>
      <c r="G28" s="12"/>
      <c r="H28" s="12"/>
      <c r="I28" s="12"/>
      <c r="J28" s="446" t="s">
        <v>54</v>
      </c>
      <c r="K28" s="446"/>
      <c r="L28" s="446"/>
      <c r="M28" s="446"/>
      <c r="N28" s="446"/>
      <c r="O28" s="446"/>
      <c r="P28" s="446"/>
      <c r="Q28" s="446"/>
      <c r="R28" s="12"/>
      <c r="S28" s="445" t="s">
        <v>515</v>
      </c>
      <c r="T28" s="445"/>
      <c r="U28" s="445"/>
      <c r="V28" s="445"/>
      <c r="W28" s="445"/>
      <c r="X28" s="445"/>
      <c r="Y28" s="445"/>
      <c r="Z28" s="445"/>
    </row>
    <row r="29" spans="2:43" ht="6" customHeight="1" x14ac:dyDescent="0.2">
      <c r="B29" s="17"/>
      <c r="C29" s="17"/>
      <c r="D29" s="17"/>
      <c r="E29" s="17"/>
      <c r="F29" s="17"/>
      <c r="G29" s="17"/>
      <c r="H29" s="17"/>
      <c r="I29" s="17"/>
      <c r="J29" s="18"/>
      <c r="K29" s="18"/>
      <c r="L29" s="18"/>
      <c r="M29" s="18"/>
      <c r="N29" s="18"/>
      <c r="O29" s="18"/>
      <c r="P29" s="18"/>
      <c r="Q29" s="17"/>
      <c r="R29" s="19"/>
      <c r="S29" s="19"/>
      <c r="T29" s="19"/>
      <c r="U29" s="19"/>
      <c r="V29" s="19"/>
      <c r="W29" s="17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</row>
    <row r="30" spans="2:43" ht="6" customHeight="1" x14ac:dyDescent="0.2">
      <c r="J30" s="20"/>
      <c r="K30" s="20"/>
      <c r="L30" s="20"/>
      <c r="M30" s="20"/>
      <c r="N30" s="20"/>
      <c r="O30" s="20"/>
      <c r="P30" s="20"/>
      <c r="R30" s="21"/>
      <c r="S30" s="21"/>
      <c r="T30" s="21"/>
      <c r="U30" s="21"/>
      <c r="V30" s="21"/>
    </row>
    <row r="31" spans="2:43" ht="17.25" customHeight="1" x14ac:dyDescent="0.2">
      <c r="B31" s="446" t="s">
        <v>356</v>
      </c>
      <c r="C31" s="446"/>
      <c r="D31" s="446"/>
      <c r="E31" s="446"/>
      <c r="F31" s="446"/>
      <c r="G31" s="446"/>
      <c r="H31" s="446"/>
      <c r="I31" s="446"/>
      <c r="J31" s="446"/>
      <c r="K31" s="446"/>
      <c r="L31" s="446"/>
      <c r="M31" s="446"/>
      <c r="N31" s="446"/>
      <c r="O31" s="446"/>
      <c r="P31" s="446"/>
      <c r="Q31" s="446"/>
      <c r="R31" s="446"/>
      <c r="S31" s="446"/>
      <c r="T31" s="446"/>
      <c r="U31" s="446"/>
      <c r="V31" s="446"/>
      <c r="W31" s="446"/>
      <c r="X31" s="446"/>
      <c r="Y31" s="446"/>
      <c r="Z31" s="446"/>
      <c r="AA31" s="446"/>
      <c r="AB31" s="446"/>
      <c r="AC31" s="446"/>
      <c r="AD31" s="446"/>
      <c r="AE31" s="446"/>
      <c r="AF31" s="446"/>
      <c r="AG31" s="446"/>
      <c r="AH31" s="446"/>
      <c r="AI31" s="446"/>
      <c r="AJ31" s="446"/>
      <c r="AK31" s="446"/>
      <c r="AL31" s="446"/>
      <c r="AM31" s="446"/>
    </row>
    <row r="32" spans="2:43" ht="17.25" customHeight="1" x14ac:dyDescent="0.2">
      <c r="B32" s="30" t="s">
        <v>92</v>
      </c>
    </row>
    <row r="33" spans="1:40" ht="17.25" customHeight="1" x14ac:dyDescent="0.2">
      <c r="C33" s="9" t="s">
        <v>357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ht="17.25" customHeight="1" x14ac:dyDescent="0.2">
      <c r="B34" s="9" t="s">
        <v>358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</row>
    <row r="35" spans="1:40" ht="6" customHeight="1" x14ac:dyDescent="0.2">
      <c r="B35" s="22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22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</row>
    <row r="36" spans="1:40" ht="6" customHeight="1" x14ac:dyDescent="0.2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</row>
    <row r="37" spans="1:40" ht="18" customHeight="1" x14ac:dyDescent="0.2">
      <c r="A37" s="12"/>
      <c r="B37" s="427" t="s">
        <v>55</v>
      </c>
      <c r="C37" s="427"/>
      <c r="D37" s="427"/>
      <c r="E37" s="427"/>
      <c r="F37" s="427"/>
      <c r="G37" s="427"/>
      <c r="H37" s="427"/>
      <c r="I37" s="427"/>
      <c r="J37" s="427"/>
      <c r="K37" s="427"/>
      <c r="L37" s="427"/>
      <c r="M37" s="427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L37" s="23"/>
      <c r="AM37" s="23"/>
    </row>
    <row r="38" spans="1:40" ht="18" customHeight="1" x14ac:dyDescent="0.2">
      <c r="A38" s="12"/>
      <c r="B38" s="6"/>
      <c r="C38" s="6" t="s">
        <v>83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40" ht="18" customHeight="1" x14ac:dyDescent="0.2">
      <c r="A39" s="12"/>
      <c r="B39" s="6" t="s">
        <v>85</v>
      </c>
      <c r="C39" s="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40" ht="18" customHeight="1" x14ac:dyDescent="0.2">
      <c r="A40" s="12"/>
      <c r="B40" s="6" t="s">
        <v>84</v>
      </c>
      <c r="C40" s="6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40" ht="6" customHeight="1" x14ac:dyDescent="0.2"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</row>
    <row r="42" spans="1:40" ht="25.5" customHeight="1" x14ac:dyDescent="0.2"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5"/>
      <c r="AM42" s="35"/>
    </row>
    <row r="43" spans="1:40" ht="16.5" customHeight="1" x14ac:dyDescent="0.2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24"/>
      <c r="AM43" s="24"/>
    </row>
    <row r="44" spans="1:40" ht="12.75" customHeight="1" x14ac:dyDescent="0.2">
      <c r="B44" s="12"/>
      <c r="C44" s="12"/>
      <c r="D44" s="73" t="str">
        <f>IF(Page1!F41="","",VLOOKUP(Page1!F41,Data!H3:I20,2,FALSE))</f>
        <v/>
      </c>
      <c r="E44" s="14"/>
      <c r="F44" s="14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2"/>
      <c r="R44" s="12"/>
      <c r="S44" s="12"/>
      <c r="T44" s="12"/>
      <c r="U44" s="12"/>
      <c r="V44" s="12"/>
      <c r="W44" s="74" t="str">
        <f>IF(Page1!AC41="","",VLOOKUP(Page1!AC41,Data!H3:I20,2,FALSE))</f>
        <v/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2"/>
      <c r="AK44" s="12"/>
      <c r="AL44" s="12"/>
      <c r="AM44" s="12"/>
    </row>
    <row r="45" spans="1:40" ht="17.25" customHeight="1" x14ac:dyDescent="0.2">
      <c r="B45" s="25"/>
      <c r="C45" s="12"/>
      <c r="D45" s="448" t="str">
        <f>"("&amp;" "&amp;Page1!F41&amp;" "&amp;")"</f>
        <v>(  )</v>
      </c>
      <c r="E45" s="448"/>
      <c r="F45" s="448"/>
      <c r="G45" s="448"/>
      <c r="H45" s="448"/>
      <c r="I45" s="448"/>
      <c r="J45" s="448"/>
      <c r="K45" s="448"/>
      <c r="L45" s="448"/>
      <c r="M45" s="448"/>
      <c r="N45" s="448"/>
      <c r="O45" s="448"/>
      <c r="P45" s="448"/>
      <c r="W45" s="448" t="str">
        <f>"("&amp;" "&amp;Page1!AC41&amp;" "&amp;")"</f>
        <v>(  )</v>
      </c>
      <c r="X45" s="448"/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12"/>
      <c r="AK45" s="12"/>
      <c r="AL45" s="12"/>
      <c r="AM45" s="12"/>
    </row>
    <row r="46" spans="1:40" ht="17.25" customHeight="1" x14ac:dyDescent="0.2">
      <c r="B46" s="25"/>
      <c r="C46" s="12"/>
      <c r="E46" s="442" t="s">
        <v>81</v>
      </c>
      <c r="F46" s="442"/>
      <c r="G46" s="442"/>
      <c r="H46" s="442"/>
      <c r="I46" s="442"/>
      <c r="J46" s="442"/>
      <c r="K46" s="442"/>
      <c r="L46" s="442"/>
      <c r="M46" s="442"/>
      <c r="N46" s="442"/>
      <c r="O46" s="442"/>
      <c r="X46" s="442" t="s">
        <v>82</v>
      </c>
      <c r="Y46" s="442"/>
      <c r="Z46" s="442"/>
      <c r="AA46" s="442"/>
      <c r="AB46" s="442"/>
      <c r="AC46" s="442"/>
      <c r="AD46" s="442"/>
      <c r="AE46" s="442"/>
      <c r="AF46" s="442"/>
      <c r="AG46" s="442"/>
      <c r="AH46" s="442"/>
      <c r="AJ46" s="12"/>
      <c r="AK46" s="12"/>
      <c r="AL46" s="12"/>
      <c r="AM46" s="12"/>
    </row>
    <row r="47" spans="1:40" ht="6" customHeight="1" x14ac:dyDescent="0.2">
      <c r="B47" s="25"/>
      <c r="C47" s="12"/>
      <c r="D47" s="12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12"/>
      <c r="P47" s="12"/>
      <c r="Q47" s="12"/>
      <c r="R47" s="12"/>
      <c r="S47" s="12"/>
      <c r="T47" s="12"/>
      <c r="U47" s="12"/>
      <c r="V47" s="12"/>
      <c r="W47" s="12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12"/>
      <c r="AI47" s="12"/>
      <c r="AJ47" s="12"/>
      <c r="AK47" s="12"/>
      <c r="AL47" s="12"/>
      <c r="AM47" s="12"/>
    </row>
    <row r="48" spans="1:40" ht="17.25" customHeight="1" x14ac:dyDescent="0.2">
      <c r="B48" s="29"/>
      <c r="C48" s="6" t="s">
        <v>101</v>
      </c>
      <c r="D48" s="12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12"/>
      <c r="P48" s="12"/>
      <c r="Q48" s="12"/>
      <c r="R48" s="12"/>
      <c r="S48" s="12"/>
      <c r="T48" s="12"/>
      <c r="U48" s="12"/>
      <c r="V48" s="12"/>
      <c r="W48" s="12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12"/>
      <c r="AI48" s="12"/>
      <c r="AJ48" s="12"/>
      <c r="AK48" s="12"/>
      <c r="AL48" s="12"/>
      <c r="AM48" s="12"/>
    </row>
    <row r="49" spans="1:39" ht="17.25" customHeight="1" x14ac:dyDescent="0.2">
      <c r="B49" s="29" t="s">
        <v>109</v>
      </c>
      <c r="C49" s="6"/>
      <c r="D49" s="12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12"/>
      <c r="P49" s="12"/>
      <c r="Q49" s="12"/>
      <c r="R49" s="12"/>
      <c r="S49" s="12"/>
      <c r="T49" s="12"/>
      <c r="U49" s="12"/>
      <c r="V49" s="12"/>
      <c r="W49" s="12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12"/>
      <c r="AI49" s="12"/>
      <c r="AJ49" s="12"/>
      <c r="AK49" s="12"/>
      <c r="AL49" s="12"/>
      <c r="AM49" s="12"/>
    </row>
    <row r="50" spans="1:39" ht="6" customHeight="1" x14ac:dyDescent="0.2">
      <c r="B50" s="26"/>
      <c r="C50" s="17"/>
      <c r="D50" s="1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17"/>
      <c r="P50" s="17"/>
      <c r="Q50" s="17"/>
      <c r="R50" s="17"/>
      <c r="S50" s="17"/>
      <c r="T50" s="17"/>
      <c r="U50" s="17"/>
      <c r="V50" s="17"/>
      <c r="W50" s="1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17"/>
      <c r="AI50" s="17"/>
      <c r="AJ50" s="17"/>
      <c r="AK50" s="17"/>
      <c r="AL50" s="17"/>
      <c r="AM50" s="17"/>
    </row>
    <row r="51" spans="1:39" ht="6" customHeight="1" x14ac:dyDescent="0.2">
      <c r="B51" s="25"/>
      <c r="C51" s="12"/>
      <c r="D51" s="12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12"/>
      <c r="P51" s="12"/>
      <c r="Q51" s="12"/>
      <c r="R51" s="12"/>
      <c r="S51" s="12"/>
      <c r="T51" s="12"/>
      <c r="U51" s="12"/>
      <c r="V51" s="12"/>
      <c r="W51" s="12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12"/>
      <c r="AI51" s="12"/>
      <c r="AJ51" s="12"/>
      <c r="AK51" s="12"/>
      <c r="AL51" s="12"/>
      <c r="AM51" s="12"/>
    </row>
    <row r="52" spans="1:39" ht="17.25" customHeight="1" x14ac:dyDescent="0.2">
      <c r="B52" s="29"/>
      <c r="C52" s="6" t="s">
        <v>87</v>
      </c>
      <c r="D52" s="6"/>
      <c r="E52" s="8"/>
      <c r="F52" s="8"/>
      <c r="G52" s="8"/>
      <c r="H52" s="8"/>
      <c r="I52" s="8"/>
      <c r="J52" s="8"/>
      <c r="K52" s="8"/>
      <c r="L52" s="8"/>
      <c r="M52" s="8"/>
      <c r="N52" s="8"/>
      <c r="O52" s="6"/>
      <c r="P52" s="6"/>
      <c r="Q52" s="6"/>
      <c r="R52" s="6"/>
      <c r="S52" s="6"/>
      <c r="T52" s="6"/>
      <c r="U52" s="6"/>
      <c r="V52" s="6"/>
      <c r="W52" s="6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6"/>
      <c r="AI52" s="6"/>
      <c r="AJ52" s="6"/>
      <c r="AK52" s="6"/>
      <c r="AL52" s="6"/>
      <c r="AM52" s="6"/>
    </row>
    <row r="53" spans="1:39" ht="17.25" customHeight="1" x14ac:dyDescent="0.2">
      <c r="B53" s="29" t="s">
        <v>111</v>
      </c>
      <c r="C53" s="6"/>
      <c r="D53" s="6"/>
      <c r="E53" s="8"/>
      <c r="F53" s="8"/>
      <c r="G53" s="8"/>
      <c r="H53" s="8"/>
      <c r="I53" s="8"/>
      <c r="J53" s="8"/>
      <c r="K53" s="8"/>
      <c r="L53" s="8"/>
      <c r="M53" s="8"/>
      <c r="N53" s="8"/>
      <c r="O53" s="6"/>
      <c r="P53" s="6"/>
      <c r="Q53" s="6"/>
      <c r="R53" s="6"/>
      <c r="S53" s="6"/>
      <c r="T53" s="6"/>
      <c r="U53" s="6"/>
      <c r="V53" s="6"/>
      <c r="W53" s="6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6"/>
      <c r="AI53" s="6"/>
      <c r="AJ53" s="6"/>
      <c r="AK53" s="6"/>
      <c r="AL53" s="6"/>
      <c r="AM53" s="6"/>
    </row>
    <row r="54" spans="1:39" x14ac:dyDescent="0.2">
      <c r="B54" s="6" t="str">
        <f>IF(Page1!AO6="","","*This certificate is a revision of a calibration certificate No."&amp;Page1!AO4&amp;Page1!AR4&amp;" "&amp;IF(Page1!AO6&gt;1,"R"&amp;Page1!AO6-1,""))</f>
        <v/>
      </c>
    </row>
    <row r="55" spans="1:39" x14ac:dyDescent="0.2">
      <c r="B55" s="6"/>
    </row>
    <row r="56" spans="1:39" ht="17.25" customHeight="1" x14ac:dyDescent="0.2"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413" t="s">
        <v>52</v>
      </c>
      <c r="AA56" s="413"/>
      <c r="AB56" s="413"/>
      <c r="AC56" s="413"/>
      <c r="AD56" s="413"/>
      <c r="AE56" s="413"/>
      <c r="AF56" s="413"/>
      <c r="AG56" s="413"/>
      <c r="AH56" s="413"/>
      <c r="AI56" s="442" t="str">
        <f>AI9</f>
        <v xml:space="preserve"> /69 </v>
      </c>
      <c r="AJ56" s="442"/>
      <c r="AK56" s="442"/>
      <c r="AL56" s="442"/>
      <c r="AM56" s="442"/>
    </row>
    <row r="57" spans="1:39" ht="17.25" customHeight="1" x14ac:dyDescent="0.2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413" t="s">
        <v>56</v>
      </c>
      <c r="AB57" s="413"/>
      <c r="AC57" s="413"/>
      <c r="AD57" s="413"/>
      <c r="AE57" s="413"/>
      <c r="AF57" s="413"/>
      <c r="AG57" s="413"/>
      <c r="AH57" s="413"/>
      <c r="AI57" s="442" t="s">
        <v>94</v>
      </c>
      <c r="AJ57" s="442"/>
      <c r="AK57" s="442"/>
      <c r="AL57" s="442"/>
      <c r="AM57" s="442"/>
    </row>
    <row r="58" spans="1:39" ht="18" customHeight="1" x14ac:dyDescent="0.2">
      <c r="B58" s="11" t="s">
        <v>88</v>
      </c>
    </row>
    <row r="59" spans="1:39" ht="18" customHeight="1" x14ac:dyDescent="0.2">
      <c r="B59" s="45" t="s">
        <v>89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66" t="s">
        <v>90</v>
      </c>
      <c r="T59" s="466"/>
      <c r="U59" s="466"/>
      <c r="V59" s="466"/>
      <c r="W59" s="466"/>
      <c r="X59" s="466"/>
      <c r="Y59" s="466"/>
      <c r="Z59" s="466"/>
      <c r="AA59" s="466" t="s">
        <v>57</v>
      </c>
      <c r="AB59" s="466"/>
      <c r="AC59" s="466"/>
      <c r="AD59" s="466"/>
      <c r="AE59" s="466"/>
      <c r="AF59" s="466"/>
      <c r="AG59" s="466"/>
      <c r="AH59" s="466" t="s">
        <v>91</v>
      </c>
      <c r="AI59" s="466"/>
      <c r="AJ59" s="466"/>
      <c r="AK59" s="466"/>
      <c r="AL59" s="466"/>
      <c r="AM59" s="1"/>
    </row>
    <row r="60" spans="1:39" ht="18" customHeight="1" x14ac:dyDescent="0.2">
      <c r="B60" s="46" t="str">
        <f>IF(Page1!I22="","",Page1!I22)</f>
        <v/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72" t="str">
        <f>IF(Page1!AF22="","",Page1!AF22)</f>
        <v/>
      </c>
      <c r="T60" s="472"/>
      <c r="U60" s="472"/>
      <c r="V60" s="472"/>
      <c r="W60" s="472"/>
      <c r="X60" s="472"/>
      <c r="Y60" s="472"/>
      <c r="Z60" s="472"/>
      <c r="AA60" s="457" t="str">
        <f>IF($S$60="","",VLOOKUP($S$60,STD!E:G,3,0))</f>
        <v/>
      </c>
      <c r="AB60" s="458"/>
      <c r="AC60" s="458"/>
      <c r="AD60" s="458"/>
      <c r="AE60" s="458"/>
      <c r="AF60" s="458"/>
      <c r="AG60" s="458"/>
      <c r="AH60" s="471" t="str">
        <f>IF(Page1!AN22="","",Page1!AN22)</f>
        <v/>
      </c>
      <c r="AI60" s="471"/>
      <c r="AJ60" s="471"/>
      <c r="AK60" s="471"/>
      <c r="AL60" s="471"/>
      <c r="AM60" s="1"/>
    </row>
    <row r="61" spans="1:39" ht="18" customHeight="1" x14ac:dyDescent="0.2">
      <c r="B61" s="47" t="str">
        <f>IF(Page1!$I$26="","",Page1!$I$26)</f>
        <v/>
      </c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67" t="str">
        <f>IF(Page1!AF26="","",Page1!AF26)</f>
        <v/>
      </c>
      <c r="T61" s="467" t="str">
        <f>IF(Page1!$I$26="","",Page1!$I$26)</f>
        <v/>
      </c>
      <c r="U61" s="467" t="str">
        <f>IF(Page1!$I$26="","",Page1!$I$26)</f>
        <v/>
      </c>
      <c r="V61" s="467" t="str">
        <f>IF(Page1!$I$26="","",Page1!$I$26)</f>
        <v/>
      </c>
      <c r="W61" s="467" t="str">
        <f>IF(Page1!$I$26="","",Page1!$I$26)</f>
        <v/>
      </c>
      <c r="X61" s="467" t="str">
        <f>IF(Page1!$I$26="","",Page1!$I$26)</f>
        <v/>
      </c>
      <c r="Y61" s="467" t="str">
        <f>IF(Page1!$I$26="","",Page1!$I$26)</f>
        <v/>
      </c>
      <c r="Z61" s="467" t="str">
        <f>IF(Page1!$I$26="","",Page1!$I$26)</f>
        <v/>
      </c>
      <c r="AA61" s="467" t="str">
        <f>IF($S$61="","",VLOOKUP($S$61,STD!E:G,3,0))</f>
        <v/>
      </c>
      <c r="AB61" s="467" t="str">
        <f>IF(Page1!$I$26="","",Page1!$I$26)</f>
        <v/>
      </c>
      <c r="AC61" s="467" t="str">
        <f>IF(Page1!$I$26="","",Page1!$I$26)</f>
        <v/>
      </c>
      <c r="AD61" s="467" t="str">
        <f>IF(Page1!$I$26="","",Page1!$I$26)</f>
        <v/>
      </c>
      <c r="AE61" s="467" t="str">
        <f>IF(Page1!$I$26="","",Page1!$I$26)</f>
        <v/>
      </c>
      <c r="AF61" s="467" t="str">
        <f>IF(Page1!$I$26="","",Page1!$I$26)</f>
        <v/>
      </c>
      <c r="AG61" s="467" t="str">
        <f>IF(Page1!$I$26="","",Page1!$I$26)</f>
        <v/>
      </c>
      <c r="AH61" s="465" t="str">
        <f>IF(Page1!$AN$26="","",Page1!$AN$26)</f>
        <v/>
      </c>
      <c r="AI61" s="465" t="str">
        <f>IF(Page1!$I$26="","",Page1!$I$26)</f>
        <v/>
      </c>
      <c r="AJ61" s="465" t="str">
        <f>IF(Page1!$I$26="","",Page1!$I$26)</f>
        <v/>
      </c>
      <c r="AK61" s="465" t="str">
        <f>IF(Page1!$I$26="","",Page1!$I$26)</f>
        <v/>
      </c>
      <c r="AL61" s="465" t="str">
        <f>IF(Page1!$I$26="","",Page1!$I$26)</f>
        <v/>
      </c>
      <c r="AM61" s="1"/>
    </row>
    <row r="62" spans="1:39" ht="6" customHeight="1" x14ac:dyDescent="0.2">
      <c r="B62" s="1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6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</row>
    <row r="63" spans="1:39" ht="18" customHeight="1" x14ac:dyDescent="0.2">
      <c r="B63" s="11" t="s">
        <v>102</v>
      </c>
      <c r="K63" s="11" t="s">
        <v>38</v>
      </c>
    </row>
    <row r="64" spans="1:39" ht="16.5" customHeight="1" thickBot="1" x14ac:dyDescent="0.25">
      <c r="A64" s="49"/>
      <c r="B64" s="50" t="s">
        <v>347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51"/>
      <c r="Y64" s="51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</row>
    <row r="65" spans="1:39" ht="16.5" customHeight="1" x14ac:dyDescent="0.2">
      <c r="A65" s="52"/>
      <c r="B65" s="428" t="s">
        <v>348</v>
      </c>
      <c r="C65" s="428"/>
      <c r="D65" s="428"/>
      <c r="E65" s="428"/>
      <c r="F65" s="428"/>
      <c r="G65" s="428"/>
      <c r="H65" s="423" t="s">
        <v>349</v>
      </c>
      <c r="I65" s="423"/>
      <c r="J65" s="423"/>
      <c r="K65" s="423"/>
      <c r="L65" s="423"/>
      <c r="M65" s="423"/>
      <c r="N65" s="423" t="s">
        <v>350</v>
      </c>
      <c r="O65" s="423"/>
      <c r="P65" s="423"/>
      <c r="Q65" s="423"/>
      <c r="R65" s="423"/>
      <c r="S65" s="423"/>
      <c r="T65" s="423" t="s">
        <v>351</v>
      </c>
      <c r="U65" s="423"/>
      <c r="V65" s="423"/>
      <c r="W65" s="423"/>
      <c r="X65" s="423"/>
      <c r="Y65" s="423"/>
      <c r="Z65" s="423" t="s">
        <v>46</v>
      </c>
      <c r="AA65" s="423"/>
      <c r="AB65" s="423"/>
      <c r="AC65" s="423"/>
      <c r="AD65" s="423"/>
      <c r="AE65" s="423"/>
      <c r="AF65" s="423" t="s">
        <v>41</v>
      </c>
      <c r="AG65" s="423"/>
      <c r="AH65" s="423"/>
      <c r="AI65" s="423"/>
      <c r="AJ65" s="423"/>
      <c r="AK65" s="423"/>
      <c r="AL65" s="49"/>
      <c r="AM65" s="49"/>
    </row>
    <row r="66" spans="1:39" ht="16.5" customHeight="1" thickBot="1" x14ac:dyDescent="0.25">
      <c r="A66" s="52"/>
      <c r="B66" s="424" t="s">
        <v>352</v>
      </c>
      <c r="C66" s="424"/>
      <c r="D66" s="424"/>
      <c r="E66" s="424"/>
      <c r="F66" s="424"/>
      <c r="G66" s="424"/>
      <c r="H66" s="426" t="s">
        <v>352</v>
      </c>
      <c r="I66" s="426"/>
      <c r="J66" s="426"/>
      <c r="K66" s="426"/>
      <c r="L66" s="426"/>
      <c r="M66" s="426"/>
      <c r="N66" s="426" t="s">
        <v>352</v>
      </c>
      <c r="O66" s="426"/>
      <c r="P66" s="426"/>
      <c r="Q66" s="426"/>
      <c r="R66" s="426"/>
      <c r="S66" s="426"/>
      <c r="T66" s="426" t="s">
        <v>352</v>
      </c>
      <c r="U66" s="426"/>
      <c r="V66" s="426"/>
      <c r="W66" s="426"/>
      <c r="X66" s="426"/>
      <c r="Y66" s="426"/>
      <c r="Z66" s="426" t="s">
        <v>352</v>
      </c>
      <c r="AA66" s="426"/>
      <c r="AB66" s="426"/>
      <c r="AC66" s="426"/>
      <c r="AD66" s="426"/>
      <c r="AE66" s="426"/>
      <c r="AF66" s="426" t="s">
        <v>353</v>
      </c>
      <c r="AG66" s="426"/>
      <c r="AH66" s="426"/>
      <c r="AI66" s="426"/>
      <c r="AJ66" s="426"/>
      <c r="AK66" s="426"/>
      <c r="AL66" s="49"/>
      <c r="AM66" s="49"/>
    </row>
    <row r="67" spans="1:39" ht="16.5" customHeight="1" x14ac:dyDescent="0.2">
      <c r="A67" s="52"/>
      <c r="B67" s="425" t="str">
        <f>'Cal 1'!$AR$20</f>
        <v/>
      </c>
      <c r="C67" s="425"/>
      <c r="D67" s="425"/>
      <c r="E67" s="425"/>
      <c r="F67" s="425"/>
      <c r="G67" s="425"/>
      <c r="H67" s="420" t="str">
        <f>'Cal 1'!$AX$20</f>
        <v/>
      </c>
      <c r="I67" s="420"/>
      <c r="J67" s="420"/>
      <c r="K67" s="420"/>
      <c r="L67" s="420"/>
      <c r="M67" s="420"/>
      <c r="N67" s="420">
        <f>'Cal 1'!$AR$24</f>
        <v>0</v>
      </c>
      <c r="O67" s="420"/>
      <c r="P67" s="420"/>
      <c r="Q67" s="420"/>
      <c r="R67" s="420"/>
      <c r="S67" s="420"/>
      <c r="T67" s="421" t="e">
        <f>'Cal 1'!$AX$24</f>
        <v>#DIV/0!</v>
      </c>
      <c r="U67" s="421"/>
      <c r="V67" s="421"/>
      <c r="W67" s="421"/>
      <c r="X67" s="421"/>
      <c r="Y67" s="421"/>
      <c r="Z67" s="421" t="e">
        <f>'Cal 1'!$BD$24</f>
        <v>#DIV/0!</v>
      </c>
      <c r="AA67" s="421"/>
      <c r="AB67" s="421"/>
      <c r="AC67" s="421"/>
      <c r="AD67" s="421"/>
      <c r="AE67" s="421"/>
      <c r="AF67" s="422" t="e">
        <f>'Cal 1'!$BI$24</f>
        <v>#DIV/0!</v>
      </c>
      <c r="AG67" s="422"/>
      <c r="AH67" s="422"/>
      <c r="AI67" s="422"/>
      <c r="AJ67" s="422"/>
      <c r="AK67" s="422"/>
      <c r="AL67" s="49"/>
      <c r="AM67" s="49"/>
    </row>
    <row r="68" spans="1:39" ht="16.5" customHeight="1" thickBot="1" x14ac:dyDescent="0.25">
      <c r="A68" s="52"/>
      <c r="B68" s="417"/>
      <c r="C68" s="417"/>
      <c r="D68" s="417"/>
      <c r="E68" s="417"/>
      <c r="F68" s="417"/>
      <c r="G68" s="417"/>
      <c r="H68" s="417"/>
      <c r="I68" s="417"/>
      <c r="J68" s="417"/>
      <c r="K68" s="417"/>
      <c r="L68" s="417"/>
      <c r="M68" s="417"/>
      <c r="N68" s="418"/>
      <c r="O68" s="418"/>
      <c r="P68" s="418"/>
      <c r="Q68" s="418"/>
      <c r="R68" s="418"/>
      <c r="S68" s="418"/>
      <c r="T68" s="418"/>
      <c r="U68" s="418"/>
      <c r="V68" s="418"/>
      <c r="W68" s="418"/>
      <c r="X68" s="418"/>
      <c r="Y68" s="418"/>
      <c r="Z68" s="419"/>
      <c r="AA68" s="419"/>
      <c r="AB68" s="419"/>
      <c r="AC68" s="419"/>
      <c r="AD68" s="419"/>
      <c r="AE68" s="419"/>
      <c r="AF68" s="415"/>
      <c r="AG68" s="415"/>
      <c r="AH68" s="415"/>
      <c r="AI68" s="415"/>
      <c r="AJ68" s="415"/>
      <c r="AK68" s="415"/>
      <c r="AL68" s="49"/>
      <c r="AM68" s="49"/>
    </row>
    <row r="69" spans="1:39" ht="9" customHeight="1" x14ac:dyDescent="0.2">
      <c r="A69" s="52"/>
      <c r="B69" s="49"/>
      <c r="C69" s="53"/>
      <c r="D69" s="49"/>
      <c r="E69" s="53"/>
      <c r="F69" s="49"/>
      <c r="G69" s="53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49"/>
      <c r="AJ69" s="49"/>
      <c r="AK69" s="49"/>
      <c r="AL69" s="49"/>
      <c r="AM69" s="49"/>
    </row>
    <row r="70" spans="1:39" s="59" customFormat="1" ht="16.5" customHeight="1" thickBot="1" x14ac:dyDescent="0.25">
      <c r="A70" s="52"/>
      <c r="B70" s="50" t="s">
        <v>371</v>
      </c>
      <c r="C70" s="53"/>
      <c r="D70" s="49"/>
      <c r="E70" s="53"/>
      <c r="F70" s="49"/>
      <c r="G70" s="53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49"/>
      <c r="AJ70" s="49"/>
      <c r="AK70" s="49"/>
      <c r="AL70" s="49"/>
      <c r="AM70" s="49"/>
    </row>
    <row r="71" spans="1:39" s="59" customFormat="1" ht="16.5" customHeight="1" x14ac:dyDescent="0.2">
      <c r="A71" s="52"/>
      <c r="B71" s="428" t="s">
        <v>372</v>
      </c>
      <c r="C71" s="428"/>
      <c r="D71" s="428"/>
      <c r="E71" s="428"/>
      <c r="F71" s="428"/>
      <c r="G71" s="428"/>
      <c r="H71" s="423" t="s">
        <v>351</v>
      </c>
      <c r="I71" s="423"/>
      <c r="J71" s="423"/>
      <c r="K71" s="423"/>
      <c r="L71" s="423"/>
      <c r="M71" s="423"/>
      <c r="N71" s="423" t="str">
        <f>IF(H73&gt;B73,"Correction","Error")</f>
        <v>Error</v>
      </c>
      <c r="O71" s="423"/>
      <c r="P71" s="423"/>
      <c r="Q71" s="423"/>
      <c r="R71" s="423"/>
      <c r="S71" s="423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49"/>
      <c r="AM71" s="49"/>
    </row>
    <row r="72" spans="1:39" s="59" customFormat="1" ht="16.5" customHeight="1" thickBot="1" x14ac:dyDescent="0.25">
      <c r="A72" s="52"/>
      <c r="B72" s="456" t="str">
        <f>"("&amp;Page1!E34&amp;")"</f>
        <v>(Minute)</v>
      </c>
      <c r="C72" s="456"/>
      <c r="D72" s="456"/>
      <c r="E72" s="456"/>
      <c r="F72" s="456"/>
      <c r="G72" s="456"/>
      <c r="H72" s="456" t="str">
        <f>"("&amp;Page1!E34&amp;")"</f>
        <v>(Minute)</v>
      </c>
      <c r="I72" s="456"/>
      <c r="J72" s="456"/>
      <c r="K72" s="456"/>
      <c r="L72" s="456"/>
      <c r="M72" s="456"/>
      <c r="N72" s="456" t="str">
        <f>"("&amp;Page1!E34&amp;")"</f>
        <v>(Minute)</v>
      </c>
      <c r="O72" s="456"/>
      <c r="P72" s="456"/>
      <c r="Q72" s="456"/>
      <c r="R72" s="456"/>
      <c r="S72" s="456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49"/>
      <c r="AM72" s="49"/>
    </row>
    <row r="73" spans="1:39" s="59" customFormat="1" ht="16.5" customHeight="1" x14ac:dyDescent="0.2">
      <c r="A73" s="52"/>
      <c r="B73" s="447">
        <f>Page1!$E35</f>
        <v>0</v>
      </c>
      <c r="C73" s="447"/>
      <c r="D73" s="447"/>
      <c r="E73" s="447"/>
      <c r="F73" s="447"/>
      <c r="G73" s="447"/>
      <c r="H73" s="447">
        <f>Page1!$O35</f>
        <v>0</v>
      </c>
      <c r="I73" s="447"/>
      <c r="J73" s="447"/>
      <c r="K73" s="447"/>
      <c r="L73" s="447"/>
      <c r="M73" s="447"/>
      <c r="N73" s="447">
        <f>ABS(H73-B73)</f>
        <v>0</v>
      </c>
      <c r="O73" s="447"/>
      <c r="P73" s="447"/>
      <c r="Q73" s="447"/>
      <c r="R73" s="447"/>
      <c r="S73" s="447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49"/>
      <c r="AM73" s="49"/>
    </row>
    <row r="74" spans="1:39" s="59" customFormat="1" ht="16.5" customHeight="1" thickBot="1" x14ac:dyDescent="0.25">
      <c r="A74" s="52"/>
      <c r="B74" s="452"/>
      <c r="C74" s="453"/>
      <c r="D74" s="453"/>
      <c r="E74" s="453"/>
      <c r="F74" s="453"/>
      <c r="G74" s="454"/>
      <c r="H74" s="455"/>
      <c r="I74" s="455"/>
      <c r="J74" s="455"/>
      <c r="K74" s="455"/>
      <c r="L74" s="455"/>
      <c r="M74" s="455"/>
      <c r="N74" s="455"/>
      <c r="O74" s="455"/>
      <c r="P74" s="455"/>
      <c r="Q74" s="455"/>
      <c r="R74" s="455"/>
      <c r="S74" s="455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49"/>
      <c r="AM74" s="49"/>
    </row>
    <row r="75" spans="1:39" s="59" customFormat="1" ht="16.5" customHeight="1" x14ac:dyDescent="0.2">
      <c r="A75" s="52"/>
      <c r="B75" s="60" t="s">
        <v>374</v>
      </c>
      <c r="C75" s="53"/>
      <c r="D75" s="49"/>
      <c r="E75" s="53"/>
      <c r="F75" s="49"/>
      <c r="G75" s="53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49"/>
      <c r="AJ75" s="49"/>
      <c r="AK75" s="49"/>
      <c r="AL75" s="49"/>
      <c r="AM75" s="49"/>
    </row>
    <row r="76" spans="1:39" ht="9" customHeight="1" x14ac:dyDescent="0.2">
      <c r="A76" s="52"/>
      <c r="B76" s="49"/>
      <c r="C76" s="53"/>
      <c r="D76" s="49"/>
      <c r="E76" s="53"/>
      <c r="F76" s="49"/>
      <c r="G76" s="53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49"/>
      <c r="AJ76" s="49"/>
      <c r="AK76" s="49"/>
      <c r="AL76" s="49"/>
      <c r="AM76" s="49"/>
    </row>
    <row r="77" spans="1:39" ht="16.5" customHeight="1" x14ac:dyDescent="0.2">
      <c r="A77" s="52"/>
      <c r="B77" s="55" t="s">
        <v>354</v>
      </c>
      <c r="C77" s="50"/>
      <c r="D77" s="50"/>
      <c r="E77" s="50"/>
      <c r="F77" s="50"/>
      <c r="G77" s="50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49"/>
      <c r="AJ77" s="49"/>
      <c r="AK77" s="49"/>
      <c r="AL77" s="49"/>
      <c r="AM77" s="49"/>
    </row>
    <row r="78" spans="1:39" ht="16.5" customHeight="1" x14ac:dyDescent="0.35">
      <c r="A78" s="56"/>
      <c r="B78" s="55" t="s">
        <v>355</v>
      </c>
      <c r="C78" s="50"/>
      <c r="D78" s="50"/>
      <c r="E78" s="50"/>
      <c r="F78" s="50"/>
      <c r="G78" s="50"/>
      <c r="H78" s="57"/>
      <c r="I78" s="56"/>
      <c r="J78" s="57"/>
      <c r="K78" s="56"/>
      <c r="L78" s="57"/>
      <c r="M78" s="56"/>
      <c r="N78" s="57"/>
      <c r="O78" s="56"/>
      <c r="P78" s="57"/>
      <c r="Q78" s="56"/>
      <c r="R78" s="57"/>
      <c r="S78" s="56"/>
      <c r="T78" s="57"/>
      <c r="U78" s="56"/>
      <c r="V78" s="57"/>
      <c r="W78" s="56"/>
      <c r="X78" s="57"/>
      <c r="Y78" s="56"/>
      <c r="Z78" s="57"/>
      <c r="AA78" s="56"/>
      <c r="AB78" s="57"/>
      <c r="AC78" s="56"/>
      <c r="AD78" s="57"/>
      <c r="AE78" s="56"/>
      <c r="AF78" s="57"/>
      <c r="AG78" s="56"/>
      <c r="AH78" s="57"/>
      <c r="AI78" s="56"/>
      <c r="AJ78" s="57"/>
      <c r="AK78" s="56"/>
      <c r="AL78" s="57"/>
      <c r="AM78" s="56"/>
    </row>
    <row r="79" spans="1:39" ht="16.5" customHeight="1" thickBot="1" x14ac:dyDescent="0.4">
      <c r="A79" s="56"/>
      <c r="B79" s="55"/>
      <c r="C79" s="50"/>
      <c r="D79" s="50"/>
      <c r="E79" s="50"/>
      <c r="F79" s="50"/>
      <c r="G79" s="50"/>
      <c r="H79" s="57"/>
      <c r="I79" s="56"/>
      <c r="J79" s="57"/>
      <c r="K79" s="56"/>
      <c r="L79" s="57"/>
      <c r="M79" s="56"/>
      <c r="N79" s="57"/>
      <c r="O79" s="56"/>
      <c r="P79" s="57"/>
      <c r="Q79" s="56"/>
      <c r="R79" s="57"/>
      <c r="S79" s="56"/>
      <c r="T79" s="57"/>
      <c r="U79" s="56"/>
      <c r="V79" s="57"/>
      <c r="W79" s="56"/>
      <c r="X79" s="57"/>
      <c r="Y79" s="56"/>
      <c r="Z79" s="57"/>
      <c r="AA79" s="56"/>
      <c r="AB79" s="57"/>
      <c r="AC79" s="56"/>
      <c r="AD79" s="57"/>
      <c r="AE79" s="56"/>
      <c r="AF79" s="57"/>
      <c r="AG79" s="56"/>
      <c r="AH79" s="57"/>
      <c r="AI79" s="56"/>
      <c r="AJ79" s="57"/>
      <c r="AK79" s="56"/>
      <c r="AL79" s="57"/>
      <c r="AM79" s="56"/>
    </row>
    <row r="80" spans="1:39" ht="18" customHeight="1" thickBot="1" x14ac:dyDescent="0.25">
      <c r="A80" s="28"/>
      <c r="H80" s="449" t="s">
        <v>39</v>
      </c>
      <c r="I80" s="450"/>
      <c r="J80" s="450"/>
      <c r="K80" s="450"/>
      <c r="L80" s="450"/>
      <c r="M80" s="450"/>
      <c r="N80" s="450"/>
      <c r="O80" s="451"/>
      <c r="P80" s="48"/>
      <c r="Q80" s="48"/>
      <c r="R80" s="48"/>
      <c r="S80" s="48"/>
      <c r="T80" s="23"/>
      <c r="U80" s="23"/>
      <c r="V80" s="23"/>
      <c r="W80" s="23"/>
      <c r="X80" s="23"/>
      <c r="Y80" s="23"/>
      <c r="Z80" s="24"/>
      <c r="AA80" s="24"/>
      <c r="AB80" s="24"/>
      <c r="AC80" s="24"/>
      <c r="AD80" s="24"/>
      <c r="AE80" s="24"/>
      <c r="AF80" s="24"/>
      <c r="AG80" s="24"/>
      <c r="AH80" s="24"/>
      <c r="AI80" s="12"/>
      <c r="AJ80" s="12"/>
      <c r="AK80" s="12"/>
      <c r="AL80" s="12"/>
      <c r="AM80" s="12"/>
    </row>
    <row r="81" spans="1:39" ht="18" customHeight="1" thickBot="1" x14ac:dyDescent="0.25">
      <c r="A81" s="28"/>
      <c r="H81" s="429" t="s">
        <v>100</v>
      </c>
      <c r="I81" s="430"/>
      <c r="J81" s="430"/>
      <c r="K81" s="431"/>
      <c r="L81" s="429" t="s">
        <v>40</v>
      </c>
      <c r="M81" s="438"/>
      <c r="N81" s="438"/>
      <c r="O81" s="439"/>
      <c r="P81" s="48"/>
      <c r="Q81" s="48"/>
      <c r="R81" s="48"/>
      <c r="S81" s="48"/>
      <c r="T81" s="23"/>
      <c r="U81" s="23"/>
      <c r="V81" s="23"/>
      <c r="W81" s="23"/>
      <c r="X81" s="23"/>
      <c r="Y81" s="23"/>
      <c r="Z81" s="24"/>
      <c r="AA81" s="24"/>
      <c r="AB81" s="24"/>
      <c r="AC81" s="24"/>
      <c r="AD81" s="24"/>
      <c r="AE81" s="24"/>
      <c r="AF81" s="24"/>
      <c r="AG81" s="24"/>
      <c r="AH81" s="24"/>
      <c r="AI81" s="12"/>
      <c r="AJ81" s="12"/>
      <c r="AK81" s="12"/>
      <c r="AL81" s="12"/>
      <c r="AM81" s="12"/>
    </row>
    <row r="82" spans="1:39" ht="18" customHeight="1" x14ac:dyDescent="0.2">
      <c r="A82" s="28"/>
      <c r="B82" s="460" t="s">
        <v>42</v>
      </c>
      <c r="C82" s="461"/>
      <c r="D82" s="461"/>
      <c r="E82" s="461"/>
      <c r="F82" s="461"/>
      <c r="G82" s="462"/>
      <c r="H82" s="435">
        <f>Page1!$AK$9</f>
        <v>0</v>
      </c>
      <c r="I82" s="436"/>
      <c r="J82" s="436"/>
      <c r="K82" s="437"/>
      <c r="L82" s="435">
        <f>Page1!$AK$10</f>
        <v>0</v>
      </c>
      <c r="M82" s="436"/>
      <c r="N82" s="436"/>
      <c r="O82" s="437"/>
      <c r="P82" s="48"/>
      <c r="Q82" s="48"/>
      <c r="R82" s="48"/>
      <c r="S82" s="48"/>
      <c r="T82" s="23"/>
      <c r="U82" s="23"/>
      <c r="V82" s="23"/>
      <c r="W82" s="23"/>
      <c r="X82" s="23"/>
      <c r="Y82" s="23"/>
      <c r="Z82" s="24"/>
      <c r="AA82" s="24"/>
      <c r="AB82" s="24"/>
      <c r="AC82" s="24"/>
      <c r="AD82" s="24"/>
      <c r="AE82" s="24"/>
      <c r="AF82" s="24"/>
      <c r="AG82" s="24"/>
      <c r="AH82" s="24"/>
      <c r="AI82" s="12"/>
      <c r="AJ82" s="12"/>
      <c r="AK82" s="12"/>
      <c r="AL82" s="12"/>
      <c r="AM82" s="12"/>
    </row>
    <row r="83" spans="1:39" ht="18" customHeight="1" thickBot="1" x14ac:dyDescent="0.25">
      <c r="A83" s="28"/>
      <c r="B83" s="468" t="s">
        <v>43</v>
      </c>
      <c r="C83" s="469"/>
      <c r="D83" s="469"/>
      <c r="E83" s="469"/>
      <c r="F83" s="469"/>
      <c r="G83" s="470"/>
      <c r="H83" s="432">
        <f>Page1!$AP$9</f>
        <v>0</v>
      </c>
      <c r="I83" s="433"/>
      <c r="J83" s="433"/>
      <c r="K83" s="434"/>
      <c r="L83" s="432">
        <f>Page1!$AP$10</f>
        <v>0</v>
      </c>
      <c r="M83" s="433"/>
      <c r="N83" s="433"/>
      <c r="O83" s="434"/>
      <c r="P83" s="48"/>
      <c r="Q83" s="48"/>
      <c r="R83" s="48"/>
      <c r="S83" s="48"/>
      <c r="T83" s="23"/>
      <c r="U83" s="23"/>
      <c r="V83" s="23"/>
      <c r="W83" s="23"/>
      <c r="X83" s="23"/>
      <c r="Y83" s="23"/>
      <c r="Z83" s="24"/>
      <c r="AA83" s="24"/>
      <c r="AB83" s="24"/>
      <c r="AC83" s="24"/>
      <c r="AD83" s="24"/>
      <c r="AE83" s="24"/>
      <c r="AF83" s="24"/>
      <c r="AG83" s="24"/>
      <c r="AH83" s="24"/>
      <c r="AI83" s="12"/>
      <c r="AJ83" s="12"/>
      <c r="AK83" s="12"/>
      <c r="AL83" s="12"/>
      <c r="AM83" s="12"/>
    </row>
    <row r="84" spans="1:39" ht="16.5" customHeight="1" x14ac:dyDescent="0.2"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</row>
    <row r="85" spans="1:39" ht="16.5" customHeight="1" x14ac:dyDescent="0.2">
      <c r="B85" s="72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</row>
    <row r="86" spans="1:39" ht="16.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</row>
    <row r="87" spans="1:39" ht="16.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23"/>
      <c r="Q87" s="23"/>
      <c r="R87" s="23"/>
      <c r="S87" s="23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</row>
    <row r="88" spans="1:39" ht="16.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</row>
    <row r="89" spans="1:39" ht="16.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</row>
    <row r="90" spans="1:39" ht="16.5" customHeight="1" x14ac:dyDescent="0.2"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</row>
    <row r="91" spans="1:39" ht="16.5" customHeight="1" x14ac:dyDescent="0.2">
      <c r="A91" s="459" t="s">
        <v>96</v>
      </c>
      <c r="B91" s="459"/>
      <c r="C91" s="459"/>
      <c r="D91" s="459"/>
      <c r="E91" s="459"/>
      <c r="F91" s="459"/>
      <c r="G91" s="459"/>
      <c r="H91" s="459"/>
      <c r="I91" s="459"/>
      <c r="J91" s="459"/>
      <c r="K91" s="459"/>
      <c r="L91" s="459"/>
      <c r="M91" s="459"/>
      <c r="N91" s="459"/>
      <c r="O91" s="459"/>
      <c r="P91" s="459"/>
      <c r="Q91" s="459"/>
      <c r="R91" s="459"/>
      <c r="S91" s="459"/>
      <c r="T91" s="459"/>
      <c r="U91" s="459"/>
      <c r="V91" s="459"/>
      <c r="W91" s="459"/>
      <c r="X91" s="459"/>
      <c r="Y91" s="459"/>
      <c r="Z91" s="459"/>
      <c r="AA91" s="459"/>
      <c r="AB91" s="459"/>
      <c r="AC91" s="459"/>
      <c r="AD91" s="459"/>
      <c r="AE91" s="459"/>
      <c r="AF91" s="459"/>
      <c r="AG91" s="459"/>
      <c r="AH91" s="459"/>
      <c r="AI91" s="459"/>
      <c r="AJ91" s="459"/>
      <c r="AK91" s="459"/>
      <c r="AL91" s="459"/>
      <c r="AM91" s="459"/>
    </row>
    <row r="92" spans="1:39" ht="16.5" customHeight="1" x14ac:dyDescent="0.2"/>
    <row r="93" spans="1:39" s="59" customFormat="1" ht="16.5" customHeight="1" thickBot="1" x14ac:dyDescent="0.25">
      <c r="A93" s="52"/>
      <c r="B93" s="50" t="s">
        <v>371</v>
      </c>
      <c r="C93" s="53"/>
      <c r="D93" s="49"/>
      <c r="E93" s="53"/>
      <c r="F93" s="49"/>
      <c r="G93" s="53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49"/>
      <c r="AJ93" s="49"/>
      <c r="AK93" s="49"/>
      <c r="AL93" s="49"/>
      <c r="AM93" s="49"/>
    </row>
    <row r="94" spans="1:39" s="59" customFormat="1" ht="16.5" customHeight="1" x14ac:dyDescent="0.2">
      <c r="A94" s="52"/>
      <c r="B94" s="428" t="s">
        <v>372</v>
      </c>
      <c r="C94" s="428"/>
      <c r="D94" s="428"/>
      <c r="E94" s="428"/>
      <c r="F94" s="428"/>
      <c r="G94" s="428"/>
      <c r="H94" s="423" t="s">
        <v>351</v>
      </c>
      <c r="I94" s="423"/>
      <c r="J94" s="423"/>
      <c r="K94" s="423"/>
      <c r="L94" s="423"/>
      <c r="M94" s="423"/>
      <c r="N94" s="423" t="str">
        <f>IF(H96&gt;B96,"Correction","Error")</f>
        <v>Error</v>
      </c>
      <c r="O94" s="423"/>
      <c r="P94" s="423"/>
      <c r="Q94" s="423"/>
      <c r="R94" s="423"/>
      <c r="S94" s="423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49"/>
      <c r="AM94" s="49"/>
    </row>
    <row r="95" spans="1:39" s="59" customFormat="1" ht="16.5" customHeight="1" thickBot="1" x14ac:dyDescent="0.25">
      <c r="A95" s="52"/>
      <c r="B95" s="456" t="s">
        <v>373</v>
      </c>
      <c r="C95" s="456"/>
      <c r="D95" s="456"/>
      <c r="E95" s="456"/>
      <c r="F95" s="456"/>
      <c r="G95" s="456"/>
      <c r="H95" s="456" t="s">
        <v>373</v>
      </c>
      <c r="I95" s="456"/>
      <c r="J95" s="456"/>
      <c r="K95" s="456"/>
      <c r="L95" s="456"/>
      <c r="M95" s="456"/>
      <c r="N95" s="456" t="s">
        <v>373</v>
      </c>
      <c r="O95" s="456"/>
      <c r="P95" s="456"/>
      <c r="Q95" s="456"/>
      <c r="R95" s="456"/>
      <c r="S95" s="456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49"/>
      <c r="AM95" s="49"/>
    </row>
    <row r="96" spans="1:39" s="59" customFormat="1" ht="16.5" customHeight="1" x14ac:dyDescent="0.2">
      <c r="A96" s="52"/>
      <c r="B96" s="447">
        <f>Page1!$O$35</f>
        <v>0</v>
      </c>
      <c r="C96" s="447"/>
      <c r="D96" s="447"/>
      <c r="E96" s="447"/>
      <c r="F96" s="447"/>
      <c r="G96" s="447"/>
      <c r="H96" s="447">
        <f>Page1!$E$35</f>
        <v>0</v>
      </c>
      <c r="I96" s="447"/>
      <c r="J96" s="447"/>
      <c r="K96" s="447"/>
      <c r="L96" s="447"/>
      <c r="M96" s="447"/>
      <c r="N96" s="447">
        <f>ABS(H96-B96)</f>
        <v>0</v>
      </c>
      <c r="O96" s="447"/>
      <c r="P96" s="447"/>
      <c r="Q96" s="447"/>
      <c r="R96" s="447"/>
      <c r="S96" s="447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49"/>
      <c r="AM96" s="49"/>
    </row>
    <row r="97" spans="1:39" s="59" customFormat="1" ht="16.5" customHeight="1" thickBot="1" x14ac:dyDescent="0.25">
      <c r="A97" s="52"/>
      <c r="B97" s="452"/>
      <c r="C97" s="453"/>
      <c r="D97" s="453"/>
      <c r="E97" s="453"/>
      <c r="F97" s="453"/>
      <c r="G97" s="454"/>
      <c r="H97" s="455"/>
      <c r="I97" s="455"/>
      <c r="J97" s="455"/>
      <c r="K97" s="455"/>
      <c r="L97" s="455"/>
      <c r="M97" s="455"/>
      <c r="N97" s="455"/>
      <c r="O97" s="455"/>
      <c r="P97" s="455"/>
      <c r="Q97" s="455"/>
      <c r="R97" s="455"/>
      <c r="S97" s="455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49"/>
      <c r="AM97" s="49"/>
    </row>
    <row r="98" spans="1:39" s="59" customFormat="1" ht="16.5" customHeight="1" x14ac:dyDescent="0.2">
      <c r="A98" s="52"/>
      <c r="B98" s="60" t="s">
        <v>374</v>
      </c>
      <c r="C98" s="53"/>
      <c r="D98" s="49"/>
      <c r="E98" s="53"/>
      <c r="F98" s="49"/>
      <c r="G98" s="53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49"/>
      <c r="AJ98" s="49"/>
      <c r="AK98" s="49"/>
      <c r="AL98" s="49"/>
      <c r="AM98" s="49"/>
    </row>
    <row r="99" spans="1:39" ht="16.5" customHeight="1" x14ac:dyDescent="0.2"/>
    <row r="100" spans="1:39" ht="16.5" customHeight="1" x14ac:dyDescent="0.2"/>
    <row r="101" spans="1:39" ht="16.5" customHeight="1" x14ac:dyDescent="0.2"/>
    <row r="102" spans="1:39" ht="16.5" customHeight="1" x14ac:dyDescent="0.2"/>
    <row r="103" spans="1:39" ht="16.5" customHeight="1" x14ac:dyDescent="0.2"/>
    <row r="104" spans="1:39" ht="16.5" customHeight="1" x14ac:dyDescent="0.2"/>
    <row r="105" spans="1:39" ht="16.5" customHeight="1" x14ac:dyDescent="0.2"/>
    <row r="106" spans="1:39" ht="16.5" customHeight="1" x14ac:dyDescent="0.2"/>
    <row r="107" spans="1:39" ht="16.5" customHeight="1" x14ac:dyDescent="0.2"/>
    <row r="108" spans="1:39" ht="16.5" customHeight="1" x14ac:dyDescent="0.2"/>
    <row r="109" spans="1:39" ht="16.5" customHeight="1" x14ac:dyDescent="0.2"/>
    <row r="110" spans="1:39" ht="16.5" customHeight="1" x14ac:dyDescent="0.2"/>
    <row r="111" spans="1:39" ht="16.5" customHeight="1" x14ac:dyDescent="0.2"/>
    <row r="112" spans="1:39" ht="16.5" customHeight="1" x14ac:dyDescent="0.2"/>
    <row r="113" ht="16.5" customHeight="1" x14ac:dyDescent="0.2"/>
    <row r="114" ht="16.5" customHeight="1" x14ac:dyDescent="0.2"/>
    <row r="115" ht="16.5" customHeight="1" x14ac:dyDescent="0.2"/>
    <row r="116" ht="16.5" customHeight="1" x14ac:dyDescent="0.2"/>
    <row r="117" ht="16.5" customHeight="1" x14ac:dyDescent="0.2"/>
    <row r="118" ht="16.5" customHeight="1" x14ac:dyDescent="0.2"/>
    <row r="119" ht="16.5" customHeight="1" x14ac:dyDescent="0.2"/>
    <row r="120" ht="16.5" customHeight="1" x14ac:dyDescent="0.2"/>
    <row r="121" ht="16.5" customHeight="1" x14ac:dyDescent="0.2"/>
    <row r="122" ht="16.5" customHeight="1" x14ac:dyDescent="0.2"/>
    <row r="123" ht="16.5" customHeight="1" x14ac:dyDescent="0.2"/>
    <row r="124" ht="16.5" customHeight="1" x14ac:dyDescent="0.2"/>
    <row r="125" ht="16.5" customHeight="1" x14ac:dyDescent="0.2"/>
    <row r="126" ht="16.5" customHeight="1" x14ac:dyDescent="0.2"/>
    <row r="127" ht="16.5" customHeight="1" x14ac:dyDescent="0.2"/>
    <row r="128" ht="16.5" customHeight="1" x14ac:dyDescent="0.2"/>
    <row r="129" ht="16.5" customHeight="1" x14ac:dyDescent="0.2"/>
    <row r="130" ht="16.5" customHeight="1" x14ac:dyDescent="0.2"/>
    <row r="131" ht="16.5" customHeight="1" x14ac:dyDescent="0.2"/>
    <row r="132" ht="16.5" customHeight="1" x14ac:dyDescent="0.2"/>
    <row r="133" ht="16.5" customHeight="1" x14ac:dyDescent="0.2"/>
    <row r="134" ht="16.5" customHeight="1" x14ac:dyDescent="0.2"/>
    <row r="135" ht="16.5" customHeight="1" x14ac:dyDescent="0.2"/>
    <row r="136" ht="16.5" customHeight="1" x14ac:dyDescent="0.2"/>
    <row r="137" ht="16.5" customHeight="1" x14ac:dyDescent="0.2"/>
    <row r="138" ht="16.5" customHeight="1" x14ac:dyDescent="0.2"/>
    <row r="139" ht="16.5" customHeight="1" x14ac:dyDescent="0.2"/>
    <row r="140" ht="16.5" customHeight="1" x14ac:dyDescent="0.2"/>
    <row r="141" ht="16.5" customHeight="1" x14ac:dyDescent="0.2"/>
    <row r="142" ht="16.5" customHeight="1" x14ac:dyDescent="0.2"/>
    <row r="143" ht="16.5" customHeight="1" x14ac:dyDescent="0.2"/>
    <row r="144" ht="16.5" customHeight="1" x14ac:dyDescent="0.2"/>
    <row r="145" ht="16.5" customHeight="1" x14ac:dyDescent="0.2"/>
    <row r="146" ht="16.5" customHeight="1" x14ac:dyDescent="0.2"/>
    <row r="147" ht="16.5" customHeight="1" x14ac:dyDescent="0.2"/>
    <row r="148" ht="16.5" customHeight="1" x14ac:dyDescent="0.2"/>
    <row r="149" ht="16.5" customHeight="1" x14ac:dyDescent="0.2"/>
    <row r="150" ht="16.5" customHeight="1" x14ac:dyDescent="0.2"/>
    <row r="151" ht="16.5" customHeight="1" x14ac:dyDescent="0.2"/>
    <row r="152" ht="16.5" customHeight="1" x14ac:dyDescent="0.2"/>
    <row r="153" ht="16.5" customHeight="1" x14ac:dyDescent="0.2"/>
    <row r="154" ht="16.5" customHeight="1" x14ac:dyDescent="0.2"/>
    <row r="155" ht="16.5" customHeight="1" x14ac:dyDescent="0.2"/>
    <row r="156" ht="16.5" customHeight="1" x14ac:dyDescent="0.2"/>
    <row r="157" ht="16.5" customHeight="1" x14ac:dyDescent="0.2"/>
    <row r="158" ht="16.5" customHeight="1" x14ac:dyDescent="0.2"/>
    <row r="159" ht="16.5" customHeight="1" x14ac:dyDescent="0.2"/>
    <row r="160" ht="16.5" customHeight="1" x14ac:dyDescent="0.2"/>
    <row r="161" ht="16.5" customHeight="1" x14ac:dyDescent="0.2"/>
    <row r="162" ht="16.5" customHeight="1" x14ac:dyDescent="0.2"/>
    <row r="163" ht="16.5" customHeight="1" x14ac:dyDescent="0.2"/>
    <row r="164" ht="16.5" customHeight="1" x14ac:dyDescent="0.2"/>
    <row r="165" ht="16.5" customHeight="1" x14ac:dyDescent="0.2"/>
    <row r="166" ht="16.5" customHeight="1" x14ac:dyDescent="0.2"/>
    <row r="167" ht="16.5" customHeight="1" x14ac:dyDescent="0.2"/>
    <row r="168" ht="16.5" customHeight="1" x14ac:dyDescent="0.2"/>
    <row r="169" ht="16.5" customHeight="1" x14ac:dyDescent="0.2"/>
    <row r="170" ht="16.5" customHeight="1" x14ac:dyDescent="0.2"/>
    <row r="171" ht="16.5" customHeight="1" x14ac:dyDescent="0.2"/>
  </sheetData>
  <protectedRanges>
    <protectedRange sqref="K63" name="Range1_1"/>
  </protectedRanges>
  <mergeCells count="101">
    <mergeCell ref="A91:AM91"/>
    <mergeCell ref="B82:G82"/>
    <mergeCell ref="L82:O82"/>
    <mergeCell ref="H2:AB2"/>
    <mergeCell ref="H3:AH3"/>
    <mergeCell ref="H4:AB4"/>
    <mergeCell ref="B7:AM8"/>
    <mergeCell ref="B96:G96"/>
    <mergeCell ref="H96:M96"/>
    <mergeCell ref="N96:S96"/>
    <mergeCell ref="AH61:AL61"/>
    <mergeCell ref="AH59:AL59"/>
    <mergeCell ref="AA59:AG59"/>
    <mergeCell ref="AA61:AG61"/>
    <mergeCell ref="S59:Z59"/>
    <mergeCell ref="B83:G83"/>
    <mergeCell ref="J21:Y21"/>
    <mergeCell ref="AI57:AM57"/>
    <mergeCell ref="AH60:AL60"/>
    <mergeCell ref="Z56:AH56"/>
    <mergeCell ref="B37:M37"/>
    <mergeCell ref="D45:P45"/>
    <mergeCell ref="S60:Z60"/>
    <mergeCell ref="S61:Z61"/>
    <mergeCell ref="B97:G97"/>
    <mergeCell ref="H97:M97"/>
    <mergeCell ref="N97:S97"/>
    <mergeCell ref="B94:G94"/>
    <mergeCell ref="H94:M94"/>
    <mergeCell ref="N94:S94"/>
    <mergeCell ref="B95:G95"/>
    <mergeCell ref="H95:M95"/>
    <mergeCell ref="N95:S95"/>
    <mergeCell ref="AI56:AM56"/>
    <mergeCell ref="X46:AH46"/>
    <mergeCell ref="Z65:AE65"/>
    <mergeCell ref="AA57:AH57"/>
    <mergeCell ref="W45:AI45"/>
    <mergeCell ref="T65:Y65"/>
    <mergeCell ref="E46:O46"/>
    <mergeCell ref="H80:O80"/>
    <mergeCell ref="H73:M73"/>
    <mergeCell ref="N73:S73"/>
    <mergeCell ref="B74:G74"/>
    <mergeCell ref="H74:M74"/>
    <mergeCell ref="N74:S74"/>
    <mergeCell ref="B71:G71"/>
    <mergeCell ref="H71:M71"/>
    <mergeCell ref="N71:S71"/>
    <mergeCell ref="B72:G72"/>
    <mergeCell ref="H72:M72"/>
    <mergeCell ref="N72:S72"/>
    <mergeCell ref="AA60:AG60"/>
    <mergeCell ref="H81:K81"/>
    <mergeCell ref="L83:O83"/>
    <mergeCell ref="H82:K82"/>
    <mergeCell ref="H83:K83"/>
    <mergeCell ref="L81:O81"/>
    <mergeCell ref="J11:AM11"/>
    <mergeCell ref="J14:W14"/>
    <mergeCell ref="AC10:AH10"/>
    <mergeCell ref="AI10:AM10"/>
    <mergeCell ref="J22:Y22"/>
    <mergeCell ref="J12:AM12"/>
    <mergeCell ref="J16:AM16"/>
    <mergeCell ref="AD14:AM14"/>
    <mergeCell ref="J15:W15"/>
    <mergeCell ref="J23:Y23"/>
    <mergeCell ref="S28:Z28"/>
    <mergeCell ref="AD15:AM15"/>
    <mergeCell ref="C18:AA18"/>
    <mergeCell ref="J28:Q28"/>
    <mergeCell ref="J24:Y24"/>
    <mergeCell ref="B31:AM31"/>
    <mergeCell ref="T66:Y66"/>
    <mergeCell ref="Z66:AE66"/>
    <mergeCell ref="B73:G73"/>
    <mergeCell ref="Y9:AH9"/>
    <mergeCell ref="AI9:AM9"/>
    <mergeCell ref="AF68:AK68"/>
    <mergeCell ref="S27:Z27"/>
    <mergeCell ref="B68:G68"/>
    <mergeCell ref="H68:M68"/>
    <mergeCell ref="N68:S68"/>
    <mergeCell ref="T68:Y68"/>
    <mergeCell ref="Z68:AE68"/>
    <mergeCell ref="H67:M67"/>
    <mergeCell ref="N67:S67"/>
    <mergeCell ref="T67:Y67"/>
    <mergeCell ref="Z67:AE67"/>
    <mergeCell ref="AF67:AK67"/>
    <mergeCell ref="H65:M65"/>
    <mergeCell ref="N65:S65"/>
    <mergeCell ref="B66:G66"/>
    <mergeCell ref="B67:G67"/>
    <mergeCell ref="AF65:AK65"/>
    <mergeCell ref="H66:M66"/>
    <mergeCell ref="N66:S66"/>
    <mergeCell ref="B13:F13"/>
    <mergeCell ref="AF66:AK66"/>
    <mergeCell ref="B65:G65"/>
  </mergeCells>
  <phoneticPr fontId="9" type="noConversion"/>
  <conditionalFormatting sqref="C18">
    <cfRule type="cellIs" dxfId="60" priority="14" operator="equal">
      <formula>0</formula>
    </cfRule>
    <cfRule type="cellIs" dxfId="59" priority="15" operator="equal">
      <formula>0</formula>
    </cfRule>
  </conditionalFormatting>
  <conditionalFormatting sqref="AF67:AK68">
    <cfRule type="expression" dxfId="58" priority="44">
      <formula>$AF$67&lt;1</formula>
    </cfRule>
  </conditionalFormatting>
  <conditionalFormatting sqref="T67:AE67">
    <cfRule type="expression" dxfId="57" priority="3">
      <formula>$T$67&lt;1000</formula>
    </cfRule>
    <cfRule type="expression" dxfId="56" priority="4">
      <formula>$T$67&gt;999.9</formula>
    </cfRule>
  </conditionalFormatting>
  <printOptions horizontalCentered="1"/>
  <pageMargins left="0.27559055118110237" right="0.27559055118110237" top="0.23622047244094491" bottom="0.23622047244094491" header="0.31496062992125984" footer="0.19685039370078741"/>
  <pageSetup paperSize="9" orientation="portrait" r:id="rId1"/>
  <headerFooter>
    <oddFooter>&amp;L&amp;"TH Sarabun New,Regular"&amp;12FM-QP-13-01 R02 (19/08/68) P&amp;P/&amp;N</oddFooter>
  </headerFooter>
  <ignoredErrors>
    <ignoredError sqref="J21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D75C0D-43EE-4621-B9A2-3771DEBA4D7F}">
            <xm:f>'Cal 1'!$AZ$3=0.1</xm:f>
            <x14:dxf>
              <numFmt numFmtId="195" formatCode="#,##0.0"/>
            </x14:dxf>
          </x14:cfRule>
          <x14:cfRule type="expression" priority="2" id="{BAA51D0C-47E3-4F52-B31F-A0E8A39178F0}">
            <xm:f>'Cal 1'!$AZ$3=1</xm:f>
            <x14:dxf>
              <numFmt numFmtId="3" formatCode="#,##0"/>
            </x14:dxf>
          </x14:cfRule>
          <xm:sqref>H67:S67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47F8C-4787-447C-B076-3121DA91B9B4}">
  <sheetPr codeName="Sheet5"/>
  <dimension ref="A1:K59"/>
  <sheetViews>
    <sheetView topLeftCell="D1" workbookViewId="0">
      <selection activeCell="K2" sqref="K2"/>
    </sheetView>
  </sheetViews>
  <sheetFormatPr defaultColWidth="9.140625" defaultRowHeight="18.75" x14ac:dyDescent="0.2"/>
  <cols>
    <col min="1" max="1" width="8.85546875" style="38" bestFit="1" customWidth="1"/>
    <col min="2" max="2" width="31.28515625" style="38" customWidth="1"/>
    <col min="3" max="3" width="55.28515625" style="38" bestFit="1" customWidth="1"/>
    <col min="4" max="4" width="57.7109375" style="38" bestFit="1" customWidth="1"/>
    <col min="5" max="5" width="21.5703125" style="38" bestFit="1" customWidth="1"/>
    <col min="6" max="6" width="11.5703125" style="38" customWidth="1"/>
    <col min="7" max="7" width="6.85546875" style="38" customWidth="1"/>
    <col min="8" max="8" width="27.42578125" style="38" customWidth="1"/>
    <col min="9" max="9" width="10.85546875" style="39" customWidth="1"/>
    <col min="10" max="10" width="9.140625" style="38"/>
    <col min="11" max="12" width="47.7109375" style="38" customWidth="1"/>
    <col min="13" max="16384" width="9.140625" style="38"/>
  </cols>
  <sheetData>
    <row r="1" spans="1:11" x14ac:dyDescent="0.2">
      <c r="A1" s="475" t="s">
        <v>74</v>
      </c>
      <c r="B1" s="475"/>
      <c r="C1" s="475"/>
      <c r="D1" s="475"/>
      <c r="E1" s="475"/>
      <c r="F1" s="476"/>
      <c r="H1" s="473" t="s">
        <v>276</v>
      </c>
      <c r="I1" s="474"/>
      <c r="J1" s="39"/>
      <c r="K1" s="39" t="s">
        <v>12</v>
      </c>
    </row>
    <row r="2" spans="1:11" x14ac:dyDescent="0.2">
      <c r="A2" s="42" t="s">
        <v>48</v>
      </c>
      <c r="B2" s="43" t="s">
        <v>180</v>
      </c>
      <c r="C2" s="43" t="s">
        <v>275</v>
      </c>
      <c r="D2" s="43" t="s">
        <v>273</v>
      </c>
      <c r="E2" s="43" t="s">
        <v>274</v>
      </c>
      <c r="F2" s="44" t="s">
        <v>181</v>
      </c>
      <c r="G2" s="70"/>
      <c r="H2" s="41" t="s">
        <v>98</v>
      </c>
      <c r="I2" s="41" t="s">
        <v>278</v>
      </c>
      <c r="J2" s="39"/>
      <c r="K2" s="38" t="str">
        <f>Data_1[[#This Row],[UUC]]</f>
        <v>Temperature indicator with Resistance thermometer</v>
      </c>
    </row>
    <row r="3" spans="1:11" ht="21.75" x14ac:dyDescent="0.2">
      <c r="A3" s="36">
        <f>IF(Data_1[[#This Row],[Customer]]="","",Data_1[[#This Row],[Customer]])</f>
        <v>101</v>
      </c>
      <c r="B3" s="36" t="str">
        <f>IF(Data_1[[#This Row],[Column2]]="","",Data_1[[#This Row],[Column2]])</f>
        <v>กรมแพทย์ทหารบก</v>
      </c>
      <c r="C3" s="36" t="str">
        <f>IF(Data_1[[#This Row],[Column3]]="","",Data_1[[#This Row],[Column3]])</f>
        <v>Army Medical Department</v>
      </c>
      <c r="D3" s="36" t="str">
        <f>IF(Data_1[[#This Row],[Column4]]="","",Data_1[[#This Row],[Column4]])</f>
        <v>8 Phayathai, Thung phayathai, Ratchathewi</v>
      </c>
      <c r="E3" s="36" t="str">
        <f>IF(Data_1[[#This Row],[Column5]]="","",Data_1[[#This Row],[Column5]])</f>
        <v>Bangkok</v>
      </c>
      <c r="F3" s="36">
        <f>IF(Data_1[[#This Row],[Column6]]="","",Data_1[[#This Row],[Column6]])</f>
        <v>10400</v>
      </c>
      <c r="H3" s="37" t="str">
        <f>IF(Data_1[[#This Row],[Personnel]]="","",(Data_1[[#This Row],[Personnel]]))</f>
        <v>Satit  Tipmanee</v>
      </c>
      <c r="I3" s="40" t="str">
        <f>IF(Data_1[[#This Row],[Column9]]="","",(Data_1[[#This Row],[Column9]]))</f>
        <v>Col.</v>
      </c>
      <c r="J3" s="31"/>
      <c r="K3" s="38" t="str">
        <f>Data_1[[#This Row],[UUC]]</f>
        <v>Temperature indicator with Thermocouple Type K</v>
      </c>
    </row>
    <row r="4" spans="1:11" ht="21.75" x14ac:dyDescent="0.2">
      <c r="A4" s="36">
        <f>IF(Data_1[[#This Row],[Customer]]="","",Data_1[[#This Row],[Customer]])</f>
        <v>102</v>
      </c>
      <c r="B4" s="36" t="str">
        <f>IF(Data_1[[#This Row],[Column2]]="","",Data_1[[#This Row],[Column2]])</f>
        <v>รพ.พระมงกุฏเกล้า</v>
      </c>
      <c r="C4" s="36" t="str">
        <f>IF(Data_1[[#This Row],[Column3]]="","",Data_1[[#This Row],[Column3]])</f>
        <v>Phramongkutklao Hospital</v>
      </c>
      <c r="D4" s="36" t="str">
        <f>IF(Data_1[[#This Row],[Column4]]="","",Data_1[[#This Row],[Column4]])</f>
        <v>315 Ratchawithi, Thung phayathai, Ratchathewi</v>
      </c>
      <c r="E4" s="36" t="str">
        <f>IF(Data_1[[#This Row],[Column5]]="","",Data_1[[#This Row],[Column5]])</f>
        <v>Bangkok</v>
      </c>
      <c r="F4" s="36">
        <f>IF(Data_1[[#This Row],[Column6]]="","",Data_1[[#This Row],[Column6]])</f>
        <v>10400</v>
      </c>
      <c r="H4" s="37" t="str">
        <f>IF(Data_1[[#This Row],[Personnel]]="","",(Data_1[[#This Row],[Personnel]]))</f>
        <v>Santipap  Chankan</v>
      </c>
      <c r="I4" s="40" t="str">
        <f>IF(Data_1[[#This Row],[Column9]]="","",(Data_1[[#This Row],[Column9]]))</f>
        <v>Lt.Col.</v>
      </c>
      <c r="J4" s="31"/>
      <c r="K4" s="38" t="str">
        <f>Data_1[[#This Row],[UUC]]</f>
        <v>Thermo-hygrometer with probe</v>
      </c>
    </row>
    <row r="5" spans="1:11" ht="21.75" x14ac:dyDescent="0.2">
      <c r="A5" s="36">
        <f>IF(Data_1[[#This Row],[Customer]]="","",Data_1[[#This Row],[Customer]])</f>
        <v>103</v>
      </c>
      <c r="B5" s="36" t="str">
        <f>IF(Data_1[[#This Row],[Column2]]="","",Data_1[[#This Row],[Column2]])</f>
        <v>สถาบันพยาธิวิทยา</v>
      </c>
      <c r="C5" s="36" t="str">
        <f>IF(Data_1[[#This Row],[Column3]]="","",Data_1[[#This Row],[Column3]])</f>
        <v>Institute of Pathology</v>
      </c>
      <c r="D5" s="36" t="str">
        <f>IF(Data_1[[#This Row],[Column4]]="","",Data_1[[#This Row],[Column4]])</f>
        <v>2/2 Phayathai , Thung phayathai, Ratchathewi</v>
      </c>
      <c r="E5" s="36" t="str">
        <f>IF(Data_1[[#This Row],[Column5]]="","",Data_1[[#This Row],[Column5]])</f>
        <v>Bangkok</v>
      </c>
      <c r="F5" s="36">
        <f>IF(Data_1[[#This Row],[Column6]]="","",Data_1[[#This Row],[Column6]])</f>
        <v>10400</v>
      </c>
      <c r="H5" s="37" t="str">
        <f>IF(Data_1[[#This Row],[Personnel]]="","",(Data_1[[#This Row],[Personnel]]))</f>
        <v>Totsaphon  Alunpipatthanachai</v>
      </c>
      <c r="I5" s="40" t="str">
        <f>IF(Data_1[[#This Row],[Column9]]="","",(Data_1[[#This Row],[Column9]]))</f>
        <v>Maj.</v>
      </c>
      <c r="J5" s="31"/>
      <c r="K5" s="38" t="str">
        <f>Data_1[[#This Row],[UUC]]</f>
        <v>Freezer</v>
      </c>
    </row>
    <row r="6" spans="1:11" ht="21.75" x14ac:dyDescent="0.2">
      <c r="A6" s="36">
        <f>IF(Data_1[[#This Row],[Customer]]="","",Data_1[[#This Row],[Customer]])</f>
        <v>104</v>
      </c>
      <c r="B6" s="36" t="str">
        <f>IF(Data_1[[#This Row],[Column2]]="","",Data_1[[#This Row],[Column2]])</f>
        <v>รพ.อานันทมหิดล</v>
      </c>
      <c r="C6" s="36" t="str">
        <f>IF(Data_1[[#This Row],[Column3]]="","",Data_1[[#This Row],[Column3]])</f>
        <v>Ananda Mahidol Hospital</v>
      </c>
      <c r="D6" s="36" t="str">
        <f>IF(Data_1[[#This Row],[Column4]]="","",Data_1[[#This Row],[Column4]])</f>
        <v>35 Khao Sam Yot , Mueang Lopburi</v>
      </c>
      <c r="E6" s="36" t="str">
        <f>IF(Data_1[[#This Row],[Column5]]="","",Data_1[[#This Row],[Column5]])</f>
        <v xml:space="preserve"> Lopburi</v>
      </c>
      <c r="F6" s="36">
        <f>IF(Data_1[[#This Row],[Column6]]="","",Data_1[[#This Row],[Column6]])</f>
        <v>15000</v>
      </c>
      <c r="H6" s="37" t="str">
        <f>IF(Data_1[[#This Row],[Personnel]]="","",(Data_1[[#This Row],[Personnel]]))</f>
        <v>Tawatchai  Inhom</v>
      </c>
      <c r="I6" s="40" t="str">
        <f>IF(Data_1[[#This Row],[Column9]]="","",(Data_1[[#This Row],[Column9]]))</f>
        <v>Lt.</v>
      </c>
      <c r="J6" s="31"/>
      <c r="K6" s="38" t="str">
        <f>Data_1[[#This Row],[UUC]]</f>
        <v>Refrigerator</v>
      </c>
    </row>
    <row r="7" spans="1:11" ht="21.75" x14ac:dyDescent="0.2">
      <c r="A7" s="36">
        <f>IF(Data_1[[#This Row],[Customer]]="","",Data_1[[#This Row],[Customer]])</f>
        <v>105</v>
      </c>
      <c r="B7" s="36" t="str">
        <f>IF(Data_1[[#This Row],[Column2]]="","",Data_1[[#This Row],[Column2]])</f>
        <v>รพ.ค่ายธนะรัชต์</v>
      </c>
      <c r="C7" s="36" t="str">
        <f>IF(Data_1[[#This Row],[Column3]]="","",Data_1[[#This Row],[Column3]])</f>
        <v>Fort Thanarat Hospital</v>
      </c>
      <c r="D7" s="36" t="str">
        <f>IF(Data_1[[#This Row],[Column4]]="","",Data_1[[#This Row],[Column4]])</f>
        <v>125 Phetkasem, Khao Noi, Pranburi</v>
      </c>
      <c r="E7" s="36" t="str">
        <f>IF(Data_1[[#This Row],[Column5]]="","",Data_1[[#This Row],[Column5]])</f>
        <v>Prachuap Khiri Khan</v>
      </c>
      <c r="F7" s="36">
        <f>IF(Data_1[[#This Row],[Column6]]="","",Data_1[[#This Row],[Column6]])</f>
        <v>77120</v>
      </c>
      <c r="H7" s="37" t="str">
        <f>IF(Data_1[[#This Row],[Personnel]]="","",(Data_1[[#This Row],[Personnel]]))</f>
        <v>Sataporn Rakjaroen</v>
      </c>
      <c r="I7" s="40" t="str">
        <f>IF(Data_1[[#This Row],[Column9]]="","",(Data_1[[#This Row],[Column9]]))</f>
        <v>SubLt.</v>
      </c>
      <c r="J7" s="31"/>
      <c r="K7" s="38" t="str">
        <f>Data_1[[#This Row],[UUC]]</f>
        <v>Incubator</v>
      </c>
    </row>
    <row r="8" spans="1:11" ht="21.75" x14ac:dyDescent="0.2">
      <c r="A8" s="36">
        <f>IF(Data_1[[#This Row],[Customer]]="","",Data_1[[#This Row],[Customer]])</f>
        <v>106</v>
      </c>
      <c r="B8" s="36" t="str">
        <f>IF(Data_1[[#This Row],[Column2]]="","",Data_1[[#This Row],[Column2]])</f>
        <v>รพ.รร.นายร้อยพระจุลจอมเกล้า</v>
      </c>
      <c r="C8" s="36" t="str">
        <f>IF(Data_1[[#This Row],[Column3]]="","",Data_1[[#This Row],[Column3]])</f>
        <v>Chulachomklao Royal Military Academy Hospital</v>
      </c>
      <c r="D8" s="36" t="str">
        <f>IF(Data_1[[#This Row],[Column4]]="","",Data_1[[#This Row],[Column4]])</f>
        <v>99 Suwansorn , Brahmani, Muang Nakhon Nayok</v>
      </c>
      <c r="E8" s="36" t="str">
        <f>IF(Data_1[[#This Row],[Column5]]="","",Data_1[[#This Row],[Column5]])</f>
        <v>Nakhon Nayok</v>
      </c>
      <c r="F8" s="36">
        <f>IF(Data_1[[#This Row],[Column6]]="","",Data_1[[#This Row],[Column6]])</f>
        <v>26001</v>
      </c>
      <c r="H8" s="37" t="str">
        <f>IF(Data_1[[#This Row],[Personnel]]="","",(Data_1[[#This Row],[Personnel]]))</f>
        <v>Kriangkrai  Taisawang</v>
      </c>
      <c r="I8" s="40" t="str">
        <f>IF(Data_1[[#This Row],[Column9]]="","",(Data_1[[#This Row],[Column9]]))</f>
        <v>SM1</v>
      </c>
      <c r="J8" s="31"/>
      <c r="K8" s="38" t="str">
        <f>Data_1[[#This Row],[UUC]]</f>
        <v>Oven</v>
      </c>
    </row>
    <row r="9" spans="1:11" ht="21.75" x14ac:dyDescent="0.2">
      <c r="A9" s="36">
        <f>IF(Data_1[[#This Row],[Customer]]="","",Data_1[[#This Row],[Customer]])</f>
        <v>107</v>
      </c>
      <c r="B9" s="36" t="str">
        <f>IF(Data_1[[#This Row],[Column2]]="","",Data_1[[#This Row],[Column2]])</f>
        <v>รพ.ค่ายจักรพงษ์</v>
      </c>
      <c r="C9" s="36" t="str">
        <f>IF(Data_1[[#This Row],[Column3]]="","",Data_1[[#This Row],[Column3]])</f>
        <v>Fort Chakkraphong Hospital</v>
      </c>
      <c r="D9" s="36" t="str">
        <f>IF(Data_1[[#This Row],[Column4]]="","",Data_1[[#This Row],[Column4]])</f>
        <v>779 Na Mueang, Muang Prachinburi</v>
      </c>
      <c r="E9" s="36" t="str">
        <f>IF(Data_1[[#This Row],[Column5]]="","",Data_1[[#This Row],[Column5]])</f>
        <v>Prachinburi</v>
      </c>
      <c r="F9" s="36">
        <f>IF(Data_1[[#This Row],[Column6]]="","",Data_1[[#This Row],[Column6]])</f>
        <v>25000</v>
      </c>
      <c r="H9" s="37" t="str">
        <f>IF(Data_1[[#This Row],[Personnel]]="","",(Data_1[[#This Row],[Personnel]]))</f>
        <v>Sarayut  Ek-onsang</v>
      </c>
      <c r="I9" s="40" t="str">
        <f>IF(Data_1[[#This Row],[Column9]]="","",(Data_1[[#This Row],[Column9]]))</f>
        <v>SM1</v>
      </c>
      <c r="J9" s="31"/>
      <c r="K9" s="38" t="str">
        <f>Data_1[[#This Row],[UUC]]</f>
        <v>Liquid Bath</v>
      </c>
    </row>
    <row r="10" spans="1:11" ht="21.75" x14ac:dyDescent="0.2">
      <c r="A10" s="36">
        <f>IF(Data_1[[#This Row],[Customer]]="","",Data_1[[#This Row],[Customer]])</f>
        <v>108</v>
      </c>
      <c r="B10" s="36" t="str">
        <f>IF(Data_1[[#This Row],[Column2]]="","",Data_1[[#This Row],[Column2]])</f>
        <v>รพ.ค่ายสุรสีห์</v>
      </c>
      <c r="C10" s="36" t="str">
        <f>IF(Data_1[[#This Row],[Column3]]="","",Data_1[[#This Row],[Column3]])</f>
        <v>Fort Surasi Hospital</v>
      </c>
      <c r="D10" s="36" t="str">
        <f>IF(Data_1[[#This Row],[Column4]]="","",Data_1[[#This Row],[Column4]])</f>
        <v>281 Lat Ya, Muang Kanchanaburi</v>
      </c>
      <c r="E10" s="36" t="str">
        <f>IF(Data_1[[#This Row],[Column5]]="","",Data_1[[#This Row],[Column5]])</f>
        <v>Kanchanaburi</v>
      </c>
      <c r="F10" s="36">
        <f>IF(Data_1[[#This Row],[Column6]]="","",Data_1[[#This Row],[Column6]])</f>
        <v>71190</v>
      </c>
      <c r="H10" s="37" t="str">
        <f>IF(Data_1[[#This Row],[Personnel]]="","",(Data_1[[#This Row],[Personnel]]))</f>
        <v>Songkiet  Yamaumpon</v>
      </c>
      <c r="I10" s="40" t="str">
        <f>IF(Data_1[[#This Row],[Column9]]="","",(Data_1[[#This Row],[Column9]]))</f>
        <v>SM1</v>
      </c>
      <c r="J10" s="31"/>
      <c r="K10" s="38" t="str">
        <f>Data_1[[#This Row],[UUC]]</f>
        <v>Autoclave</v>
      </c>
    </row>
    <row r="11" spans="1:11" ht="21.75" x14ac:dyDescent="0.2">
      <c r="A11" s="36">
        <f>IF(Data_1[[#This Row],[Customer]]="","",Data_1[[#This Row],[Customer]])</f>
        <v>109</v>
      </c>
      <c r="B11" s="36" t="str">
        <f>IF(Data_1[[#This Row],[Column2]]="","",Data_1[[#This Row],[Column2]])</f>
        <v>รพ.ค่ายสุรสิงหนาท</v>
      </c>
      <c r="C11" s="36" t="str">
        <f>IF(Data_1[[#This Row],[Column3]]="","",Data_1[[#This Row],[Column3]])</f>
        <v>Fort Surasinghanart Hospital</v>
      </c>
      <c r="D11" s="36" t="str">
        <f>IF(Data_1[[#This Row],[Column4]]="","",Data_1[[#This Row],[Column4]])</f>
        <v>1/30 Phak Huai , Aranyaprathet</v>
      </c>
      <c r="E11" s="36" t="str">
        <f>IF(Data_1[[#This Row],[Column5]]="","",Data_1[[#This Row],[Column5]])</f>
        <v>Sa Kaeo</v>
      </c>
      <c r="F11" s="36">
        <f>IF(Data_1[[#This Row],[Column6]]="","",Data_1[[#This Row],[Column6]])</f>
        <v>27120</v>
      </c>
      <c r="H11" s="37" t="str">
        <f>IF(Data_1[[#This Row],[Personnel]]="","",(Data_1[[#This Row],[Personnel]]))</f>
        <v>Thawadchai  Pruksarattananon</v>
      </c>
      <c r="I11" s="40" t="str">
        <f>IF(Data_1[[#This Row],[Column9]]="","",(Data_1[[#This Row],[Column9]]))</f>
        <v>SM1</v>
      </c>
      <c r="J11" s="31"/>
      <c r="K11" s="38" t="str">
        <f>Data_1[[#This Row],[UUC]]</f>
        <v>Centrifuge</v>
      </c>
    </row>
    <row r="12" spans="1:11" ht="21.75" x14ac:dyDescent="0.2">
      <c r="A12" s="36">
        <f>IF(Data_1[[#This Row],[Customer]]="","",Data_1[[#This Row],[Customer]])</f>
        <v>110</v>
      </c>
      <c r="B12" s="36" t="str">
        <f>IF(Data_1[[#This Row],[Column2]]="","",Data_1[[#This Row],[Column2]])</f>
        <v>รพ.ค่ายภาณุรังษี</v>
      </c>
      <c r="C12" s="36" t="str">
        <f>IF(Data_1[[#This Row],[Column3]]="","",Data_1[[#This Row],[Column3]])</f>
        <v>Fort Panurangsi Hospital</v>
      </c>
      <c r="D12" s="36" t="str">
        <f>IF(Data_1[[#This Row],[Column4]]="","",Data_1[[#This Row],[Column4]])</f>
        <v>285/1 Khok Mo , Muang Ratchaburi</v>
      </c>
      <c r="E12" s="36" t="str">
        <f>IF(Data_1[[#This Row],[Column5]]="","",Data_1[[#This Row],[Column5]])</f>
        <v>Ratchaburi</v>
      </c>
      <c r="F12" s="36">
        <f>IF(Data_1[[#This Row],[Column6]]="","",Data_1[[#This Row],[Column6]])</f>
        <v>70000</v>
      </c>
      <c r="H12" s="37" t="str">
        <f>IF(Data_1[[#This Row],[Personnel]]="","",(Data_1[[#This Row],[Personnel]]))</f>
        <v>Nattapong  Yubram</v>
      </c>
      <c r="I12" s="40" t="str">
        <f>IF(Data_1[[#This Row],[Column9]]="","",(Data_1[[#This Row],[Column9]]))</f>
        <v>SM2</v>
      </c>
      <c r="J12" s="31"/>
      <c r="K12" s="38" t="str">
        <f>Data_1[[#This Row],[UUC]]</f>
        <v>Shaker</v>
      </c>
    </row>
    <row r="13" spans="1:11" ht="21.75" x14ac:dyDescent="0.2">
      <c r="A13" s="36">
        <f>IF(Data_1[[#This Row],[Customer]]="","",Data_1[[#This Row],[Customer]])</f>
        <v>111</v>
      </c>
      <c r="B13" s="36" t="str">
        <f>IF(Data_1[[#This Row],[Column2]]="","",Data_1[[#This Row],[Column2]])</f>
        <v>รพ.ค่ายอดิศร</v>
      </c>
      <c r="C13" s="36" t="str">
        <f>IF(Data_1[[#This Row],[Column3]]="","",Data_1[[#This Row],[Column3]])</f>
        <v>Fort Adison Hospital</v>
      </c>
      <c r="D13" s="36" t="str">
        <f>IF(Data_1[[#This Row],[Column4]]="","",Data_1[[#This Row],[Column4]])</f>
        <v>54 Pak Sleao, Mitraphap, Mueang Saraburi</v>
      </c>
      <c r="E13" s="36" t="str">
        <f>IF(Data_1[[#This Row],[Column5]]="","",Data_1[[#This Row],[Column5]])</f>
        <v>Saraburi</v>
      </c>
      <c r="F13" s="36">
        <f>IF(Data_1[[#This Row],[Column6]]="","",Data_1[[#This Row],[Column6]])</f>
        <v>18000</v>
      </c>
      <c r="H13" s="37" t="str">
        <f>IF(Data_1[[#This Row],[Personnel]]="","",(Data_1[[#This Row],[Personnel]]))</f>
        <v>Chaloem Thongim</v>
      </c>
      <c r="I13" s="40" t="str">
        <f>IF(Data_1[[#This Row],[Column9]]="","",(Data_1[[#This Row],[Column9]]))</f>
        <v>Sgt.</v>
      </c>
      <c r="J13" s="31"/>
      <c r="K13" s="38">
        <f>Data_1[[#This Row],[UUC]]</f>
        <v>0</v>
      </c>
    </row>
    <row r="14" spans="1:11" ht="21.75" x14ac:dyDescent="0.2">
      <c r="A14" s="36">
        <f>IF(Data_1[[#This Row],[Customer]]="","",Data_1[[#This Row],[Customer]])</f>
        <v>112</v>
      </c>
      <c r="B14" s="36" t="str">
        <f>IF(Data_1[[#This Row],[Column2]]="","",Data_1[[#This Row],[Column2]])</f>
        <v>รพ.ค่ายนวมินทราชินี</v>
      </c>
      <c r="C14" s="36" t="str">
        <f>IF(Data_1[[#This Row],[Column3]]="","",Data_1[[#This Row],[Column3]])</f>
        <v>Fort Nawamintharachini Hospital</v>
      </c>
      <c r="D14" s="36" t="str">
        <f>IF(Data_1[[#This Row],[Column4]]="","",Data_1[[#This Row],[Column4]])</f>
        <v>301 Ban Suan, Mueang Chon Buri</v>
      </c>
      <c r="E14" s="36" t="str">
        <f>IF(Data_1[[#This Row],[Column5]]="","",Data_1[[#This Row],[Column5]])</f>
        <v>Chon Buri</v>
      </c>
      <c r="F14" s="36">
        <f>IF(Data_1[[#This Row],[Column6]]="","",Data_1[[#This Row],[Column6]])</f>
        <v>20000</v>
      </c>
      <c r="H14" s="37" t="str">
        <f>IF(Data_1[[#This Row],[Personnel]]="","",(Data_1[[#This Row],[Personnel]]))</f>
        <v>Kritdanai  Rergwitee</v>
      </c>
      <c r="I14" s="40" t="str">
        <f>IF(Data_1[[#This Row],[Column9]]="","",(Data_1[[#This Row],[Column9]]))</f>
        <v>Sgt.</v>
      </c>
      <c r="J14" s="31"/>
      <c r="K14" s="38">
        <f>Data_1[[#This Row],[UUC]]</f>
        <v>0</v>
      </c>
    </row>
    <row r="15" spans="1:11" x14ac:dyDescent="0.2">
      <c r="A15" s="36">
        <f>IF(Data_1[[#This Row],[Customer]]="","",Data_1[[#This Row],[Customer]])</f>
        <v>113</v>
      </c>
      <c r="B15" s="36" t="str">
        <f>IF(Data_1[[#This Row],[Column2]]="","",Data_1[[#This Row],[Column2]])</f>
        <v>รพ.ค่ายรามราชนิเวศน์</v>
      </c>
      <c r="C15" s="36" t="str">
        <f>IF(Data_1[[#This Row],[Column3]]="","",Data_1[[#This Row],[Column3]])</f>
        <v>Fort Ramratchaniwet Hospital</v>
      </c>
      <c r="D15" s="36" t="str">
        <f>IF(Data_1[[#This Row],[Column4]]="","",Data_1[[#This Row],[Column4]])</f>
        <v>121 Khlong Krasang, Mueang Phetchaburi</v>
      </c>
      <c r="E15" s="36" t="str">
        <f>IF(Data_1[[#This Row],[Column5]]="","",Data_1[[#This Row],[Column5]])</f>
        <v>Phetchaburi</v>
      </c>
      <c r="F15" s="36">
        <f>IF(Data_1[[#This Row],[Column6]]="","",Data_1[[#This Row],[Column6]])</f>
        <v>76000</v>
      </c>
      <c r="H15" s="37" t="str">
        <f>IF(Data_1[[#This Row],[Personnel]]="","",(Data_1[[#This Row],[Personnel]]))</f>
        <v>Ramesh  Autsadayuth</v>
      </c>
      <c r="I15" s="40" t="str">
        <f>IF(Data_1[[#This Row],[Column9]]="","",(Data_1[[#This Row],[Column9]]))</f>
        <v>Sgt.</v>
      </c>
      <c r="K15" s="38">
        <f>Data_1[[#This Row],[UUC]]</f>
        <v>0</v>
      </c>
    </row>
    <row r="16" spans="1:11" x14ac:dyDescent="0.2">
      <c r="A16" s="36">
        <f>IF(Data_1[[#This Row],[Customer]]="","",Data_1[[#This Row],[Customer]])</f>
        <v>114</v>
      </c>
      <c r="B16" s="36" t="str">
        <f>IF(Data_1[[#This Row],[Column2]]="","",Data_1[[#This Row],[Column2]])</f>
        <v>วิทยาลัยแพทยศาสตร์พระมงกุฎเกล้า</v>
      </c>
      <c r="C16" s="36" t="str">
        <f>IF(Data_1[[#This Row],[Column3]]="","",Data_1[[#This Row],[Column3]])</f>
        <v>Phramongkutklao College of Medicine</v>
      </c>
      <c r="D16" s="36" t="str">
        <f>IF(Data_1[[#This Row],[Column4]]="","",Data_1[[#This Row],[Column4]])</f>
        <v>317 Ratchawithi, Thung phayathai, Ratchathewi</v>
      </c>
      <c r="E16" s="36" t="str">
        <f>IF(Data_1[[#This Row],[Column5]]="","",Data_1[[#This Row],[Column5]])</f>
        <v>Bangkok</v>
      </c>
      <c r="F16" s="36">
        <f>IF(Data_1[[#This Row],[Column6]]="","",Data_1[[#This Row],[Column6]])</f>
        <v>10400</v>
      </c>
      <c r="H16" s="37" t="str">
        <f>IF(Data_1[[#This Row],[Personnel]]="","",(Data_1[[#This Row],[Personnel]]))</f>
        <v>Anotai  Kloekratok</v>
      </c>
      <c r="I16" s="40" t="str">
        <f>IF(Data_1[[#This Row],[Column9]]="","",(Data_1[[#This Row],[Column9]]))</f>
        <v>Sgt.</v>
      </c>
      <c r="K16" s="38">
        <f>Data_1[[#This Row],[UUC]]</f>
        <v>0</v>
      </c>
    </row>
    <row r="17" spans="1:11" x14ac:dyDescent="0.2">
      <c r="A17" s="36">
        <f>IF(Data_1[[#This Row],[Customer]]="","",Data_1[[#This Row],[Customer]])</f>
        <v>115</v>
      </c>
      <c r="B17" s="36" t="str">
        <f>IF(Data_1[[#This Row],[Column2]]="","",Data_1[[#This Row],[Column2]])</f>
        <v>วิทยาลัยพยาบาลกองทัพบก</v>
      </c>
      <c r="C17" s="36" t="str">
        <f>IF(Data_1[[#This Row],[Column3]]="","",Data_1[[#This Row],[Column3]])</f>
        <v>The Royal Thai Army Nursing College</v>
      </c>
      <c r="D17" s="36" t="str">
        <f>IF(Data_1[[#This Row],[Column4]]="","",Data_1[[#This Row],[Column4]])</f>
        <v>317/6 Ratchawithi, Thung phayathai, Ratchathewi</v>
      </c>
      <c r="E17" s="36" t="str">
        <f>IF(Data_1[[#This Row],[Column5]]="","",Data_1[[#This Row],[Column5]])</f>
        <v>Bangkok</v>
      </c>
      <c r="F17" s="36">
        <f>IF(Data_1[[#This Row],[Column6]]="","",Data_1[[#This Row],[Column6]])</f>
        <v>10400</v>
      </c>
      <c r="H17" s="37" t="str">
        <f>IF(Data_1[[#This Row],[Personnel]]="","",(Data_1[[#This Row],[Personnel]]))</f>
        <v>Chombhunut  Thanatphonphakdee</v>
      </c>
      <c r="I17" s="40" t="str">
        <f>IF(Data_1[[#This Row],[Column9]]="","",(Data_1[[#This Row],[Column9]]))</f>
        <v>Miss</v>
      </c>
      <c r="K17" s="38">
        <f>Data_1[[#This Row],[UUC]]</f>
        <v>0</v>
      </c>
    </row>
    <row r="18" spans="1:11" x14ac:dyDescent="0.2">
      <c r="A18" s="36">
        <f>IF(Data_1[[#This Row],[Customer]]="","",Data_1[[#This Row],[Customer]])</f>
        <v>116</v>
      </c>
      <c r="B18" s="36" t="str">
        <f>IF(Data_1[[#This Row],[Column2]]="","",Data_1[[#This Row],[Column2]])</f>
        <v>สถาบันวิจัยวิทยาศาสตร์การแพทย์ทหาร</v>
      </c>
      <c r="C18" s="36" t="str">
        <f>IF(Data_1[[#This Row],[Column3]]="","",Data_1[[#This Row],[Column3]])</f>
        <v>Armed Forces Research Institute of Medical Sciences</v>
      </c>
      <c r="D18" s="36" t="str">
        <f>IF(Data_1[[#This Row],[Column4]]="","",Data_1[[#This Row],[Column4]])</f>
        <v>315/6 Ratchawithi, Thung phayathai, Ratchathewi</v>
      </c>
      <c r="E18" s="36" t="str">
        <f>IF(Data_1[[#This Row],[Column5]]="","",Data_1[[#This Row],[Column5]])</f>
        <v>Bangkok</v>
      </c>
      <c r="F18" s="36">
        <f>IF(Data_1[[#This Row],[Column6]]="","",Data_1[[#This Row],[Column6]])</f>
        <v>10400</v>
      </c>
      <c r="H18" s="37" t="str">
        <f>IF(Data_1[[#This Row],[Personnel]]="","",(Data_1[[#This Row],[Personnel]]))</f>
        <v/>
      </c>
      <c r="I18" s="40" t="str">
        <f>IF(Data_1[[#This Row],[Column9]]="","",(Data_1[[#This Row],[Column9]]))</f>
        <v/>
      </c>
      <c r="K18" s="38">
        <f>Data_1[[#This Row],[UUC]]</f>
        <v>0</v>
      </c>
    </row>
    <row r="19" spans="1:11" x14ac:dyDescent="0.2">
      <c r="A19" s="36">
        <f>IF(Data_1[[#This Row],[Customer]]="","",Data_1[[#This Row],[Customer]])</f>
        <v>201</v>
      </c>
      <c r="B19" s="36" t="str">
        <f>IF(Data_1[[#This Row],[Column2]]="","",Data_1[[#This Row],[Column2]])</f>
        <v>รพ.ค่ายสุรนารี</v>
      </c>
      <c r="C19" s="36" t="str">
        <f>IF(Data_1[[#This Row],[Column3]]="","",Data_1[[#This Row],[Column3]])</f>
        <v>Fort Suranari Hospital</v>
      </c>
      <c r="D19" s="36" t="str">
        <f>IF(Data_1[[#This Row],[Column4]]="","",Data_1[[#This Row],[Column4]])</f>
        <v>211 pibul la-aied, Nong Phai lom, Muang Nakhon Ratchasima</v>
      </c>
      <c r="E19" s="36" t="str">
        <f>IF(Data_1[[#This Row],[Column5]]="","",Data_1[[#This Row],[Column5]])</f>
        <v>Nakhon Ratchasima</v>
      </c>
      <c r="F19" s="36">
        <f>IF(Data_1[[#This Row],[Column6]]="","",Data_1[[#This Row],[Column6]])</f>
        <v>30000</v>
      </c>
      <c r="H19" s="37" t="str">
        <f>IF(Data_1[[#This Row],[Personnel]]="","",(Data_1[[#This Row],[Personnel]]))</f>
        <v/>
      </c>
      <c r="I19" s="40" t="str">
        <f>IF(Data_1[[#This Row],[Column9]]="","",(Data_1[[#This Row],[Column9]]))</f>
        <v/>
      </c>
      <c r="K19" s="38">
        <f>Data_1[[#This Row],[UUC]]</f>
        <v>0</v>
      </c>
    </row>
    <row r="20" spans="1:11" x14ac:dyDescent="0.2">
      <c r="A20" s="36">
        <f>IF(Data_1[[#This Row],[Customer]]="","",Data_1[[#This Row],[Customer]])</f>
        <v>202</v>
      </c>
      <c r="B20" s="36" t="str">
        <f>IF(Data_1[[#This Row],[Column2]]="","",Data_1[[#This Row],[Column2]])</f>
        <v>รพ.ค่ายสรรพสิทธิประสงค์</v>
      </c>
      <c r="C20" s="36" t="str">
        <f>IF(Data_1[[#This Row],[Column3]]="","",Data_1[[#This Row],[Column3]])</f>
        <v>Fort Sunpasitthiprasong Hospital</v>
      </c>
      <c r="D20" s="36" t="str">
        <f>IF(Data_1[[#This Row],[Column4]]="","",Data_1[[#This Row],[Column4]])</f>
        <v>383 Warin-Pibul , Saensuk, Warin Chamrap</v>
      </c>
      <c r="E20" s="36" t="str">
        <f>IF(Data_1[[#This Row],[Column5]]="","",Data_1[[#This Row],[Column5]])</f>
        <v>Ratchathani</v>
      </c>
      <c r="F20" s="36">
        <f>IF(Data_1[[#This Row],[Column6]]="","",Data_1[[#This Row],[Column6]])</f>
        <v>34190</v>
      </c>
      <c r="H20" s="37" t="str">
        <f>IF(Data_1[[#This Row],[Personnel]]="","",(Data_1[[#This Row],[Personnel]]))</f>
        <v/>
      </c>
      <c r="I20" s="40" t="str">
        <f>IF(Data_1[[#This Row],[Column9]]="","",(Data_1[[#This Row],[Column9]]))</f>
        <v/>
      </c>
      <c r="K20" s="38">
        <f>Data_1[[#This Row],[UUC]]</f>
        <v>0</v>
      </c>
    </row>
    <row r="21" spans="1:11" x14ac:dyDescent="0.2">
      <c r="A21" s="36">
        <f>IF(Data_1[[#This Row],[Customer]]="","",Data_1[[#This Row],[Customer]])</f>
        <v>203</v>
      </c>
      <c r="B21" s="36" t="str">
        <f>IF(Data_1[[#This Row],[Column2]]="","",Data_1[[#This Row],[Column2]])</f>
        <v>รพ.ค่ายประจักษ์ศิลปาคม</v>
      </c>
      <c r="C21" s="36" t="str">
        <f>IF(Data_1[[#This Row],[Column3]]="","",Data_1[[#This Row],[Column3]])</f>
        <v>Fort Prackaksinlapakhom Hospital</v>
      </c>
      <c r="D21" s="36" t="str">
        <f>IF(Data_1[[#This Row],[Column4]]="","",Data_1[[#This Row],[Column4]])</f>
        <v>550 Thahan, Mak Khaeng, Muang Udon Thani</v>
      </c>
      <c r="E21" s="36" t="str">
        <f>IF(Data_1[[#This Row],[Column5]]="","",Data_1[[#This Row],[Column5]])</f>
        <v>Udon Thani</v>
      </c>
      <c r="F21" s="36">
        <f>IF(Data_1[[#This Row],[Column6]]="","",Data_1[[#This Row],[Column6]])</f>
        <v>41000</v>
      </c>
    </row>
    <row r="22" spans="1:11" x14ac:dyDescent="0.2">
      <c r="A22" s="36">
        <f>IF(Data_1[[#This Row],[Customer]]="","",Data_1[[#This Row],[Customer]])</f>
        <v>204</v>
      </c>
      <c r="B22" s="36" t="str">
        <f>IF(Data_1[[#This Row],[Column2]]="","",Data_1[[#This Row],[Column2]])</f>
        <v>รพ.ค่ายสมเด็จพระพุทธยอดฟ้าฯ</v>
      </c>
      <c r="C22" s="36" t="str">
        <f>IF(Data_1[[#This Row],[Column3]]="","",Data_1[[#This Row],[Column3]])</f>
        <v>Fort Somdej Phrabuddha Yodfachulaloke Maharaja Hospital</v>
      </c>
      <c r="D22" s="36" t="str">
        <f>IF(Data_1[[#This Row],[Column4]]="","",Data_1[[#This Row],[Column4]])</f>
        <v>124 Chaeng Sanit Rd, Pho Sai, Mueang Roi Et</v>
      </c>
      <c r="E22" s="36" t="str">
        <f>IF(Data_1[[#This Row],[Column5]]="","",Data_1[[#This Row],[Column5]])</f>
        <v>Roi Et</v>
      </c>
      <c r="F22" s="36">
        <f>IF(Data_1[[#This Row],[Column6]]="","",Data_1[[#This Row],[Column6]])</f>
        <v>45280</v>
      </c>
    </row>
    <row r="23" spans="1:11" x14ac:dyDescent="0.2">
      <c r="A23" s="36">
        <f>IF(Data_1[[#This Row],[Customer]]="","",Data_1[[#This Row],[Customer]])</f>
        <v>205</v>
      </c>
      <c r="B23" s="36" t="str">
        <f>IF(Data_1[[#This Row],[Column2]]="","",Data_1[[#This Row],[Column2]])</f>
        <v>รพ.ค่ายวีรวัฒน์โยธิน</v>
      </c>
      <c r="C23" s="36" t="str">
        <f>IF(Data_1[[#This Row],[Column3]]="","",Data_1[[#This Row],[Column3]])</f>
        <v>Fort Weerawatyothin Hospital</v>
      </c>
      <c r="D23" s="36" t="str">
        <f>IF(Data_1[[#This Row],[Column4]]="","",Data_1[[#This Row],[Column4]])</f>
        <v>777 Surin-Prasat , Nong Muang , Mueang Surin</v>
      </c>
      <c r="E23" s="36" t="str">
        <f>IF(Data_1[[#This Row],[Column5]]="","",Data_1[[#This Row],[Column5]])</f>
        <v>Surin</v>
      </c>
      <c r="F23" s="36">
        <f>IF(Data_1[[#This Row],[Column6]]="","",Data_1[[#This Row],[Column6]])</f>
        <v>32000</v>
      </c>
    </row>
    <row r="24" spans="1:11" x14ac:dyDescent="0.2">
      <c r="A24" s="36">
        <f>IF(Data_1[[#This Row],[Customer]]="","",Data_1[[#This Row],[Customer]])</f>
        <v>206</v>
      </c>
      <c r="B24" s="36" t="str">
        <f>IF(Data_1[[#This Row],[Column2]]="","",Data_1[[#This Row],[Column2]])</f>
        <v>รพ.ค่ายกฤษณ์สีวะรา</v>
      </c>
      <c r="C24" s="36" t="str">
        <f>IF(Data_1[[#This Row],[Column3]]="","",Data_1[[#This Row],[Column3]])</f>
        <v>Fort Krit Siwara Hospital</v>
      </c>
      <c r="D24" s="36" t="str">
        <f>IF(Data_1[[#This Row],[Column4]]="","",Data_1[[#This Row],[Column4]])</f>
        <v>100/123 Thatnaweng, Muang Sakon Nakhon</v>
      </c>
      <c r="E24" s="36" t="str">
        <f>IF(Data_1[[#This Row],[Column5]]="","",Data_1[[#This Row],[Column5]])</f>
        <v>Sakon Nakhon</v>
      </c>
      <c r="F24" s="36">
        <f>IF(Data_1[[#This Row],[Column6]]="","",Data_1[[#This Row],[Column6]])</f>
        <v>47000</v>
      </c>
    </row>
    <row r="25" spans="1:11" x14ac:dyDescent="0.2">
      <c r="A25" s="36">
        <f>IF(Data_1[[#This Row],[Customer]]="","",Data_1[[#This Row],[Customer]])</f>
        <v>207</v>
      </c>
      <c r="B25" s="36" t="str">
        <f>IF(Data_1[[#This Row],[Column2]]="","",Data_1[[#This Row],[Column2]])</f>
        <v>รพ.ค่ายศรีพัชรินทร</v>
      </c>
      <c r="C25" s="36" t="str">
        <f>IF(Data_1[[#This Row],[Column3]]="","",Data_1[[#This Row],[Column3]])</f>
        <v>Fort Sri-patcharinthorn Hospital</v>
      </c>
      <c r="D25" s="36" t="str">
        <f>IF(Data_1[[#This Row],[Column4]]="","",Data_1[[#This Row],[Column4]])</f>
        <v>100 Kasikorn ThungSang , Sila , Mueang Khon Kaen</v>
      </c>
      <c r="E25" s="36" t="str">
        <f>IF(Data_1[[#This Row],[Column5]]="","",Data_1[[#This Row],[Column5]])</f>
        <v>Khon Kaen</v>
      </c>
      <c r="F25" s="36">
        <f>IF(Data_1[[#This Row],[Column6]]="","",Data_1[[#This Row],[Column6]])</f>
        <v>40000</v>
      </c>
    </row>
    <row r="26" spans="1:11" x14ac:dyDescent="0.2">
      <c r="A26" s="36">
        <f>IF(Data_1[[#This Row],[Customer]]="","",Data_1[[#This Row],[Customer]])</f>
        <v>208</v>
      </c>
      <c r="B26" s="36" t="str">
        <f>IF(Data_1[[#This Row],[Column2]]="","",Data_1[[#This Row],[Column2]])</f>
        <v>รพ.ค่ายสมเด็จเจ้าพระยามหากษัตริย์ศึก</v>
      </c>
      <c r="C26" s="36" t="str">
        <f>IF(Data_1[[#This Row],[Column3]]="","",Data_1[[#This Row],[Column3]])</f>
        <v>Fort Somdet Chao Phraya Mahakasatsuek Hospital</v>
      </c>
      <c r="D26" s="36" t="str">
        <f>IF(Data_1[[#This Row],[Column4]]="","",Data_1[[#This Row],[Column4]])</f>
        <v>147 Buriram Prakhonchai,  Samet , Mueang Buriram</v>
      </c>
      <c r="E26" s="36" t="str">
        <f>IF(Data_1[[#This Row],[Column5]]="","",Data_1[[#This Row],[Column5]])</f>
        <v>Buriram</v>
      </c>
      <c r="F26" s="36">
        <f>IF(Data_1[[#This Row],[Column6]]="","",Data_1[[#This Row],[Column6]])</f>
        <v>31000</v>
      </c>
    </row>
    <row r="27" spans="1:11" x14ac:dyDescent="0.2">
      <c r="A27" s="36">
        <f>IF(Data_1[[#This Row],[Customer]]="","",Data_1[[#This Row],[Customer]])</f>
        <v>209</v>
      </c>
      <c r="B27" s="36" t="str">
        <f>IF(Data_1[[#This Row],[Column2]]="","",Data_1[[#This Row],[Column2]])</f>
        <v>รพ.ค่ายศรีสองรัก</v>
      </c>
      <c r="C27" s="36" t="str">
        <f>IF(Data_1[[#This Row],[Column3]]="","",Data_1[[#This Row],[Column3]])</f>
        <v>Fort Srisongrak Hospital</v>
      </c>
      <c r="D27" s="36" t="str">
        <f>IF(Data_1[[#This Row],[Column4]]="","",Data_1[[#This Row],[Column4]])</f>
        <v>68 Loei-Chiang Khan , Srisamrak, Muang Loei</v>
      </c>
      <c r="E27" s="36" t="str">
        <f>IF(Data_1[[#This Row],[Column5]]="","",Data_1[[#This Row],[Column5]])</f>
        <v>Loei</v>
      </c>
      <c r="F27" s="36">
        <f>IF(Data_1[[#This Row],[Column6]]="","",Data_1[[#This Row],[Column6]])</f>
        <v>42100</v>
      </c>
    </row>
    <row r="28" spans="1:11" x14ac:dyDescent="0.2">
      <c r="A28" s="36">
        <f>IF(Data_1[[#This Row],[Customer]]="","",Data_1[[#This Row],[Customer]])</f>
        <v>210</v>
      </c>
      <c r="B28" s="36" t="str">
        <f>IF(Data_1[[#This Row],[Column2]]="","",Data_1[[#This Row],[Column2]])</f>
        <v>รพ.ค่ายพระยอดเมืองขวาง</v>
      </c>
      <c r="C28" s="36" t="str">
        <f>IF(Data_1[[#This Row],[Column3]]="","",Data_1[[#This Row],[Column3]])</f>
        <v>Fort Phrayotmueangkhwang Hospital</v>
      </c>
      <c r="D28" s="36" t="str">
        <f>IF(Data_1[[#This Row],[Column4]]="","",Data_1[[#This Row],[Column4]])</f>
        <v>Kurukhu, Mueang Nakhon Phanom</v>
      </c>
      <c r="E28" s="36" t="str">
        <f>IF(Data_1[[#This Row],[Column5]]="","",Data_1[[#This Row],[Column5]])</f>
        <v>Nakhon Phanom</v>
      </c>
      <c r="F28" s="36">
        <f>IF(Data_1[[#This Row],[Column6]]="","",Data_1[[#This Row],[Column6]])</f>
        <v>48000</v>
      </c>
    </row>
    <row r="29" spans="1:11" x14ac:dyDescent="0.2">
      <c r="A29" s="36">
        <f>IF(Data_1[[#This Row],[Customer]]="","",Data_1[[#This Row],[Customer]])</f>
        <v>301</v>
      </c>
      <c r="B29" s="36" t="str">
        <f>IF(Data_1[[#This Row],[Column2]]="","",Data_1[[#This Row],[Column2]])</f>
        <v>รพ.ค่ายสมเด็จพระนเรศวรมหาราช</v>
      </c>
      <c r="C29" s="36" t="str">
        <f>IF(Data_1[[#This Row],[Column3]]="","",Data_1[[#This Row],[Column3]])</f>
        <v>Fort Somdej Phranaresuan Maharaj Hospital</v>
      </c>
      <c r="D29" s="36" t="str">
        <f>IF(Data_1[[#This Row],[Column4]]="","",Data_1[[#This Row],[Column4]])</f>
        <v>9 Ban Khlong, Muang Phitsanulok</v>
      </c>
      <c r="E29" s="36" t="str">
        <f>IF(Data_1[[#This Row],[Column5]]="","",Data_1[[#This Row],[Column5]])</f>
        <v>Phitsanulok</v>
      </c>
      <c r="F29" s="36">
        <f>IF(Data_1[[#This Row],[Column6]]="","",Data_1[[#This Row],[Column6]])</f>
        <v>65000</v>
      </c>
    </row>
    <row r="30" spans="1:11" x14ac:dyDescent="0.2">
      <c r="A30" s="36">
        <f>IF(Data_1[[#This Row],[Customer]]="","",Data_1[[#This Row],[Customer]])</f>
        <v>302</v>
      </c>
      <c r="B30" s="36" t="str">
        <f>IF(Data_1[[#This Row],[Column2]]="","",Data_1[[#This Row],[Column2]])</f>
        <v>รพ.ค่ายจิรประวัติ</v>
      </c>
      <c r="C30" s="36" t="str">
        <f>IF(Data_1[[#This Row],[Column3]]="","",Data_1[[#This Row],[Column3]])</f>
        <v>Fort Chiraprawat Hospital</v>
      </c>
      <c r="D30" s="36" t="str">
        <f>IF(Data_1[[#This Row],[Column4]]="","",Data_1[[#This Row],[Column4]])</f>
        <v>161 Phaholyothin, Klangsaeng, Muang Nakhon Sawan</v>
      </c>
      <c r="E30" s="36" t="str">
        <f>IF(Data_1[[#This Row],[Column5]]="","",Data_1[[#This Row],[Column5]])</f>
        <v>Nakhon Sawan</v>
      </c>
      <c r="F30" s="36">
        <f>IF(Data_1[[#This Row],[Column6]]="","",Data_1[[#This Row],[Column6]])</f>
        <v>60000</v>
      </c>
    </row>
    <row r="31" spans="1:11" x14ac:dyDescent="0.2">
      <c r="A31" s="36">
        <f>IF(Data_1[[#This Row],[Customer]]="","",Data_1[[#This Row],[Customer]])</f>
        <v>303</v>
      </c>
      <c r="B31" s="36" t="str">
        <f>IF(Data_1[[#This Row],[Column2]]="","",Data_1[[#This Row],[Column2]])</f>
        <v>รพ.ค่ายกาวิละ</v>
      </c>
      <c r="C31" s="36" t="str">
        <f>IF(Data_1[[#This Row],[Column3]]="","",Data_1[[#This Row],[Column3]])</f>
        <v>Fort Kawila Hospital</v>
      </c>
      <c r="D31" s="36" t="str">
        <f>IF(Data_1[[#This Row],[Column4]]="","",Data_1[[#This Row],[Column4]])</f>
        <v>285 Chiangmai-lamphun, Wat Ket , Mueang Chiang Mai</v>
      </c>
      <c r="E31" s="36" t="str">
        <f>IF(Data_1[[#This Row],[Column5]]="","",Data_1[[#This Row],[Column5]])</f>
        <v>Chiang Mai</v>
      </c>
      <c r="F31" s="36">
        <f>IF(Data_1[[#This Row],[Column6]]="","",Data_1[[#This Row],[Column6]])</f>
        <v>50000</v>
      </c>
    </row>
    <row r="32" spans="1:11" x14ac:dyDescent="0.2">
      <c r="A32" s="36">
        <f>IF(Data_1[[#This Row],[Customer]]="","",Data_1[[#This Row],[Customer]])</f>
        <v>304</v>
      </c>
      <c r="B32" s="36" t="str">
        <f>IF(Data_1[[#This Row],[Column2]]="","",Data_1[[#This Row],[Column2]])</f>
        <v>รพ.ค่ายเม็งรายมหาราช</v>
      </c>
      <c r="C32" s="36" t="str">
        <f>IF(Data_1[[#This Row],[Column3]]="","",Data_1[[#This Row],[Column3]])</f>
        <v>Fort Mengraimaharaj Hospital</v>
      </c>
      <c r="D32" s="36" t="str">
        <f>IF(Data_1[[#This Row],[Column4]]="","",Data_1[[#This Row],[Column4]])</f>
        <v>256 Rob Wiang, Mueang Chiang Rai</v>
      </c>
      <c r="E32" s="36" t="str">
        <f>IF(Data_1[[#This Row],[Column5]]="","",Data_1[[#This Row],[Column5]])</f>
        <v>Chiang Rai</v>
      </c>
      <c r="F32" s="36">
        <f>IF(Data_1[[#This Row],[Column6]]="","",Data_1[[#This Row],[Column6]])</f>
        <v>57000</v>
      </c>
    </row>
    <row r="33" spans="1:6" x14ac:dyDescent="0.2">
      <c r="A33" s="36">
        <f>IF(Data_1[[#This Row],[Customer]]="","",Data_1[[#This Row],[Customer]])</f>
        <v>305</v>
      </c>
      <c r="B33" s="36" t="str">
        <f>IF(Data_1[[#This Row],[Column2]]="","",Data_1[[#This Row],[Column2]])</f>
        <v>รพ.ค่ายพิชัยดาบหัก</v>
      </c>
      <c r="C33" s="36" t="str">
        <f>IF(Data_1[[#This Row],[Column3]]="","",Data_1[[#This Row],[Column3]])</f>
        <v>Fort Pichai Dap Hak Hospital</v>
      </c>
      <c r="D33" s="36" t="str">
        <f>IF(Data_1[[#This Row],[Column4]]="","",Data_1[[#This Row],[Column4]])</f>
        <v>102 Samranruen, Tha Sao, Mueang Uttaradit</v>
      </c>
      <c r="E33" s="36" t="str">
        <f>IF(Data_1[[#This Row],[Column5]]="","",Data_1[[#This Row],[Column5]])</f>
        <v>Uttaradit</v>
      </c>
      <c r="F33" s="36">
        <f>IF(Data_1[[#This Row],[Column6]]="","",Data_1[[#This Row],[Column6]])</f>
        <v>53000</v>
      </c>
    </row>
    <row r="34" spans="1:6" x14ac:dyDescent="0.2">
      <c r="A34" s="36">
        <f>IF(Data_1[[#This Row],[Customer]]="","",Data_1[[#This Row],[Customer]])</f>
        <v>306</v>
      </c>
      <c r="B34" s="36" t="str">
        <f>IF(Data_1[[#This Row],[Column2]]="","",Data_1[[#This Row],[Column2]])</f>
        <v>รพ.ค่ายสุรศักดิ์มนตรี</v>
      </c>
      <c r="C34" s="36" t="str">
        <f>IF(Data_1[[#This Row],[Column3]]="","",Data_1[[#This Row],[Column3]])</f>
        <v>Fort Surasakmontri Hospital</v>
      </c>
      <c r="D34" s="36" t="str">
        <f>IF(Data_1[[#This Row],[Column4]]="","",Data_1[[#This Row],[Column4]])</f>
        <v>1 Phaholyothin, Phicha, Mueang Lampang</v>
      </c>
      <c r="E34" s="36" t="str">
        <f>IF(Data_1[[#This Row],[Column5]]="","",Data_1[[#This Row],[Column5]])</f>
        <v>Lampang</v>
      </c>
      <c r="F34" s="36">
        <f>IF(Data_1[[#This Row],[Column6]]="","",Data_1[[#This Row],[Column6]])</f>
        <v>52000</v>
      </c>
    </row>
    <row r="35" spans="1:6" x14ac:dyDescent="0.2">
      <c r="A35" s="36">
        <f>IF(Data_1[[#This Row],[Customer]]="","",Data_1[[#This Row],[Customer]])</f>
        <v>307</v>
      </c>
      <c r="B35" s="36" t="str">
        <f>IF(Data_1[[#This Row],[Column2]]="","",Data_1[[#This Row],[Column2]])</f>
        <v>รพ.ค่ายพ่อขุนผาเมือง</v>
      </c>
      <c r="C35" s="36" t="str">
        <f>IF(Data_1[[#This Row],[Column3]]="","",Data_1[[#This Row],[Column3]])</f>
        <v>Fort Phokhunphamueang Hospital</v>
      </c>
      <c r="D35" s="36" t="str">
        <f>IF(Data_1[[#This Row],[Column4]]="","",Data_1[[#This Row],[Column4]])</f>
        <v>99/2329 Saraburi-Lomsak, Satang , Mueang Phetchabun</v>
      </c>
      <c r="E35" s="36" t="str">
        <f>IF(Data_1[[#This Row],[Column5]]="","",Data_1[[#This Row],[Column5]])</f>
        <v>Phetchabun</v>
      </c>
      <c r="F35" s="36">
        <f>IF(Data_1[[#This Row],[Column6]]="","",Data_1[[#This Row],[Column6]])</f>
        <v>67000</v>
      </c>
    </row>
    <row r="36" spans="1:6" x14ac:dyDescent="0.2">
      <c r="A36" s="36">
        <f>IF(Data_1[[#This Row],[Customer]]="","",Data_1[[#This Row],[Customer]])</f>
        <v>308</v>
      </c>
      <c r="B36" s="36" t="str">
        <f>IF(Data_1[[#This Row],[Column2]]="","",Data_1[[#This Row],[Column2]])</f>
        <v>รพ.ค่ายวชิรปราการ</v>
      </c>
      <c r="C36" s="36" t="str">
        <f>IF(Data_1[[#This Row],[Column3]]="","",Data_1[[#This Row],[Column3]])</f>
        <v>Fort Wachiraprakan Hospital</v>
      </c>
      <c r="D36" s="36" t="str">
        <f>IF(Data_1[[#This Row],[Column4]]="","",Data_1[[#This Row],[Column4]])</f>
        <v>337 Mai Ngam, Mueang Tak</v>
      </c>
      <c r="E36" s="36" t="str">
        <f>IF(Data_1[[#This Row],[Column5]]="","",Data_1[[#This Row],[Column5]])</f>
        <v>Tak</v>
      </c>
      <c r="F36" s="36">
        <f>IF(Data_1[[#This Row],[Column6]]="","",Data_1[[#This Row],[Column6]])</f>
        <v>63000</v>
      </c>
    </row>
    <row r="37" spans="1:6" x14ac:dyDescent="0.2">
      <c r="A37" s="36">
        <f>IF(Data_1[[#This Row],[Customer]]="","",Data_1[[#This Row],[Customer]])</f>
        <v>309</v>
      </c>
      <c r="B37" s="36" t="str">
        <f>IF(Data_1[[#This Row],[Column2]]="","",Data_1[[#This Row],[Column2]])</f>
        <v xml:space="preserve">รพ.ค่ายขุนเจืองธรรมิกราช </v>
      </c>
      <c r="C37" s="36" t="str">
        <f>IF(Data_1[[#This Row],[Column3]]="","",Data_1[[#This Row],[Column3]])</f>
        <v>Fort Khunchueangthammikkarat Hospital</v>
      </c>
      <c r="D37" s="36" t="str">
        <f>IF(Data_1[[#This Row],[Column4]]="","",Data_1[[#This Row],[Column4]])</f>
        <v>200 Thawangthong, Muang Phayao</v>
      </c>
      <c r="E37" s="36" t="str">
        <f>IF(Data_1[[#This Row],[Column5]]="","",Data_1[[#This Row],[Column5]])</f>
        <v>Phayao</v>
      </c>
      <c r="F37" s="36">
        <f>IF(Data_1[[#This Row],[Column6]]="","",Data_1[[#This Row],[Column6]])</f>
        <v>56000</v>
      </c>
    </row>
    <row r="38" spans="1:6" x14ac:dyDescent="0.2">
      <c r="A38" s="36">
        <f>IF(Data_1[[#This Row],[Customer]]="","",Data_1[[#This Row],[Customer]])</f>
        <v>310</v>
      </c>
      <c r="B38" s="36" t="str">
        <f>IF(Data_1[[#This Row],[Column2]]="","",Data_1[[#This Row],[Column2]])</f>
        <v>รพ.ค่ายสุริยพงษ์</v>
      </c>
      <c r="C38" s="36" t="str">
        <f>IF(Data_1[[#This Row],[Column3]]="","",Data_1[[#This Row],[Column3]])</f>
        <v>Fort Suriyaphong Hospital</v>
      </c>
      <c r="D38" s="36" t="str">
        <f>IF(Data_1[[#This Row],[Column4]]="","",Data_1[[#This Row],[Column4]])</f>
        <v>330 Nan-Santisuk, fai-kaeo, Phu Phiang</v>
      </c>
      <c r="E38" s="36" t="str">
        <f>IF(Data_1[[#This Row],[Column5]]="","",Data_1[[#This Row],[Column5]])</f>
        <v>Nan</v>
      </c>
      <c r="F38" s="36">
        <f>IF(Data_1[[#This Row],[Column6]]="","",Data_1[[#This Row],[Column6]])</f>
        <v>55000</v>
      </c>
    </row>
    <row r="39" spans="1:6" x14ac:dyDescent="0.2">
      <c r="A39" s="36">
        <f>IF(Data_1[[#This Row],[Customer]]="","",Data_1[[#This Row],[Customer]])</f>
        <v>401</v>
      </c>
      <c r="B39" s="36" t="str">
        <f>IF(Data_1[[#This Row],[Column2]]="","",Data_1[[#This Row],[Column2]])</f>
        <v>รพ.ค่ายวชิราวุธ</v>
      </c>
      <c r="C39" s="36" t="str">
        <f>IF(Data_1[[#This Row],[Column3]]="","",Data_1[[#This Row],[Column3]])</f>
        <v>Fort Wachirawut Hospital</v>
      </c>
      <c r="D39" s="36" t="str">
        <f>IF(Data_1[[#This Row],[Column4]]="","",Data_1[[#This Row],[Column4]])</f>
        <v>283 Ratchadamnoen, Pakpoon, Mueang Nakhon Si Thammarat</v>
      </c>
      <c r="E39" s="36" t="str">
        <f>IF(Data_1[[#This Row],[Column5]]="","",Data_1[[#This Row],[Column5]])</f>
        <v>Nakhon Si Thammarat</v>
      </c>
      <c r="F39" s="36">
        <f>IF(Data_1[[#This Row],[Column6]]="","",Data_1[[#This Row],[Column6]])</f>
        <v>80000</v>
      </c>
    </row>
    <row r="40" spans="1:6" x14ac:dyDescent="0.2">
      <c r="A40" s="36">
        <f>IF(Data_1[[#This Row],[Customer]]="","",Data_1[[#This Row],[Customer]])</f>
        <v>402</v>
      </c>
      <c r="B40" s="36" t="str">
        <f>IF(Data_1[[#This Row],[Column2]]="","",Data_1[[#This Row],[Column2]])</f>
        <v>รพ.ค่ายเสนาณรงค์</v>
      </c>
      <c r="C40" s="36" t="str">
        <f>IF(Data_1[[#This Row],[Column3]]="","",Data_1[[#This Row],[Column3]])</f>
        <v>Fort Senanarong Hospital</v>
      </c>
      <c r="D40" s="36" t="str">
        <f>IF(Data_1[[#This Row],[Column4]]="","",Data_1[[#This Row],[Column4]])</f>
        <v>191 Kanchanavanich, Kho Hong, Hat Yai</v>
      </c>
      <c r="E40" s="36" t="str">
        <f>IF(Data_1[[#This Row],[Column5]]="","",Data_1[[#This Row],[Column5]])</f>
        <v>Songkhla</v>
      </c>
      <c r="F40" s="36">
        <f>IF(Data_1[[#This Row],[Column6]]="","",Data_1[[#This Row],[Column6]])</f>
        <v>90110</v>
      </c>
    </row>
    <row r="41" spans="1:6" x14ac:dyDescent="0.2">
      <c r="A41" s="36">
        <f>IF(Data_1[[#This Row],[Customer]]="","",Data_1[[#This Row],[Customer]])</f>
        <v>403</v>
      </c>
      <c r="B41" s="36" t="str">
        <f>IF(Data_1[[#This Row],[Column2]]="","",Data_1[[#This Row],[Column2]])</f>
        <v>รพ.ค่ายวิภาวดีรังสิต</v>
      </c>
      <c r="C41" s="36" t="str">
        <f>IF(Data_1[[#This Row],[Column3]]="","",Data_1[[#This Row],[Column3]])</f>
        <v>Fort Wiphavadirangsit Hospital</v>
      </c>
      <c r="D41" s="36" t="str">
        <f>IF(Data_1[[#This Row],[Column4]]="","",Data_1[[#This Row],[Column4]])</f>
        <v>233 Makham Tia, Muang Surat Thani</v>
      </c>
      <c r="E41" s="36" t="str">
        <f>IF(Data_1[[#This Row],[Column5]]="","",Data_1[[#This Row],[Column5]])</f>
        <v>Surat Thani</v>
      </c>
      <c r="F41" s="36">
        <f>IF(Data_1[[#This Row],[Column6]]="","",Data_1[[#This Row],[Column6]])</f>
        <v>84000</v>
      </c>
    </row>
    <row r="42" spans="1:6" x14ac:dyDescent="0.2">
      <c r="A42" s="36">
        <f>IF(Data_1[[#This Row],[Customer]]="","",Data_1[[#This Row],[Customer]])</f>
        <v>404</v>
      </c>
      <c r="B42" s="36" t="str">
        <f>IF(Data_1[[#This Row],[Column2]]="","",Data_1[[#This Row],[Column2]])</f>
        <v>รพ.ค่ายเทพสตรีศรีสุนทร</v>
      </c>
      <c r="C42" s="36" t="str">
        <f>IF(Data_1[[#This Row],[Column3]]="","",Data_1[[#This Row],[Column3]])</f>
        <v>Fort Thepsatsrisunthon Hospital</v>
      </c>
      <c r="D42" s="36" t="str">
        <f>IF(Data_1[[#This Row],[Column4]]="","",Data_1[[#This Row],[Column4]])</f>
        <v>181 Kapang, Thungsong</v>
      </c>
      <c r="E42" s="36" t="str">
        <f>IF(Data_1[[#This Row],[Column5]]="","",Data_1[[#This Row],[Column5]])</f>
        <v>Nakhon Si Thammarat</v>
      </c>
      <c r="F42" s="36">
        <f>IF(Data_1[[#This Row],[Column6]]="","",Data_1[[#This Row],[Column6]])</f>
        <v>80310</v>
      </c>
    </row>
    <row r="43" spans="1:6" x14ac:dyDescent="0.2">
      <c r="A43" s="36">
        <f>IF(Data_1[[#This Row],[Customer]]="","",Data_1[[#This Row],[Customer]])</f>
        <v>405</v>
      </c>
      <c r="B43" s="36" t="str">
        <f>IF(Data_1[[#This Row],[Column2]]="","",Data_1[[#This Row],[Column2]])</f>
        <v>รพ.ค่ายอิงคยุทธบริหาร</v>
      </c>
      <c r="C43" s="36" t="str">
        <f>IF(Data_1[[#This Row],[Column3]]="","",Data_1[[#This Row],[Column3]])</f>
        <v>Fort Ingkhayutthaborihan Hospital</v>
      </c>
      <c r="D43" s="36" t="str">
        <f>IF(Data_1[[#This Row],[Column4]]="","",Data_1[[#This Row],[Column4]])</f>
        <v>2 Bo Thong, Nong Chik</v>
      </c>
      <c r="E43" s="36" t="str">
        <f>IF(Data_1[[#This Row],[Column5]]="","",Data_1[[#This Row],[Column5]])</f>
        <v>Pattani</v>
      </c>
      <c r="F43" s="36">
        <f>IF(Data_1[[#This Row],[Column6]]="","",Data_1[[#This Row],[Column6]])</f>
        <v>94170</v>
      </c>
    </row>
    <row r="44" spans="1:6" x14ac:dyDescent="0.2">
      <c r="A44" s="36">
        <f>IF(Data_1[[#This Row],[Customer]]="","",Data_1[[#This Row],[Customer]])</f>
        <v>406</v>
      </c>
      <c r="B44" s="36" t="str">
        <f>IF(Data_1[[#This Row],[Column2]]="","",Data_1[[#This Row],[Column2]])</f>
        <v>รพ.ค่ายเขตอุดมศักดิ์</v>
      </c>
      <c r="C44" s="36" t="str">
        <f>IF(Data_1[[#This Row],[Column3]]="","",Data_1[[#This Row],[Column3]])</f>
        <v>Fort Khetudomsak Hospital</v>
      </c>
      <c r="D44" s="36" t="str">
        <f>IF(Data_1[[#This Row],[Column4]]="","",Data_1[[#This Row],[Column4]])</f>
        <v>193 Moo 1, Wang Mai, Mueang Chumphon</v>
      </c>
      <c r="E44" s="36" t="str">
        <f>IF(Data_1[[#This Row],[Column5]]="","",Data_1[[#This Row],[Column5]])</f>
        <v>Chumphon</v>
      </c>
      <c r="F44" s="36">
        <f>IF(Data_1[[#This Row],[Column6]]="","",Data_1[[#This Row],[Column6]])</f>
        <v>86190</v>
      </c>
    </row>
    <row r="45" spans="1:6" x14ac:dyDescent="0.2">
      <c r="A45" s="36">
        <f>IF(Data_1[[#This Row],[Customer]]="","",Data_1[[#This Row],[Customer]])</f>
        <v>501</v>
      </c>
      <c r="B45" s="36" t="str">
        <f>IF(Data_1[[#This Row],[Column2]]="","",Data_1[[#This Row],[Column2]])</f>
        <v>พัน.สร.1</v>
      </c>
      <c r="C45" s="36" t="str">
        <f>IF(Data_1[[#This Row],[Column3]]="","",Data_1[[#This Row],[Column3]])</f>
        <v>1st Combat Medical Battalion</v>
      </c>
      <c r="D45" s="36" t="str">
        <f>IF(Data_1[[#This Row],[Column4]]="","",Data_1[[#This Row],[Column4]])</f>
        <v>35 Phichaidadhak, Khao Sam Yot, Mueang Lopburi</v>
      </c>
      <c r="E45" s="36" t="str">
        <f>IF(Data_1[[#This Row],[Column5]]="","",Data_1[[#This Row],[Column5]])</f>
        <v xml:space="preserve"> Lopburi</v>
      </c>
      <c r="F45" s="36">
        <f>IF(Data_1[[#This Row],[Column6]]="","",Data_1[[#This Row],[Column6]])</f>
        <v>15000</v>
      </c>
    </row>
    <row r="46" spans="1:6" x14ac:dyDescent="0.2">
      <c r="A46" s="36">
        <f>IF(Data_1[[#This Row],[Customer]]="","",Data_1[[#This Row],[Customer]])</f>
        <v>502</v>
      </c>
      <c r="B46" s="36" t="str">
        <f>IF(Data_1[[#This Row],[Column2]]="","",Data_1[[#This Row],[Column2]])</f>
        <v>พัน.สร.2</v>
      </c>
      <c r="C46" s="36" t="str">
        <f>IF(Data_1[[#This Row],[Column3]]="","",Data_1[[#This Row],[Column3]])</f>
        <v>2nd Combat Medical Battalion</v>
      </c>
      <c r="D46" s="36" t="str">
        <f>IF(Data_1[[#This Row],[Column4]]="","",Data_1[[#This Row],[Column4]])</f>
        <v>Mai ked, Muang Prachinburi</v>
      </c>
      <c r="E46" s="36" t="str">
        <f>IF(Data_1[[#This Row],[Column5]]="","",Data_1[[#This Row],[Column5]])</f>
        <v>Prachinburi</v>
      </c>
      <c r="F46" s="36">
        <f>IF(Data_1[[#This Row],[Column6]]="","",Data_1[[#This Row],[Column6]])</f>
        <v>25230</v>
      </c>
    </row>
    <row r="47" spans="1:6" x14ac:dyDescent="0.2">
      <c r="A47" s="36">
        <f>IF(Data_1[[#This Row],[Customer]]="","",Data_1[[#This Row],[Customer]])</f>
        <v>503</v>
      </c>
      <c r="B47" s="36" t="str">
        <f>IF(Data_1[[#This Row],[Column2]]="","",Data_1[[#This Row],[Column2]])</f>
        <v>พัน.สร.3</v>
      </c>
      <c r="C47" s="36" t="str">
        <f>IF(Data_1[[#This Row],[Column3]]="","",Data_1[[#This Row],[Column3]])</f>
        <v>3rd Combat Medical Battalion</v>
      </c>
      <c r="D47" s="36" t="str">
        <f>IF(Data_1[[#This Row],[Column4]]="","",Data_1[[#This Row],[Column4]])</f>
        <v>Pho glang, Muang Nakhon Ratchasima</v>
      </c>
      <c r="E47" s="36" t="str">
        <f>IF(Data_1[[#This Row],[Column5]]="","",Data_1[[#This Row],[Column5]])</f>
        <v>Nakhon Ratchasima</v>
      </c>
      <c r="F47" s="36">
        <f>IF(Data_1[[#This Row],[Column6]]="","",Data_1[[#This Row],[Column6]])</f>
        <v>30000</v>
      </c>
    </row>
    <row r="48" spans="1:6" x14ac:dyDescent="0.2">
      <c r="A48" s="36">
        <f>IF(Data_1[[#This Row],[Customer]]="","",Data_1[[#This Row],[Customer]])</f>
        <v>504</v>
      </c>
      <c r="B48" s="36" t="str">
        <f>IF(Data_1[[#This Row],[Column2]]="","",Data_1[[#This Row],[Column2]])</f>
        <v>พัน.สร.4</v>
      </c>
      <c r="C48" s="36" t="str">
        <f>IF(Data_1[[#This Row],[Column3]]="","",Data_1[[#This Row],[Column3]])</f>
        <v>4th Combat Medical Battalion</v>
      </c>
      <c r="D48" s="36" t="str">
        <f>IF(Data_1[[#This Row],[Column4]]="","",Data_1[[#This Row],[Column4]])</f>
        <v>Ban Khlong, Muang Phitsanulok</v>
      </c>
      <c r="E48" s="36" t="str">
        <f>IF(Data_1[[#This Row],[Column5]]="","",Data_1[[#This Row],[Column5]])</f>
        <v>Phitsanulok</v>
      </c>
      <c r="F48" s="36">
        <f>IF(Data_1[[#This Row],[Column6]]="","",Data_1[[#This Row],[Column6]])</f>
        <v>65000</v>
      </c>
    </row>
    <row r="49" spans="1:6" x14ac:dyDescent="0.2">
      <c r="A49" s="36">
        <f>IF(Data_1[[#This Row],[Customer]]="","",Data_1[[#This Row],[Customer]])</f>
        <v>505</v>
      </c>
      <c r="B49" s="36" t="str">
        <f>IF(Data_1[[#This Row],[Column2]]="","",Data_1[[#This Row],[Column2]])</f>
        <v>พัน.สร.5</v>
      </c>
      <c r="C49" s="36" t="str">
        <f>IF(Data_1[[#This Row],[Column3]]="","",Data_1[[#This Row],[Column3]])</f>
        <v>5th Combat Medical Battalion</v>
      </c>
      <c r="D49" s="36" t="str">
        <f>IF(Data_1[[#This Row],[Column4]]="","",Data_1[[#This Row],[Column4]])</f>
        <v>181 Kapang, Thungsong</v>
      </c>
      <c r="E49" s="36" t="str">
        <f>IF(Data_1[[#This Row],[Column5]]="","",Data_1[[#This Row],[Column5]])</f>
        <v>Nakhon Si Thammarat</v>
      </c>
      <c r="F49" s="36">
        <f>IF(Data_1[[#This Row],[Column6]]="","",Data_1[[#This Row],[Column6]])</f>
        <v>80310</v>
      </c>
    </row>
    <row r="50" spans="1:6" x14ac:dyDescent="0.2">
      <c r="A50" s="36">
        <f>IF(Data_1[[#This Row],[Customer]]="","",Data_1[[#This Row],[Customer]])</f>
        <v>506</v>
      </c>
      <c r="B50" s="36" t="str">
        <f>IF(Data_1[[#This Row],[Column2]]="","",Data_1[[#This Row],[Column2]])</f>
        <v>พัน.สร.6</v>
      </c>
      <c r="C50" s="36" t="str">
        <f>IF(Data_1[[#This Row],[Column3]]="","",Data_1[[#This Row],[Column3]])</f>
        <v>6th Combat Medical Battalion</v>
      </c>
      <c r="D50" s="36" t="str">
        <f>IF(Data_1[[#This Row],[Column4]]="","",Data_1[[#This Row],[Column4]])</f>
        <v>119 , Phosai, Srisomdet</v>
      </c>
      <c r="E50" s="36" t="str">
        <f>IF(Data_1[[#This Row],[Column5]]="","",Data_1[[#This Row],[Column5]])</f>
        <v>Roi Et</v>
      </c>
      <c r="F50" s="36">
        <f>IF(Data_1[[#This Row],[Column6]]="","",Data_1[[#This Row],[Column6]])</f>
        <v>45280</v>
      </c>
    </row>
    <row r="51" spans="1:6" x14ac:dyDescent="0.2">
      <c r="A51" s="36">
        <f>IF(Data_1[[#This Row],[Customer]]="","",Data_1[[#This Row],[Customer]])</f>
        <v>507</v>
      </c>
      <c r="B51" s="36" t="str">
        <f>IF(Data_1[[#This Row],[Column2]]="","",Data_1[[#This Row],[Column2]])</f>
        <v>พัน.สร.8</v>
      </c>
      <c r="C51" s="36" t="str">
        <f>IF(Data_1[[#This Row],[Column3]]="","",Data_1[[#This Row],[Column3]])</f>
        <v>8th Combat Medical Battalion</v>
      </c>
      <c r="D51" s="36" t="str">
        <f>IF(Data_1[[#This Row],[Column4]]="","",Data_1[[#This Row],[Column4]])</f>
        <v>Sadiang, Mueang Phetchabun</v>
      </c>
      <c r="E51" s="36" t="str">
        <f>IF(Data_1[[#This Row],[Column5]]="","",Data_1[[#This Row],[Column5]])</f>
        <v>Phetchabun</v>
      </c>
      <c r="F51" s="36">
        <f>IF(Data_1[[#This Row],[Column6]]="","",Data_1[[#This Row],[Column6]])</f>
        <v>67000</v>
      </c>
    </row>
    <row r="52" spans="1:6" x14ac:dyDescent="0.2">
      <c r="A52" s="36">
        <f>IF(Data_1[[#This Row],[Customer]]="","",Data_1[[#This Row],[Customer]])</f>
        <v>508</v>
      </c>
      <c r="B52" s="36" t="str">
        <f>IF(Data_1[[#This Row],[Column2]]="","",Data_1[[#This Row],[Column2]])</f>
        <v>พัน.สร.กรม สน.พล.ร.9</v>
      </c>
      <c r="C52" s="36" t="str">
        <f>IF(Data_1[[#This Row],[Column3]]="","",Data_1[[#This Row],[Column3]])</f>
        <v>Combat Medical Battalion, 9th Service Support Regiment</v>
      </c>
      <c r="D52" s="36" t="str">
        <f>IF(Data_1[[#This Row],[Column4]]="","",Data_1[[#This Row],[Column4]])</f>
        <v>286 Lat Ya, Mueang Kanchanaburi</v>
      </c>
      <c r="E52" s="36" t="str">
        <f>IF(Data_1[[#This Row],[Column5]]="","",Data_1[[#This Row],[Column5]])</f>
        <v>Kanchanaburi</v>
      </c>
      <c r="F52" s="36">
        <f>IF(Data_1[[#This Row],[Column6]]="","",Data_1[[#This Row],[Column6]])</f>
        <v>71190</v>
      </c>
    </row>
    <row r="53" spans="1:6" x14ac:dyDescent="0.2">
      <c r="A53" s="36">
        <f>IF(Data_1[[#This Row],[Customer]]="","",Data_1[[#This Row],[Customer]])</f>
        <v>509</v>
      </c>
      <c r="B53" s="36" t="str">
        <f>IF(Data_1[[#This Row],[Column2]]="","",Data_1[[#This Row],[Column2]])</f>
        <v>พัน.สร.13</v>
      </c>
      <c r="C53" s="36" t="str">
        <f>IF(Data_1[[#This Row],[Column3]]="","",Data_1[[#This Row],[Column3]])</f>
        <v>13th Combat Medical Battalion</v>
      </c>
      <c r="D53" s="36" t="str">
        <f>IF(Data_1[[#This Row],[Column4]]="","",Data_1[[#This Row],[Column4]])</f>
        <v>51/8 Thahan, Nakhonchaisri, Dusit</v>
      </c>
      <c r="E53" s="36" t="str">
        <f>IF(Data_1[[#This Row],[Column5]]="","",Data_1[[#This Row],[Column5]])</f>
        <v>Bangkok</v>
      </c>
      <c r="F53" s="36">
        <f>IF(Data_1[[#This Row],[Column6]]="","",Data_1[[#This Row],[Column6]])</f>
        <v>10300</v>
      </c>
    </row>
    <row r="54" spans="1:6" x14ac:dyDescent="0.2">
      <c r="A54" s="36">
        <f>IF(Data_1[[#This Row],[Customer]]="","",Data_1[[#This Row],[Customer]])</f>
        <v>510</v>
      </c>
      <c r="B54" s="36" t="str">
        <f>IF(Data_1[[#This Row],[Column2]]="","",Data_1[[#This Row],[Column2]])</f>
        <v>พัน.สร.กรม สน.พล.ร.15</v>
      </c>
      <c r="C54" s="36" t="str">
        <f>IF(Data_1[[#This Row],[Column3]]="","",Data_1[[#This Row],[Column3]])</f>
        <v>Combat Medical Battalion, 15th Service Support Regiment</v>
      </c>
      <c r="D54" s="36" t="str">
        <f>IF(Data_1[[#This Row],[Column4]]="","",Data_1[[#This Row],[Column4]])</f>
        <v>108 Koh sa bha, Thepha</v>
      </c>
      <c r="E54" s="36" t="str">
        <f>IF(Data_1[[#This Row],[Column5]]="","",Data_1[[#This Row],[Column5]])</f>
        <v>Songkhla</v>
      </c>
      <c r="F54" s="36">
        <f>IF(Data_1[[#This Row],[Column6]]="","",Data_1[[#This Row],[Column6]])</f>
        <v>90150</v>
      </c>
    </row>
    <row r="55" spans="1:6" x14ac:dyDescent="0.2">
      <c r="A55" s="36">
        <f>IF(Data_1[[#This Row],[Customer]]="","",Data_1[[#This Row],[Customer]])</f>
        <v>511</v>
      </c>
      <c r="B55" s="36" t="str">
        <f>IF(Data_1[[#This Row],[Column2]]="","",Data_1[[#This Row],[Column2]])</f>
        <v>พัน.สร.22 บชร.2</v>
      </c>
      <c r="C55" s="36" t="str">
        <f>IF(Data_1[[#This Row],[Column3]]="","",Data_1[[#This Row],[Column3]])</f>
        <v>22nd Combat Medical Battalion</v>
      </c>
      <c r="D55" s="36" t="str">
        <f>IF(Data_1[[#This Row],[Column4]]="","",Data_1[[#This Row],[Column4]])</f>
        <v>Nong Phai lom, Muang Nakhon Ratchasima</v>
      </c>
      <c r="E55" s="36" t="str">
        <f>IF(Data_1[[#This Row],[Column5]]="","",Data_1[[#This Row],[Column5]])</f>
        <v>Nakhon Ratchasima</v>
      </c>
      <c r="F55" s="36">
        <f>IF(Data_1[[#This Row],[Column6]]="","",Data_1[[#This Row],[Column6]])</f>
        <v>30000</v>
      </c>
    </row>
    <row r="56" spans="1:6" x14ac:dyDescent="0.2">
      <c r="A56" s="36">
        <f>IF(Data_1[[#This Row],[Customer]]="","",Data_1[[#This Row],[Customer]])</f>
        <v>512</v>
      </c>
      <c r="B56" s="36" t="str">
        <f>IF(Data_1[[#This Row],[Column2]]="","",Data_1[[#This Row],[Column2]])</f>
        <v>พัน.สร.23 บชร.3</v>
      </c>
      <c r="C56" s="36" t="str">
        <f>IF(Data_1[[#This Row],[Column3]]="","",Data_1[[#This Row],[Column3]])</f>
        <v>23rd Combat Medical Battalion</v>
      </c>
      <c r="D56" s="36" t="str">
        <f>IF(Data_1[[#This Row],[Column4]]="","",Data_1[[#This Row],[Column4]])</f>
        <v>Aranyik, Mueang Phitsanulok</v>
      </c>
      <c r="E56" s="36" t="str">
        <f>IF(Data_1[[#This Row],[Column5]]="","",Data_1[[#This Row],[Column5]])</f>
        <v>Phitsanulok</v>
      </c>
      <c r="F56" s="36">
        <f>IF(Data_1[[#This Row],[Column6]]="","",Data_1[[#This Row],[Column6]])</f>
        <v>65000</v>
      </c>
    </row>
    <row r="57" spans="1:6" x14ac:dyDescent="0.2">
      <c r="A57" s="36">
        <f>IF(Data_1[[#This Row],[Customer]]="","",Data_1[[#This Row],[Customer]])</f>
        <v>513</v>
      </c>
      <c r="B57" s="36" t="str">
        <f>IF(Data_1[[#This Row],[Column2]]="","",Data_1[[#This Row],[Column2]])</f>
        <v>ควภ.บชร.4</v>
      </c>
      <c r="C57" s="36" t="str">
        <f>IF(Data_1[[#This Row],[Column3]]="","",Data_1[[#This Row],[Column3]])</f>
        <v>4th Army Support Command</v>
      </c>
      <c r="D57" s="36" t="str">
        <f>IF(Data_1[[#This Row],[Column4]]="","",Data_1[[#This Row],[Column4]])</f>
        <v>181 Kapang, Thungsong</v>
      </c>
      <c r="E57" s="36" t="str">
        <f>IF(Data_1[[#This Row],[Column5]]="","",Data_1[[#This Row],[Column5]])</f>
        <v>Nakhon Si Thammarat</v>
      </c>
      <c r="F57" s="36">
        <f>IF(Data_1[[#This Row],[Column6]]="","",Data_1[[#This Row],[Column6]])</f>
        <v>80310</v>
      </c>
    </row>
    <row r="58" spans="1:6" x14ac:dyDescent="0.2">
      <c r="A58" s="36" t="e">
        <f>IF(Data_1[[#This Row],[Customer]]="","",Data_1[[#This Row],[Customer]])</f>
        <v>#VALUE!</v>
      </c>
      <c r="B58" s="36" t="e">
        <f>IF(Data_1[[#This Row],[Column2]]="","",Data_1[[#This Row],[Column2]])</f>
        <v>#VALUE!</v>
      </c>
      <c r="C58" s="36" t="e">
        <f>IF(Data_1[[#This Row],[Column3]]="","",Data_1[[#This Row],[Column3]])</f>
        <v>#VALUE!</v>
      </c>
      <c r="D58" s="36" t="e">
        <f>IF(Data_1[[#This Row],[Column4]]="","",Data_1[[#This Row],[Column4]])</f>
        <v>#VALUE!</v>
      </c>
      <c r="E58" s="36" t="e">
        <f>IF(Data_1[[#This Row],[Column5]]="","",Data_1[[#This Row],[Column5]])</f>
        <v>#VALUE!</v>
      </c>
      <c r="F58" s="36" t="e">
        <f>IF(Data_1[[#This Row],[Column6]]="","",Data_1[[#This Row],[Column6]])</f>
        <v>#VALUE!</v>
      </c>
    </row>
    <row r="59" spans="1:6" x14ac:dyDescent="0.2">
      <c r="A59" s="36" t="e">
        <f>IF(Data_1[[#This Row],[Customer]]="","",Data_1[[#This Row],[Customer]])</f>
        <v>#VALUE!</v>
      </c>
      <c r="B59" s="36" t="e">
        <f>IF(Data_1[[#This Row],[Column2]]="","",Data_1[[#This Row],[Column2]])</f>
        <v>#VALUE!</v>
      </c>
      <c r="C59" s="36" t="e">
        <f>IF(Data_1[[#This Row],[Column3]]="","",Data_1[[#This Row],[Column3]])</f>
        <v>#VALUE!</v>
      </c>
      <c r="D59" s="36" t="e">
        <f>IF(Data_1[[#This Row],[Column4]]="","",Data_1[[#This Row],[Column4]])</f>
        <v>#VALUE!</v>
      </c>
      <c r="E59" s="36" t="e">
        <f>IF(Data_1[[#This Row],[Column5]]="","",Data_1[[#This Row],[Column5]])</f>
        <v>#VALUE!</v>
      </c>
      <c r="F59" s="36" t="e">
        <f>IF(Data_1[[#This Row],[Column6]]="","",Data_1[[#This Row],[Column6]])</f>
        <v>#VALUE!</v>
      </c>
    </row>
  </sheetData>
  <mergeCells count="2">
    <mergeCell ref="H1:I1"/>
    <mergeCell ref="A1:F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91BD-AFCD-40CA-9F19-F01E1C2D3CED}">
  <dimension ref="A1:K57"/>
  <sheetViews>
    <sheetView topLeftCell="D1" workbookViewId="0">
      <selection activeCell="A54" sqref="A54"/>
    </sheetView>
  </sheetViews>
  <sheetFormatPr defaultRowHeight="12.75" x14ac:dyDescent="0.2"/>
  <cols>
    <col min="1" max="1" width="11.85546875" bestFit="1" customWidth="1"/>
    <col min="2" max="2" width="31.28515625" bestFit="1" customWidth="1"/>
    <col min="3" max="3" width="51.5703125" bestFit="1" customWidth="1"/>
    <col min="4" max="4" width="54.7109375" bestFit="1" customWidth="1"/>
    <col min="5" max="5" width="19.7109375" bestFit="1" customWidth="1"/>
    <col min="6" max="7" width="11.28515625" bestFit="1" customWidth="1"/>
    <col min="8" max="8" width="29.85546875" bestFit="1" customWidth="1"/>
    <col min="9" max="9" width="11.28515625" bestFit="1" customWidth="1"/>
    <col min="10" max="10" width="12.28515625" bestFit="1" customWidth="1"/>
    <col min="11" max="11" width="44.7109375" bestFit="1" customWidth="1"/>
  </cols>
  <sheetData>
    <row r="1" spans="1:11" x14ac:dyDescent="0.2">
      <c r="A1" t="s">
        <v>74</v>
      </c>
      <c r="B1" t="s">
        <v>448</v>
      </c>
      <c r="C1" t="s">
        <v>449</v>
      </c>
      <c r="D1" t="s">
        <v>450</v>
      </c>
      <c r="E1" t="s">
        <v>451</v>
      </c>
      <c r="F1" t="s">
        <v>452</v>
      </c>
      <c r="G1" t="s">
        <v>453</v>
      </c>
      <c r="H1" t="s">
        <v>276</v>
      </c>
      <c r="I1" t="s">
        <v>455</v>
      </c>
      <c r="J1" t="s">
        <v>456</v>
      </c>
      <c r="K1" t="s">
        <v>12</v>
      </c>
    </row>
    <row r="2" spans="1:11" x14ac:dyDescent="0.2">
      <c r="A2" t="s">
        <v>48</v>
      </c>
      <c r="B2" t="s">
        <v>180</v>
      </c>
      <c r="C2" t="s">
        <v>275</v>
      </c>
      <c r="D2" t="s">
        <v>273</v>
      </c>
      <c r="E2" t="s">
        <v>274</v>
      </c>
      <c r="F2" t="s">
        <v>181</v>
      </c>
      <c r="H2" t="s">
        <v>98</v>
      </c>
      <c r="I2" t="s">
        <v>278</v>
      </c>
      <c r="K2" t="s">
        <v>167</v>
      </c>
    </row>
    <row r="3" spans="1:11" x14ac:dyDescent="0.2">
      <c r="A3">
        <v>101</v>
      </c>
      <c r="B3" t="s">
        <v>120</v>
      </c>
      <c r="C3" t="s">
        <v>119</v>
      </c>
      <c r="D3" t="s">
        <v>182</v>
      </c>
      <c r="E3" t="s">
        <v>175</v>
      </c>
      <c r="F3">
        <v>10400</v>
      </c>
      <c r="H3" t="s">
        <v>423</v>
      </c>
      <c r="I3" t="s">
        <v>168</v>
      </c>
      <c r="K3" t="s">
        <v>113</v>
      </c>
    </row>
    <row r="4" spans="1:11" x14ac:dyDescent="0.2">
      <c r="A4">
        <v>102</v>
      </c>
      <c r="B4" t="s">
        <v>183</v>
      </c>
      <c r="C4" t="s">
        <v>174</v>
      </c>
      <c r="D4" t="s">
        <v>184</v>
      </c>
      <c r="E4" t="s">
        <v>175</v>
      </c>
      <c r="F4">
        <v>10400</v>
      </c>
      <c r="H4" t="s">
        <v>97</v>
      </c>
      <c r="I4" t="s">
        <v>169</v>
      </c>
      <c r="K4" t="s">
        <v>114</v>
      </c>
    </row>
    <row r="5" spans="1:11" x14ac:dyDescent="0.2">
      <c r="A5">
        <v>103</v>
      </c>
      <c r="B5" t="s">
        <v>121</v>
      </c>
      <c r="C5" t="s">
        <v>185</v>
      </c>
      <c r="D5" t="s">
        <v>186</v>
      </c>
      <c r="E5" t="s">
        <v>175</v>
      </c>
      <c r="F5">
        <v>10400</v>
      </c>
      <c r="H5" t="s">
        <v>414</v>
      </c>
      <c r="I5" t="s">
        <v>428</v>
      </c>
      <c r="K5" t="s">
        <v>176</v>
      </c>
    </row>
    <row r="6" spans="1:11" x14ac:dyDescent="0.2">
      <c r="A6">
        <v>104</v>
      </c>
      <c r="B6" t="s">
        <v>123</v>
      </c>
      <c r="C6" t="s">
        <v>311</v>
      </c>
      <c r="D6" t="s">
        <v>298</v>
      </c>
      <c r="E6" t="s">
        <v>283</v>
      </c>
      <c r="F6">
        <v>15000</v>
      </c>
      <c r="H6" t="s">
        <v>415</v>
      </c>
      <c r="I6" t="s">
        <v>170</v>
      </c>
      <c r="K6" t="s">
        <v>177</v>
      </c>
    </row>
    <row r="7" spans="1:11" x14ac:dyDescent="0.2">
      <c r="A7">
        <v>105</v>
      </c>
      <c r="B7" t="s">
        <v>122</v>
      </c>
      <c r="C7" t="s">
        <v>187</v>
      </c>
      <c r="D7" t="s">
        <v>299</v>
      </c>
      <c r="E7" t="s">
        <v>284</v>
      </c>
      <c r="F7">
        <v>77120</v>
      </c>
      <c r="H7" t="s">
        <v>429</v>
      </c>
      <c r="I7" t="s">
        <v>430</v>
      </c>
      <c r="K7" t="s">
        <v>178</v>
      </c>
    </row>
    <row r="8" spans="1:11" x14ac:dyDescent="0.2">
      <c r="A8">
        <v>106</v>
      </c>
      <c r="B8" t="s">
        <v>188</v>
      </c>
      <c r="C8" t="s">
        <v>189</v>
      </c>
      <c r="D8" t="s">
        <v>190</v>
      </c>
      <c r="E8" t="s">
        <v>191</v>
      </c>
      <c r="F8">
        <v>26001</v>
      </c>
      <c r="H8" t="s">
        <v>416</v>
      </c>
      <c r="I8" t="s">
        <v>171</v>
      </c>
      <c r="K8" t="s">
        <v>179</v>
      </c>
    </row>
    <row r="9" spans="1:11" x14ac:dyDescent="0.2">
      <c r="A9">
        <v>107</v>
      </c>
      <c r="B9" t="s">
        <v>125</v>
      </c>
      <c r="C9" t="s">
        <v>192</v>
      </c>
      <c r="D9" t="s">
        <v>193</v>
      </c>
      <c r="E9" t="s">
        <v>285</v>
      </c>
      <c r="F9">
        <v>25000</v>
      </c>
      <c r="H9" t="s">
        <v>417</v>
      </c>
      <c r="I9" t="s">
        <v>171</v>
      </c>
      <c r="K9" t="s">
        <v>115</v>
      </c>
    </row>
    <row r="10" spans="1:11" x14ac:dyDescent="0.2">
      <c r="A10">
        <v>108</v>
      </c>
      <c r="B10" t="s">
        <v>128</v>
      </c>
      <c r="C10" t="s">
        <v>194</v>
      </c>
      <c r="D10" t="s">
        <v>195</v>
      </c>
      <c r="E10" t="s">
        <v>196</v>
      </c>
      <c r="F10">
        <v>71190</v>
      </c>
      <c r="H10" t="s">
        <v>418</v>
      </c>
      <c r="I10" t="s">
        <v>171</v>
      </c>
      <c r="K10" t="s">
        <v>116</v>
      </c>
    </row>
    <row r="11" spans="1:11" x14ac:dyDescent="0.2">
      <c r="A11">
        <v>109</v>
      </c>
      <c r="B11" t="s">
        <v>126</v>
      </c>
      <c r="C11" t="s">
        <v>197</v>
      </c>
      <c r="D11" t="s">
        <v>198</v>
      </c>
      <c r="E11" t="s">
        <v>199</v>
      </c>
      <c r="F11">
        <v>27120</v>
      </c>
      <c r="H11" t="s">
        <v>419</v>
      </c>
      <c r="I11" t="s">
        <v>171</v>
      </c>
      <c r="K11" t="s">
        <v>117</v>
      </c>
    </row>
    <row r="12" spans="1:11" x14ac:dyDescent="0.2">
      <c r="A12">
        <v>110</v>
      </c>
      <c r="B12" t="s">
        <v>129</v>
      </c>
      <c r="C12" t="s">
        <v>200</v>
      </c>
      <c r="D12" t="s">
        <v>201</v>
      </c>
      <c r="E12" t="s">
        <v>202</v>
      </c>
      <c r="F12">
        <v>70000</v>
      </c>
      <c r="H12" t="s">
        <v>420</v>
      </c>
      <c r="I12" t="s">
        <v>514</v>
      </c>
      <c r="K12" t="s">
        <v>118</v>
      </c>
    </row>
    <row r="13" spans="1:11" x14ac:dyDescent="0.2">
      <c r="A13">
        <v>111</v>
      </c>
      <c r="B13" t="s">
        <v>124</v>
      </c>
      <c r="C13" t="s">
        <v>404</v>
      </c>
      <c r="D13" t="s">
        <v>300</v>
      </c>
      <c r="E13" t="s">
        <v>203</v>
      </c>
      <c r="F13">
        <v>18000</v>
      </c>
      <c r="H13" t="s">
        <v>431</v>
      </c>
      <c r="I13" t="s">
        <v>172</v>
      </c>
    </row>
    <row r="14" spans="1:11" x14ac:dyDescent="0.2">
      <c r="A14">
        <v>112</v>
      </c>
      <c r="B14" t="s">
        <v>127</v>
      </c>
      <c r="C14" t="s">
        <v>405</v>
      </c>
      <c r="D14" t="s">
        <v>204</v>
      </c>
      <c r="E14" t="s">
        <v>286</v>
      </c>
      <c r="F14">
        <v>20000</v>
      </c>
      <c r="H14" t="s">
        <v>425</v>
      </c>
      <c r="I14" t="s">
        <v>172</v>
      </c>
    </row>
    <row r="15" spans="1:11" x14ac:dyDescent="0.2">
      <c r="A15">
        <v>113</v>
      </c>
      <c r="B15" t="s">
        <v>130</v>
      </c>
      <c r="C15" t="s">
        <v>205</v>
      </c>
      <c r="D15" t="s">
        <v>301</v>
      </c>
      <c r="E15" t="s">
        <v>287</v>
      </c>
      <c r="F15">
        <v>76000</v>
      </c>
      <c r="H15" t="s">
        <v>421</v>
      </c>
      <c r="I15" t="s">
        <v>172</v>
      </c>
    </row>
    <row r="16" spans="1:11" x14ac:dyDescent="0.2">
      <c r="A16">
        <v>114</v>
      </c>
      <c r="B16" t="s">
        <v>505</v>
      </c>
      <c r="C16" t="s">
        <v>506</v>
      </c>
      <c r="D16" t="s">
        <v>507</v>
      </c>
      <c r="E16" t="s">
        <v>175</v>
      </c>
      <c r="F16">
        <v>10400</v>
      </c>
      <c r="H16" t="s">
        <v>422</v>
      </c>
      <c r="I16" t="s">
        <v>172</v>
      </c>
    </row>
    <row r="17" spans="1:9" x14ac:dyDescent="0.2">
      <c r="A17">
        <v>115</v>
      </c>
      <c r="B17" t="s">
        <v>508</v>
      </c>
      <c r="C17" t="s">
        <v>509</v>
      </c>
      <c r="D17" t="s">
        <v>510</v>
      </c>
      <c r="E17" t="s">
        <v>175</v>
      </c>
      <c r="F17">
        <v>10400</v>
      </c>
      <c r="H17" t="s">
        <v>432</v>
      </c>
      <c r="I17" t="s">
        <v>173</v>
      </c>
    </row>
    <row r="18" spans="1:9" x14ac:dyDescent="0.2">
      <c r="A18">
        <v>116</v>
      </c>
      <c r="B18" t="s">
        <v>511</v>
      </c>
      <c r="C18" t="s">
        <v>512</v>
      </c>
      <c r="D18" t="s">
        <v>513</v>
      </c>
      <c r="E18" t="s">
        <v>175</v>
      </c>
      <c r="F18">
        <v>10400</v>
      </c>
    </row>
    <row r="19" spans="1:9" x14ac:dyDescent="0.2">
      <c r="A19">
        <v>201</v>
      </c>
      <c r="B19" t="s">
        <v>131</v>
      </c>
      <c r="C19" t="s">
        <v>206</v>
      </c>
      <c r="D19" t="s">
        <v>207</v>
      </c>
      <c r="E19" t="s">
        <v>288</v>
      </c>
      <c r="F19">
        <v>30000</v>
      </c>
    </row>
    <row r="20" spans="1:9" x14ac:dyDescent="0.2">
      <c r="A20">
        <v>202</v>
      </c>
      <c r="B20" t="s">
        <v>138</v>
      </c>
      <c r="C20" t="s">
        <v>208</v>
      </c>
      <c r="D20" t="s">
        <v>302</v>
      </c>
      <c r="E20" t="s">
        <v>488</v>
      </c>
      <c r="F20">
        <v>34190</v>
      </c>
    </row>
    <row r="21" spans="1:9" x14ac:dyDescent="0.2">
      <c r="A21">
        <v>203</v>
      </c>
      <c r="B21" t="s">
        <v>136</v>
      </c>
      <c r="C21" t="s">
        <v>209</v>
      </c>
      <c r="D21" t="s">
        <v>210</v>
      </c>
      <c r="E21" t="s">
        <v>211</v>
      </c>
      <c r="F21">
        <v>41000</v>
      </c>
    </row>
    <row r="22" spans="1:9" x14ac:dyDescent="0.2">
      <c r="A22">
        <v>204</v>
      </c>
      <c r="B22" t="s">
        <v>134</v>
      </c>
      <c r="C22" t="s">
        <v>212</v>
      </c>
      <c r="D22" t="s">
        <v>424</v>
      </c>
      <c r="E22" t="s">
        <v>213</v>
      </c>
      <c r="F22">
        <v>45280</v>
      </c>
    </row>
    <row r="23" spans="1:9" x14ac:dyDescent="0.2">
      <c r="A23">
        <v>205</v>
      </c>
      <c r="B23" t="s">
        <v>133</v>
      </c>
      <c r="C23" t="s">
        <v>312</v>
      </c>
      <c r="D23" t="s">
        <v>303</v>
      </c>
      <c r="E23" t="s">
        <v>289</v>
      </c>
      <c r="F23">
        <v>32000</v>
      </c>
    </row>
    <row r="24" spans="1:9" x14ac:dyDescent="0.2">
      <c r="A24">
        <v>206</v>
      </c>
      <c r="B24" t="s">
        <v>139</v>
      </c>
      <c r="C24" t="s">
        <v>214</v>
      </c>
      <c r="D24" t="s">
        <v>304</v>
      </c>
      <c r="E24" t="s">
        <v>290</v>
      </c>
      <c r="F24">
        <v>47000</v>
      </c>
    </row>
    <row r="25" spans="1:9" x14ac:dyDescent="0.2">
      <c r="A25">
        <v>207</v>
      </c>
      <c r="B25" t="s">
        <v>135</v>
      </c>
      <c r="C25" t="s">
        <v>408</v>
      </c>
      <c r="D25" t="s">
        <v>305</v>
      </c>
      <c r="E25" t="s">
        <v>291</v>
      </c>
      <c r="F25">
        <v>40000</v>
      </c>
    </row>
    <row r="26" spans="1:9" x14ac:dyDescent="0.2">
      <c r="A26">
        <v>208</v>
      </c>
      <c r="B26" t="s">
        <v>132</v>
      </c>
      <c r="C26" t="s">
        <v>409</v>
      </c>
      <c r="D26" t="s">
        <v>306</v>
      </c>
      <c r="E26" t="s">
        <v>292</v>
      </c>
      <c r="F26">
        <v>31000</v>
      </c>
    </row>
    <row r="27" spans="1:9" x14ac:dyDescent="0.2">
      <c r="A27">
        <v>209</v>
      </c>
      <c r="B27" t="s">
        <v>137</v>
      </c>
      <c r="C27" t="s">
        <v>215</v>
      </c>
      <c r="D27" t="s">
        <v>307</v>
      </c>
      <c r="E27" t="s">
        <v>216</v>
      </c>
      <c r="F27">
        <v>42100</v>
      </c>
    </row>
    <row r="28" spans="1:9" x14ac:dyDescent="0.2">
      <c r="A28">
        <v>210</v>
      </c>
      <c r="B28" t="s">
        <v>400</v>
      </c>
      <c r="C28" t="s">
        <v>401</v>
      </c>
      <c r="D28" t="s">
        <v>402</v>
      </c>
      <c r="E28" t="s">
        <v>403</v>
      </c>
      <c r="F28">
        <v>48000</v>
      </c>
    </row>
    <row r="29" spans="1:9" x14ac:dyDescent="0.2">
      <c r="A29">
        <v>301</v>
      </c>
      <c r="B29" t="s">
        <v>394</v>
      </c>
      <c r="C29" t="s">
        <v>217</v>
      </c>
      <c r="D29" t="s">
        <v>218</v>
      </c>
      <c r="E29" t="s">
        <v>258</v>
      </c>
      <c r="F29">
        <v>65000</v>
      </c>
    </row>
    <row r="30" spans="1:9" x14ac:dyDescent="0.2">
      <c r="A30">
        <v>302</v>
      </c>
      <c r="B30" t="s">
        <v>140</v>
      </c>
      <c r="C30" t="s">
        <v>406</v>
      </c>
      <c r="D30" t="s">
        <v>308</v>
      </c>
      <c r="E30" t="s">
        <v>219</v>
      </c>
      <c r="F30">
        <v>60000</v>
      </c>
    </row>
    <row r="31" spans="1:9" x14ac:dyDescent="0.2">
      <c r="A31">
        <v>303</v>
      </c>
      <c r="B31" t="s">
        <v>146</v>
      </c>
      <c r="C31" t="s">
        <v>313</v>
      </c>
      <c r="D31" t="s">
        <v>220</v>
      </c>
      <c r="E31" t="s">
        <v>221</v>
      </c>
      <c r="F31">
        <v>50000</v>
      </c>
    </row>
    <row r="32" spans="1:9" x14ac:dyDescent="0.2">
      <c r="A32">
        <v>304</v>
      </c>
      <c r="B32" t="s">
        <v>147</v>
      </c>
      <c r="C32" t="s">
        <v>222</v>
      </c>
      <c r="D32" t="s">
        <v>309</v>
      </c>
      <c r="E32" t="s">
        <v>293</v>
      </c>
      <c r="F32">
        <v>57000</v>
      </c>
    </row>
    <row r="33" spans="1:6" x14ac:dyDescent="0.2">
      <c r="A33">
        <v>305</v>
      </c>
      <c r="B33" t="s">
        <v>143</v>
      </c>
      <c r="C33" t="s">
        <v>223</v>
      </c>
      <c r="D33" t="s">
        <v>224</v>
      </c>
      <c r="E33" t="s">
        <v>225</v>
      </c>
      <c r="F33">
        <v>53000</v>
      </c>
    </row>
    <row r="34" spans="1:6" x14ac:dyDescent="0.2">
      <c r="A34">
        <v>306</v>
      </c>
      <c r="B34" t="s">
        <v>226</v>
      </c>
      <c r="C34" t="s">
        <v>144</v>
      </c>
      <c r="D34" t="s">
        <v>227</v>
      </c>
      <c r="E34" t="s">
        <v>228</v>
      </c>
      <c r="F34">
        <v>52000</v>
      </c>
    </row>
    <row r="35" spans="1:6" x14ac:dyDescent="0.2">
      <c r="A35">
        <v>307</v>
      </c>
      <c r="B35" t="s">
        <v>141</v>
      </c>
      <c r="C35" t="s">
        <v>229</v>
      </c>
      <c r="D35" t="s">
        <v>230</v>
      </c>
      <c r="E35" t="s">
        <v>263</v>
      </c>
      <c r="F35">
        <v>67000</v>
      </c>
    </row>
    <row r="36" spans="1:6" x14ac:dyDescent="0.2">
      <c r="A36">
        <v>308</v>
      </c>
      <c r="B36" t="s">
        <v>142</v>
      </c>
      <c r="C36" t="s">
        <v>231</v>
      </c>
      <c r="D36" t="s">
        <v>310</v>
      </c>
      <c r="E36" t="s">
        <v>294</v>
      </c>
      <c r="F36">
        <v>63000</v>
      </c>
    </row>
    <row r="37" spans="1:6" x14ac:dyDescent="0.2">
      <c r="A37">
        <v>309</v>
      </c>
      <c r="B37" t="s">
        <v>232</v>
      </c>
      <c r="C37" t="s">
        <v>407</v>
      </c>
      <c r="D37" t="s">
        <v>233</v>
      </c>
      <c r="E37" t="s">
        <v>234</v>
      </c>
      <c r="F37">
        <v>56000</v>
      </c>
    </row>
    <row r="38" spans="1:6" x14ac:dyDescent="0.2">
      <c r="A38">
        <v>310</v>
      </c>
      <c r="B38" t="s">
        <v>145</v>
      </c>
      <c r="C38" t="s">
        <v>235</v>
      </c>
      <c r="D38" t="s">
        <v>236</v>
      </c>
      <c r="E38" t="s">
        <v>237</v>
      </c>
      <c r="F38">
        <v>55000</v>
      </c>
    </row>
    <row r="39" spans="1:6" x14ac:dyDescent="0.2">
      <c r="A39">
        <v>401</v>
      </c>
      <c r="B39" t="s">
        <v>150</v>
      </c>
      <c r="C39" t="s">
        <v>238</v>
      </c>
      <c r="D39" t="s">
        <v>239</v>
      </c>
      <c r="E39" t="s">
        <v>282</v>
      </c>
      <c r="F39">
        <v>80000</v>
      </c>
    </row>
    <row r="40" spans="1:6" x14ac:dyDescent="0.2">
      <c r="A40">
        <v>402</v>
      </c>
      <c r="B40" t="s">
        <v>152</v>
      </c>
      <c r="C40" t="s">
        <v>399</v>
      </c>
      <c r="D40" t="s">
        <v>240</v>
      </c>
      <c r="E40" t="s">
        <v>241</v>
      </c>
      <c r="F40">
        <v>90110</v>
      </c>
    </row>
    <row r="41" spans="1:6" x14ac:dyDescent="0.2">
      <c r="A41">
        <v>403</v>
      </c>
      <c r="B41" t="s">
        <v>149</v>
      </c>
      <c r="C41" t="s">
        <v>242</v>
      </c>
      <c r="D41" t="s">
        <v>243</v>
      </c>
      <c r="E41" t="s">
        <v>244</v>
      </c>
      <c r="F41">
        <v>84000</v>
      </c>
    </row>
    <row r="42" spans="1:6" x14ac:dyDescent="0.2">
      <c r="A42">
        <v>404</v>
      </c>
      <c r="B42" t="s">
        <v>151</v>
      </c>
      <c r="C42" t="s">
        <v>245</v>
      </c>
      <c r="D42" t="s">
        <v>246</v>
      </c>
      <c r="E42" t="s">
        <v>282</v>
      </c>
      <c r="F42">
        <v>80310</v>
      </c>
    </row>
    <row r="43" spans="1:6" x14ac:dyDescent="0.2">
      <c r="A43">
        <v>405</v>
      </c>
      <c r="B43" t="s">
        <v>153</v>
      </c>
      <c r="C43" t="s">
        <v>247</v>
      </c>
      <c r="D43" t="s">
        <v>248</v>
      </c>
      <c r="E43" t="s">
        <v>249</v>
      </c>
      <c r="F43">
        <v>94170</v>
      </c>
    </row>
    <row r="44" spans="1:6" x14ac:dyDescent="0.2">
      <c r="A44">
        <v>406</v>
      </c>
      <c r="B44" t="s">
        <v>148</v>
      </c>
      <c r="C44" t="s">
        <v>250</v>
      </c>
      <c r="D44" t="s">
        <v>490</v>
      </c>
      <c r="E44" t="s">
        <v>295</v>
      </c>
      <c r="F44">
        <v>86190</v>
      </c>
    </row>
    <row r="45" spans="1:6" x14ac:dyDescent="0.2">
      <c r="A45">
        <v>501</v>
      </c>
      <c r="B45" t="s">
        <v>154</v>
      </c>
      <c r="C45" t="s">
        <v>251</v>
      </c>
      <c r="D45" t="s">
        <v>297</v>
      </c>
      <c r="E45" t="s">
        <v>283</v>
      </c>
      <c r="F45">
        <v>15000</v>
      </c>
    </row>
    <row r="46" spans="1:6" x14ac:dyDescent="0.2">
      <c r="A46">
        <v>502</v>
      </c>
      <c r="B46" t="s">
        <v>155</v>
      </c>
      <c r="C46" t="s">
        <v>252</v>
      </c>
      <c r="D46" t="s">
        <v>253</v>
      </c>
      <c r="E46" t="s">
        <v>285</v>
      </c>
      <c r="F46">
        <v>25230</v>
      </c>
    </row>
    <row r="47" spans="1:6" x14ac:dyDescent="0.2">
      <c r="A47">
        <v>503</v>
      </c>
      <c r="B47" t="s">
        <v>156</v>
      </c>
      <c r="C47" t="s">
        <v>254</v>
      </c>
      <c r="D47" t="s">
        <v>255</v>
      </c>
      <c r="E47" t="s">
        <v>288</v>
      </c>
      <c r="F47">
        <v>30000</v>
      </c>
    </row>
    <row r="48" spans="1:6" x14ac:dyDescent="0.2">
      <c r="A48">
        <v>504</v>
      </c>
      <c r="B48" t="s">
        <v>157</v>
      </c>
      <c r="C48" t="s">
        <v>256</v>
      </c>
      <c r="D48" t="s">
        <v>257</v>
      </c>
      <c r="E48" t="s">
        <v>258</v>
      </c>
      <c r="F48">
        <v>65000</v>
      </c>
    </row>
    <row r="49" spans="1:6" x14ac:dyDescent="0.2">
      <c r="A49">
        <v>505</v>
      </c>
      <c r="B49" t="s">
        <v>158</v>
      </c>
      <c r="C49" t="s">
        <v>259</v>
      </c>
      <c r="D49" t="s">
        <v>246</v>
      </c>
      <c r="E49" t="s">
        <v>282</v>
      </c>
      <c r="F49">
        <v>80310</v>
      </c>
    </row>
    <row r="50" spans="1:6" x14ac:dyDescent="0.2">
      <c r="A50">
        <v>506</v>
      </c>
      <c r="B50" t="s">
        <v>159</v>
      </c>
      <c r="C50" t="s">
        <v>260</v>
      </c>
      <c r="D50" t="s">
        <v>489</v>
      </c>
      <c r="E50" t="s">
        <v>213</v>
      </c>
      <c r="F50">
        <v>45280</v>
      </c>
    </row>
    <row r="51" spans="1:6" x14ac:dyDescent="0.2">
      <c r="A51">
        <v>507</v>
      </c>
      <c r="B51" t="s">
        <v>160</v>
      </c>
      <c r="C51" t="s">
        <v>261</v>
      </c>
      <c r="D51" t="s">
        <v>262</v>
      </c>
      <c r="E51" t="s">
        <v>263</v>
      </c>
      <c r="F51">
        <v>67000</v>
      </c>
    </row>
    <row r="52" spans="1:6" x14ac:dyDescent="0.2">
      <c r="A52">
        <v>508</v>
      </c>
      <c r="B52" t="s">
        <v>161</v>
      </c>
      <c r="C52" t="s">
        <v>264</v>
      </c>
      <c r="D52" t="s">
        <v>296</v>
      </c>
      <c r="E52" t="s">
        <v>196</v>
      </c>
      <c r="F52">
        <v>71190</v>
      </c>
    </row>
    <row r="53" spans="1:6" x14ac:dyDescent="0.2">
      <c r="A53">
        <v>509</v>
      </c>
      <c r="B53" t="s">
        <v>162</v>
      </c>
      <c r="C53" t="s">
        <v>265</v>
      </c>
      <c r="D53" t="s">
        <v>279</v>
      </c>
      <c r="E53" t="s">
        <v>175</v>
      </c>
      <c r="F53">
        <v>10300</v>
      </c>
    </row>
    <row r="54" spans="1:6" x14ac:dyDescent="0.2">
      <c r="A54">
        <v>510</v>
      </c>
      <c r="B54" t="s">
        <v>163</v>
      </c>
      <c r="C54" t="s">
        <v>266</v>
      </c>
      <c r="D54" t="s">
        <v>267</v>
      </c>
      <c r="E54" t="s">
        <v>241</v>
      </c>
      <c r="F54">
        <v>90150</v>
      </c>
    </row>
    <row r="55" spans="1:6" x14ac:dyDescent="0.2">
      <c r="A55">
        <v>511</v>
      </c>
      <c r="B55" t="s">
        <v>164</v>
      </c>
      <c r="C55" t="s">
        <v>268</v>
      </c>
      <c r="D55" t="s">
        <v>269</v>
      </c>
      <c r="E55" t="s">
        <v>288</v>
      </c>
      <c r="F55">
        <v>30000</v>
      </c>
    </row>
    <row r="56" spans="1:6" x14ac:dyDescent="0.2">
      <c r="A56">
        <v>512</v>
      </c>
      <c r="B56" t="s">
        <v>165</v>
      </c>
      <c r="C56" t="s">
        <v>270</v>
      </c>
      <c r="D56" t="s">
        <v>271</v>
      </c>
      <c r="E56" t="s">
        <v>258</v>
      </c>
      <c r="F56">
        <v>65000</v>
      </c>
    </row>
    <row r="57" spans="1:6" x14ac:dyDescent="0.2">
      <c r="A57">
        <v>513</v>
      </c>
      <c r="B57" t="s">
        <v>166</v>
      </c>
      <c r="C57" t="s">
        <v>272</v>
      </c>
      <c r="D57" t="s">
        <v>246</v>
      </c>
      <c r="E57" t="s">
        <v>282</v>
      </c>
      <c r="F57">
        <v>80310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E45"/>
  <sheetViews>
    <sheetView tabSelected="1" zoomScale="85" zoomScaleNormal="85" workbookViewId="0">
      <selection activeCell="BE21" sqref="BE21"/>
    </sheetView>
  </sheetViews>
  <sheetFormatPr defaultColWidth="9.140625" defaultRowHeight="15.75" x14ac:dyDescent="0.2"/>
  <cols>
    <col min="1" max="4" width="2.85546875" style="10" customWidth="1"/>
    <col min="5" max="46" width="2.7109375" style="10" customWidth="1"/>
    <col min="47" max="47" width="7.85546875" style="10" customWidth="1"/>
    <col min="48" max="48" width="11.5703125" style="10" bestFit="1" customWidth="1"/>
    <col min="49" max="49" width="14.7109375" style="23" customWidth="1"/>
    <col min="50" max="50" width="13.5703125" style="10" customWidth="1"/>
    <col min="51" max="51" width="11.42578125" style="10" customWidth="1"/>
    <col min="52" max="55" width="7.85546875" style="10" customWidth="1"/>
    <col min="56" max="56" width="8.42578125" style="10" customWidth="1"/>
    <col min="57" max="59" width="7.85546875" style="10" customWidth="1"/>
    <col min="60" max="60" width="9.140625" style="10"/>
    <col min="61" max="61" width="9.140625" style="10" customWidth="1"/>
    <col min="62" max="16384" width="9.140625" style="10"/>
  </cols>
  <sheetData>
    <row r="1" spans="1:57" ht="16.5" customHeight="1" x14ac:dyDescent="0.2">
      <c r="B1" s="30"/>
      <c r="C1" s="30"/>
      <c r="D1" s="30"/>
      <c r="E1" s="30"/>
      <c r="F1" s="30"/>
      <c r="G1" s="30"/>
      <c r="H1" s="173"/>
      <c r="J1" s="30"/>
      <c r="K1" s="30"/>
      <c r="AB1" s="11"/>
      <c r="AC1" s="11"/>
      <c r="AF1" s="174"/>
      <c r="AL1" s="413" t="s">
        <v>5</v>
      </c>
      <c r="AM1" s="413"/>
      <c r="AN1" s="413"/>
      <c r="AO1" s="507">
        <v>1</v>
      </c>
      <c r="AP1" s="507"/>
      <c r="AQ1" s="174" t="s">
        <v>6</v>
      </c>
      <c r="AR1" s="508">
        <v>1</v>
      </c>
      <c r="AS1" s="508"/>
      <c r="AU1" s="11"/>
      <c r="AV1" s="11"/>
      <c r="AW1" s="174"/>
      <c r="AX1" s="11"/>
      <c r="AY1" s="11"/>
      <c r="AZ1" s="11"/>
      <c r="BA1" s="11"/>
      <c r="BB1" s="11"/>
      <c r="BC1" s="11"/>
      <c r="BD1" s="11"/>
      <c r="BE1" s="11"/>
    </row>
    <row r="2" spans="1:57" ht="16.5" customHeight="1" x14ac:dyDescent="0.2">
      <c r="B2" s="175"/>
      <c r="C2" s="175"/>
      <c r="D2" s="175"/>
      <c r="E2" s="175"/>
      <c r="F2" s="11"/>
      <c r="G2" s="175"/>
      <c r="H2" s="175"/>
      <c r="I2" s="175"/>
      <c r="J2" s="175"/>
      <c r="K2" s="175"/>
      <c r="AV2" s="23"/>
      <c r="AX2" s="23"/>
      <c r="AY2" s="23"/>
      <c r="AZ2" s="23"/>
      <c r="BA2" s="23"/>
      <c r="BB2" s="23"/>
      <c r="BC2" s="23"/>
      <c r="BD2" s="23"/>
      <c r="BE2" s="23"/>
    </row>
    <row r="3" spans="1:57" ht="16.5" customHeight="1" x14ac:dyDescent="0.2">
      <c r="A3" s="23"/>
      <c r="B3" s="23"/>
      <c r="C3" s="23"/>
      <c r="D3" s="23"/>
      <c r="E3" s="23"/>
      <c r="K3" s="23"/>
      <c r="AU3" s="23"/>
    </row>
    <row r="4" spans="1:57" ht="16.5" customHeight="1" x14ac:dyDescent="0.2">
      <c r="A4" s="23"/>
      <c r="B4" s="23"/>
      <c r="C4" s="23"/>
      <c r="D4" s="23"/>
      <c r="E4" s="23"/>
      <c r="F4" s="11"/>
      <c r="H4" s="23"/>
      <c r="I4" s="23"/>
      <c r="J4" s="23"/>
      <c r="K4" s="23"/>
      <c r="W4" s="11"/>
      <c r="AH4" s="11" t="s">
        <v>7</v>
      </c>
      <c r="AJ4" s="11"/>
      <c r="AK4" s="11"/>
      <c r="AL4" s="11"/>
      <c r="AM4" s="11"/>
      <c r="AN4" s="11"/>
      <c r="AO4" s="510"/>
      <c r="AP4" s="510"/>
      <c r="AQ4" s="510"/>
      <c r="AR4" s="509" t="s">
        <v>502</v>
      </c>
      <c r="AS4" s="509"/>
      <c r="AU4" s="23"/>
    </row>
    <row r="5" spans="1:57" ht="16.5" customHeight="1" x14ac:dyDescent="0.2">
      <c r="A5" s="11"/>
      <c r="C5" s="11"/>
      <c r="E5" s="11"/>
      <c r="H5" s="176"/>
      <c r="L5" s="11"/>
      <c r="W5" s="11"/>
      <c r="AH5" s="11" t="s">
        <v>80</v>
      </c>
      <c r="AI5" s="11"/>
      <c r="AJ5" s="11"/>
      <c r="AK5" s="11"/>
      <c r="AL5" s="11"/>
      <c r="AM5" s="11"/>
      <c r="AN5" s="11"/>
      <c r="AO5" s="519"/>
      <c r="AP5" s="519"/>
      <c r="AQ5" s="519"/>
      <c r="AR5" s="519"/>
      <c r="AS5" s="519"/>
      <c r="AU5" s="23"/>
      <c r="AW5" s="51"/>
    </row>
    <row r="6" spans="1:57" ht="16.5" customHeight="1" x14ac:dyDescent="0.2">
      <c r="A6" s="11"/>
      <c r="B6" s="11" t="s">
        <v>277</v>
      </c>
      <c r="F6" s="20"/>
      <c r="G6" s="176"/>
      <c r="H6" s="20"/>
      <c r="I6" s="508"/>
      <c r="J6" s="508"/>
      <c r="K6" s="508"/>
      <c r="AH6" s="427" t="s">
        <v>110</v>
      </c>
      <c r="AI6" s="427"/>
      <c r="AJ6" s="427"/>
      <c r="AK6" s="427"/>
      <c r="AL6" s="427"/>
      <c r="AM6" s="427"/>
      <c r="AN6" s="427"/>
      <c r="AO6" s="519"/>
      <c r="AP6" s="519"/>
      <c r="AQ6" s="177"/>
      <c r="AU6" s="23"/>
    </row>
    <row r="7" spans="1:57" ht="16.5" customHeight="1" x14ac:dyDescent="0.2">
      <c r="B7" s="178" t="s">
        <v>17</v>
      </c>
      <c r="D7" s="178"/>
      <c r="E7" s="178"/>
      <c r="F7" s="178"/>
      <c r="G7" s="178"/>
      <c r="H7" s="178"/>
      <c r="I7" s="520" t="str">
        <f>IF($I$6="","",VLOOKUP($I$6,Data!A:F,2,0))</f>
        <v/>
      </c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E7" s="179"/>
      <c r="AF7" s="179"/>
      <c r="AG7" s="179"/>
      <c r="AH7" s="179"/>
      <c r="AI7" s="179"/>
      <c r="AJ7" s="179"/>
      <c r="AK7" s="179"/>
      <c r="AL7" s="179"/>
      <c r="AM7" s="179"/>
      <c r="AU7" s="23"/>
    </row>
    <row r="8" spans="1:57" ht="16.5" customHeight="1" x14ac:dyDescent="0.2">
      <c r="D8" s="11"/>
      <c r="E8" s="11"/>
      <c r="F8" s="11"/>
      <c r="I8" s="511" t="str">
        <f>IF($I$6="","",VLOOKUP($I$6,Data!A:F,3,0))</f>
        <v/>
      </c>
      <c r="J8" s="511"/>
      <c r="K8" s="511"/>
      <c r="L8" s="511"/>
      <c r="M8" s="511"/>
      <c r="N8" s="511"/>
      <c r="O8" s="511"/>
      <c r="P8" s="511"/>
      <c r="Q8" s="511"/>
      <c r="R8" s="511"/>
      <c r="S8" s="511"/>
      <c r="T8" s="511"/>
      <c r="U8" s="511"/>
      <c r="V8" s="511"/>
      <c r="W8" s="511"/>
      <c r="X8" s="511"/>
      <c r="Y8" s="511"/>
      <c r="Z8" s="511"/>
      <c r="AA8" s="511"/>
      <c r="AB8" s="511"/>
      <c r="AC8" s="511"/>
      <c r="AE8" s="522" t="s">
        <v>58</v>
      </c>
      <c r="AF8" s="523"/>
      <c r="AG8" s="523"/>
      <c r="AH8" s="523"/>
      <c r="AI8" s="523"/>
      <c r="AJ8" s="524"/>
      <c r="AK8" s="512" t="s">
        <v>44</v>
      </c>
      <c r="AL8" s="513"/>
      <c r="AM8" s="513"/>
      <c r="AN8" s="513"/>
      <c r="AO8" s="514"/>
      <c r="AP8" s="512" t="s">
        <v>45</v>
      </c>
      <c r="AQ8" s="513"/>
      <c r="AR8" s="513"/>
      <c r="AS8" s="513"/>
      <c r="AT8" s="514"/>
      <c r="AU8" s="23"/>
      <c r="AV8" s="92"/>
      <c r="AW8" s="180"/>
    </row>
    <row r="9" spans="1:57" ht="16.5" customHeight="1" x14ac:dyDescent="0.2">
      <c r="A9" s="178"/>
      <c r="B9" s="178"/>
      <c r="C9" s="178"/>
      <c r="D9" s="178"/>
      <c r="E9" s="178"/>
      <c r="F9" s="178"/>
      <c r="I9" s="511" t="str">
        <f>IF($I$6="","",VLOOKUP($I$6,Data!A:F,4,0))</f>
        <v/>
      </c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  <c r="U9" s="511"/>
      <c r="V9" s="511"/>
      <c r="W9" s="511"/>
      <c r="X9" s="511"/>
      <c r="Y9" s="511"/>
      <c r="Z9" s="511"/>
      <c r="AA9" s="511"/>
      <c r="AB9" s="511"/>
      <c r="AC9" s="511"/>
      <c r="AE9" s="525" t="s">
        <v>18</v>
      </c>
      <c r="AF9" s="448"/>
      <c r="AG9" s="448"/>
      <c r="AH9" s="448"/>
      <c r="AI9" s="448"/>
      <c r="AJ9" s="526"/>
      <c r="AK9" s="515"/>
      <c r="AL9" s="516"/>
      <c r="AM9" s="516"/>
      <c r="AN9" s="517" t="s">
        <v>59</v>
      </c>
      <c r="AO9" s="518"/>
      <c r="AP9" s="515"/>
      <c r="AQ9" s="516"/>
      <c r="AR9" s="516"/>
      <c r="AS9" s="517" t="s">
        <v>59</v>
      </c>
      <c r="AT9" s="518"/>
      <c r="AU9" s="23"/>
    </row>
    <row r="10" spans="1:57" ht="16.5" customHeight="1" x14ac:dyDescent="0.2">
      <c r="I10" s="511" t="str">
        <f>IF($I$6="","",VLOOKUP($I$6,Data!$A:$F,5,0)&amp;", "&amp;VLOOKUP($I$6,Data!$A:$F,6,0))</f>
        <v/>
      </c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511"/>
      <c r="V10" s="511"/>
      <c r="W10" s="511"/>
      <c r="X10" s="511"/>
      <c r="Y10" s="511"/>
      <c r="Z10" s="511"/>
      <c r="AA10" s="511"/>
      <c r="AB10" s="511"/>
      <c r="AC10" s="511"/>
      <c r="AE10" s="527" t="s">
        <v>61</v>
      </c>
      <c r="AF10" s="528"/>
      <c r="AG10" s="528"/>
      <c r="AH10" s="528"/>
      <c r="AI10" s="528"/>
      <c r="AJ10" s="529"/>
      <c r="AK10" s="515"/>
      <c r="AL10" s="516"/>
      <c r="AM10" s="516"/>
      <c r="AN10" s="521" t="s">
        <v>4</v>
      </c>
      <c r="AO10" s="521"/>
      <c r="AP10" s="515"/>
      <c r="AQ10" s="516"/>
      <c r="AR10" s="516"/>
      <c r="AS10" s="521" t="s">
        <v>4</v>
      </c>
      <c r="AT10" s="521"/>
      <c r="AU10" s="23"/>
      <c r="AV10" s="10" t="s">
        <v>379</v>
      </c>
    </row>
    <row r="11" spans="1:57" ht="16.5" customHeight="1" x14ac:dyDescent="0.2">
      <c r="B11" s="11" t="s">
        <v>19</v>
      </c>
      <c r="C11" s="11"/>
      <c r="D11" s="11"/>
      <c r="E11" s="11"/>
      <c r="F11" s="11"/>
      <c r="I11" s="530"/>
      <c r="J11" s="530"/>
      <c r="K11" s="530"/>
      <c r="L11" s="530"/>
      <c r="M11" s="530"/>
      <c r="N11" s="530"/>
      <c r="O11" s="530"/>
      <c r="P11" s="530"/>
      <c r="Q11" s="530"/>
      <c r="R11" s="530"/>
      <c r="S11" s="530"/>
      <c r="T11" s="530"/>
      <c r="U11" s="530"/>
      <c r="V11" s="530"/>
      <c r="W11" s="530"/>
      <c r="X11" s="530"/>
      <c r="Y11" s="530"/>
      <c r="Z11" s="530"/>
      <c r="AA11" s="530"/>
      <c r="AB11" s="530"/>
      <c r="AC11" s="530"/>
      <c r="AE11" s="23"/>
      <c r="AV11" s="10" t="s">
        <v>380</v>
      </c>
    </row>
    <row r="12" spans="1:57" ht="16.5" customHeight="1" x14ac:dyDescent="0.2">
      <c r="B12" s="11" t="s">
        <v>23</v>
      </c>
      <c r="C12" s="11"/>
      <c r="D12" s="11"/>
      <c r="E12" s="11"/>
      <c r="F12" s="11"/>
      <c r="I12" s="542"/>
      <c r="J12" s="542"/>
      <c r="K12" s="542"/>
      <c r="L12" s="542"/>
      <c r="M12" s="542"/>
      <c r="N12" s="542"/>
      <c r="O12" s="542"/>
      <c r="P12" s="542"/>
      <c r="Q12" s="542"/>
      <c r="R12" s="542"/>
      <c r="S12" s="542"/>
      <c r="T12" s="542"/>
      <c r="U12" s="542"/>
      <c r="V12" s="542"/>
      <c r="W12" s="542"/>
      <c r="X12" s="542"/>
      <c r="Y12" s="542"/>
      <c r="Z12" s="542"/>
      <c r="AA12" s="542"/>
      <c r="AB12" s="542"/>
      <c r="AC12" s="542"/>
      <c r="AD12" s="18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U12" s="23"/>
      <c r="AV12" s="28" t="s">
        <v>381</v>
      </c>
    </row>
    <row r="13" spans="1:57" ht="16.5" customHeight="1" x14ac:dyDescent="0.2">
      <c r="B13" s="11" t="s">
        <v>20</v>
      </c>
      <c r="I13" s="542"/>
      <c r="J13" s="542"/>
      <c r="K13" s="542"/>
      <c r="L13" s="542"/>
      <c r="M13" s="542"/>
      <c r="N13" s="542"/>
      <c r="O13" s="542"/>
      <c r="P13" s="542"/>
      <c r="Q13" s="542"/>
      <c r="R13" s="542"/>
      <c r="S13" s="542"/>
      <c r="T13" s="542"/>
      <c r="U13" s="542"/>
      <c r="V13" s="542"/>
      <c r="W13" s="542"/>
      <c r="X13" s="542"/>
      <c r="Y13" s="542"/>
      <c r="Z13" s="542"/>
      <c r="AA13" s="542"/>
      <c r="AB13" s="542"/>
      <c r="AC13" s="542"/>
      <c r="AD13" s="182"/>
      <c r="AE13" s="173"/>
      <c r="AU13" s="183"/>
      <c r="AV13" s="10" t="s">
        <v>382</v>
      </c>
      <c r="AW13" s="184"/>
      <c r="AX13" s="28"/>
      <c r="AZ13" s="28"/>
      <c r="BA13" s="28"/>
      <c r="BB13" s="28"/>
      <c r="BC13" s="28"/>
      <c r="BD13" s="28"/>
      <c r="BE13" s="28"/>
    </row>
    <row r="14" spans="1:57" ht="16.5" customHeight="1" x14ac:dyDescent="0.2">
      <c r="B14" s="11" t="s">
        <v>21</v>
      </c>
      <c r="C14" s="11"/>
      <c r="D14" s="11"/>
      <c r="E14" s="11"/>
      <c r="F14" s="11"/>
      <c r="I14" s="542"/>
      <c r="J14" s="542"/>
      <c r="K14" s="542"/>
      <c r="L14" s="542"/>
      <c r="M14" s="542"/>
      <c r="N14" s="542"/>
      <c r="O14" s="542"/>
      <c r="P14" s="542"/>
      <c r="Q14" s="542"/>
      <c r="R14" s="542"/>
      <c r="S14" s="542"/>
      <c r="T14" s="542"/>
      <c r="U14" s="542"/>
      <c r="V14" s="542"/>
      <c r="W14" s="542"/>
      <c r="X14" s="542"/>
      <c r="Y14" s="542"/>
      <c r="Z14" s="542"/>
      <c r="AA14" s="542"/>
      <c r="AB14" s="542"/>
      <c r="AC14" s="542"/>
      <c r="AD14" s="182"/>
      <c r="AU14" s="183"/>
      <c r="AV14" s="10" t="s">
        <v>383</v>
      </c>
      <c r="AZ14" s="28"/>
    </row>
    <row r="15" spans="1:57" ht="16.5" customHeight="1" x14ac:dyDescent="0.2">
      <c r="B15" s="11" t="s">
        <v>22</v>
      </c>
      <c r="C15" s="11"/>
      <c r="D15" s="11"/>
      <c r="E15" s="11"/>
      <c r="F15" s="11"/>
      <c r="I15" s="543"/>
      <c r="J15" s="543"/>
      <c r="K15" s="543"/>
      <c r="L15" s="543"/>
      <c r="M15" s="543"/>
      <c r="N15" s="543"/>
      <c r="O15" s="543"/>
      <c r="P15" s="543"/>
      <c r="Q15" s="543"/>
      <c r="R15" s="543"/>
      <c r="S15" s="543"/>
      <c r="T15" s="543"/>
      <c r="U15" s="543"/>
      <c r="V15" s="543"/>
      <c r="W15" s="543"/>
      <c r="X15" s="543"/>
      <c r="Y15" s="543"/>
      <c r="Z15" s="543"/>
      <c r="AA15" s="543"/>
      <c r="AB15" s="543"/>
      <c r="AC15" s="543"/>
      <c r="AD15" s="185"/>
      <c r="AE15" s="185"/>
      <c r="AF15" s="185"/>
      <c r="AG15" s="186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183"/>
      <c r="AV15" s="28" t="s">
        <v>376</v>
      </c>
      <c r="AW15" s="184" t="s">
        <v>377</v>
      </c>
      <c r="AX15" s="184" t="s">
        <v>378</v>
      </c>
      <c r="AY15" s="28"/>
      <c r="AZ15" s="28"/>
      <c r="BA15" s="28"/>
      <c r="BB15" s="28"/>
      <c r="BC15" s="28"/>
      <c r="BD15" s="28"/>
    </row>
    <row r="16" spans="1:57" ht="16.5" customHeight="1" x14ac:dyDescent="0.2">
      <c r="B16" s="178" t="s">
        <v>24</v>
      </c>
      <c r="C16" s="178"/>
      <c r="D16" s="178"/>
      <c r="E16" s="178"/>
      <c r="F16" s="178"/>
      <c r="I16" s="533"/>
      <c r="J16" s="533"/>
      <c r="K16" s="533"/>
      <c r="L16" s="533"/>
      <c r="M16" s="533"/>
      <c r="N16" s="533"/>
      <c r="O16" s="533"/>
      <c r="P16" s="533"/>
      <c r="Q16" s="533"/>
      <c r="R16" s="533"/>
      <c r="S16" s="533"/>
      <c r="T16" s="533"/>
      <c r="U16" s="533"/>
      <c r="V16" s="533"/>
      <c r="W16" s="533"/>
      <c r="X16" s="182"/>
      <c r="Y16" s="182"/>
      <c r="Z16" s="182"/>
      <c r="AB16" s="186"/>
      <c r="AD16" s="187" t="s">
        <v>491</v>
      </c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11"/>
      <c r="AV16" s="202"/>
      <c r="AW16" s="203"/>
      <c r="AX16" s="204"/>
      <c r="AY16" s="11"/>
      <c r="AZ16" s="11"/>
      <c r="BA16" s="11"/>
      <c r="BB16" s="11"/>
      <c r="BC16" s="11"/>
      <c r="BD16" s="11"/>
      <c r="BE16" s="11"/>
    </row>
    <row r="17" spans="1:57" ht="16.5" customHeight="1" x14ac:dyDescent="0.2">
      <c r="B17" s="178" t="s">
        <v>25</v>
      </c>
      <c r="C17" s="178"/>
      <c r="D17" s="178"/>
      <c r="E17" s="178"/>
      <c r="F17" s="178"/>
      <c r="I17" s="533"/>
      <c r="J17" s="533"/>
      <c r="K17" s="533"/>
      <c r="L17" s="533"/>
      <c r="M17" s="533"/>
      <c r="N17" s="533"/>
      <c r="O17" s="533"/>
      <c r="P17" s="533"/>
      <c r="Q17" s="533"/>
      <c r="R17" s="533"/>
      <c r="S17" s="533"/>
      <c r="T17" s="533"/>
      <c r="U17" s="533"/>
      <c r="V17" s="533"/>
      <c r="W17" s="533"/>
      <c r="X17" s="186"/>
      <c r="Y17" s="186"/>
      <c r="Z17" s="186"/>
      <c r="AD17" s="187" t="s">
        <v>112</v>
      </c>
      <c r="AE17" s="205"/>
      <c r="AF17" s="190" t="s">
        <v>49</v>
      </c>
      <c r="AU17" s="191" t="b">
        <v>1</v>
      </c>
      <c r="AV17" s="92"/>
      <c r="AW17" s="188"/>
      <c r="AY17" s="23"/>
      <c r="AZ17" s="23"/>
      <c r="BA17" s="23"/>
      <c r="BB17" s="23"/>
      <c r="BC17" s="23"/>
      <c r="BD17" s="23"/>
      <c r="BE17" s="23"/>
    </row>
    <row r="18" spans="1:57" ht="16.5" customHeight="1" x14ac:dyDescent="0.2">
      <c r="B18" s="178" t="s">
        <v>3</v>
      </c>
      <c r="C18" s="178"/>
      <c r="D18" s="178"/>
      <c r="E18" s="178"/>
      <c r="F18" s="178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4"/>
      <c r="X18" s="186"/>
      <c r="Y18" s="186"/>
      <c r="Z18" s="186"/>
      <c r="AA18" s="186"/>
      <c r="AD18" s="186"/>
      <c r="AE18" s="206"/>
      <c r="AF18" s="186" t="s">
        <v>280</v>
      </c>
      <c r="AG18" s="186"/>
      <c r="AH18" s="186"/>
      <c r="AI18" s="186"/>
      <c r="AJ18" s="539"/>
      <c r="AK18" s="539"/>
      <c r="AL18" s="539"/>
      <c r="AM18" s="539"/>
      <c r="AN18" s="539"/>
      <c r="AO18" s="539"/>
      <c r="AP18" s="539"/>
      <c r="AQ18" s="539"/>
      <c r="AR18" s="539"/>
      <c r="AS18" s="539"/>
      <c r="AT18" s="539"/>
      <c r="AU18" s="23"/>
      <c r="AV18" s="92"/>
      <c r="AW18" s="188"/>
    </row>
    <row r="19" spans="1:57" ht="16.5" customHeight="1" x14ac:dyDescent="0.2">
      <c r="A19" s="178"/>
      <c r="B19" s="178"/>
      <c r="C19" s="178"/>
      <c r="D19" s="178"/>
      <c r="E19" s="178"/>
      <c r="F19" s="178"/>
      <c r="G19" s="178"/>
      <c r="H19" s="192"/>
      <c r="I19" s="192"/>
      <c r="O19" s="193"/>
      <c r="P19" s="193"/>
      <c r="AU19" s="23"/>
    </row>
    <row r="20" spans="1:57" ht="16.5" customHeight="1" x14ac:dyDescent="0.2">
      <c r="B20" s="498" t="s">
        <v>26</v>
      </c>
      <c r="C20" s="498"/>
      <c r="D20" s="498"/>
      <c r="E20" s="498"/>
      <c r="F20" s="498"/>
      <c r="G20" s="498"/>
      <c r="H20" s="498"/>
      <c r="I20" s="498"/>
      <c r="O20" s="194"/>
      <c r="P20" s="194"/>
      <c r="Q20" s="194"/>
      <c r="R20" s="194"/>
      <c r="S20" s="194"/>
      <c r="T20" s="194"/>
      <c r="U20" s="194"/>
      <c r="V20" s="194"/>
      <c r="X20" s="194"/>
      <c r="Y20" s="194"/>
      <c r="Z20" s="484" t="s">
        <v>27</v>
      </c>
      <c r="AA20" s="484"/>
      <c r="AB20" s="484"/>
      <c r="AC20" s="484"/>
      <c r="AD20" s="484"/>
      <c r="AE20" s="484"/>
      <c r="AF20" s="484" t="s">
        <v>28</v>
      </c>
      <c r="AG20" s="484"/>
      <c r="AH20" s="484"/>
      <c r="AI20" s="484"/>
      <c r="AJ20" s="484"/>
      <c r="AK20" s="484"/>
      <c r="AL20" s="484"/>
      <c r="AM20" s="484"/>
      <c r="AN20" s="484" t="s">
        <v>426</v>
      </c>
      <c r="AO20" s="484"/>
      <c r="AP20" s="484"/>
      <c r="AQ20" s="484"/>
      <c r="AR20" s="484"/>
      <c r="AS20" s="484"/>
      <c r="AT20" s="484"/>
      <c r="AU20" s="23"/>
    </row>
    <row r="21" spans="1:57" ht="10.5" customHeight="1" x14ac:dyDescent="0.2">
      <c r="A21" s="189"/>
      <c r="B21" s="189"/>
      <c r="C21" s="189"/>
      <c r="D21" s="189"/>
      <c r="E21" s="189"/>
      <c r="F21" s="189"/>
      <c r="R21" s="189"/>
      <c r="S21" s="189"/>
      <c r="T21" s="189"/>
      <c r="AU21" s="23"/>
    </row>
    <row r="22" spans="1:57" x14ac:dyDescent="0.2">
      <c r="B22" s="195"/>
      <c r="C22" s="535"/>
      <c r="D22" s="535"/>
      <c r="E22" s="535"/>
      <c r="F22" s="535"/>
      <c r="G22" s="535"/>
      <c r="H22" s="535"/>
      <c r="I22" s="536" t="str">
        <f>IF(C22="","",VLOOKUP(C22,STD!A3:G8,2,FALSE))</f>
        <v/>
      </c>
      <c r="J22" s="537"/>
      <c r="K22" s="537"/>
      <c r="L22" s="537"/>
      <c r="M22" s="537"/>
      <c r="N22" s="537"/>
      <c r="O22" s="537"/>
      <c r="P22" s="537"/>
      <c r="Q22" s="537"/>
      <c r="R22" s="537"/>
      <c r="S22" s="537"/>
      <c r="T22" s="537"/>
      <c r="U22" s="537"/>
      <c r="V22" s="537"/>
      <c r="W22" s="537"/>
      <c r="X22" s="537"/>
      <c r="Y22" s="538"/>
      <c r="Z22" s="531" t="str">
        <f>IF(C22="","",VLOOKUP(C22,STD!A3:G8,4,FALSE))</f>
        <v/>
      </c>
      <c r="AA22" s="532"/>
      <c r="AB22" s="532"/>
      <c r="AC22" s="532"/>
      <c r="AD22" s="532"/>
      <c r="AE22" s="532"/>
      <c r="AF22" s="531" t="str">
        <f>IF(C22="","",VLOOKUP(C22,STD!A3:G8,5,FALSE))</f>
        <v/>
      </c>
      <c r="AG22" s="532"/>
      <c r="AH22" s="532"/>
      <c r="AI22" s="532"/>
      <c r="AJ22" s="532"/>
      <c r="AK22" s="532"/>
      <c r="AL22" s="532"/>
      <c r="AM22" s="532"/>
      <c r="AN22" s="477" t="str">
        <f>IF(C22="","",VLOOKUP(C22,STD!A3:G8,6,FALSE))</f>
        <v/>
      </c>
      <c r="AO22" s="478"/>
      <c r="AP22" s="478"/>
      <c r="AQ22" s="478"/>
      <c r="AR22" s="478"/>
      <c r="AS22" s="478"/>
      <c r="AT22" s="478"/>
      <c r="AU22" s="23"/>
    </row>
    <row r="23" spans="1:57" ht="16.5" customHeight="1" x14ac:dyDescent="0.2">
      <c r="C23" s="20"/>
      <c r="D23" s="20"/>
      <c r="E23" s="20"/>
      <c r="F23" s="20"/>
      <c r="G23" s="20" t="s">
        <v>60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U23" s="183"/>
      <c r="AZ23" s="28"/>
    </row>
    <row r="24" spans="1:57" ht="16.5" customHeight="1" x14ac:dyDescent="0.2">
      <c r="B24" s="498" t="s">
        <v>1</v>
      </c>
      <c r="C24" s="498"/>
      <c r="D24" s="498"/>
      <c r="E24" s="498"/>
      <c r="F24" s="498"/>
      <c r="G24" s="498"/>
      <c r="H24" s="498"/>
      <c r="M24" s="23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484" t="s">
        <v>27</v>
      </c>
      <c r="AA24" s="484"/>
      <c r="AB24" s="484"/>
      <c r="AC24" s="484"/>
      <c r="AD24" s="484"/>
      <c r="AE24" s="484"/>
      <c r="AF24" s="484" t="s">
        <v>28</v>
      </c>
      <c r="AG24" s="484"/>
      <c r="AH24" s="484"/>
      <c r="AI24" s="484"/>
      <c r="AJ24" s="484"/>
      <c r="AK24" s="484"/>
      <c r="AL24" s="484"/>
      <c r="AM24" s="484"/>
      <c r="AN24" s="484" t="s">
        <v>426</v>
      </c>
      <c r="AO24" s="484"/>
      <c r="AP24" s="484"/>
      <c r="AQ24" s="484"/>
      <c r="AR24" s="484"/>
      <c r="AS24" s="484"/>
      <c r="AT24" s="484"/>
      <c r="AU24" s="183"/>
      <c r="AY24" s="28"/>
      <c r="AZ24" s="28"/>
      <c r="BA24" s="28"/>
      <c r="BB24" s="28"/>
      <c r="BC24" s="28"/>
      <c r="BD24" s="28"/>
    </row>
    <row r="25" spans="1:57" x14ac:dyDescent="0.2">
      <c r="A25" s="189"/>
      <c r="B25" s="20" t="s">
        <v>386</v>
      </c>
      <c r="C25" s="189"/>
      <c r="D25" s="189"/>
      <c r="E25" s="189"/>
      <c r="F25" s="189"/>
      <c r="M25" s="23"/>
      <c r="R25" s="189"/>
      <c r="S25" s="189"/>
      <c r="T25" s="189"/>
      <c r="W25" s="189"/>
      <c r="Y25" s="189"/>
      <c r="Z25" s="189"/>
      <c r="AA25" s="189"/>
      <c r="AB25" s="189"/>
    </row>
    <row r="26" spans="1:57" x14ac:dyDescent="0.2">
      <c r="B26" s="195"/>
      <c r="C26" s="481"/>
      <c r="D26" s="482"/>
      <c r="E26" s="482"/>
      <c r="F26" s="482"/>
      <c r="G26" s="482"/>
      <c r="H26" s="483"/>
      <c r="I26" s="496" t="str">
        <f>IF(C26="","",VLOOKUP(C26,STD!$A$11:$G$20,2,FALSE))</f>
        <v/>
      </c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  <c r="W26" s="497"/>
      <c r="X26" s="497"/>
      <c r="Y26" s="497"/>
      <c r="Z26" s="479" t="str">
        <f>IF(C26="","",VLOOKUP(C26,STD!$A$11:$G$20,4,FALSE))</f>
        <v/>
      </c>
      <c r="AA26" s="480"/>
      <c r="AB26" s="480"/>
      <c r="AC26" s="480"/>
      <c r="AD26" s="480"/>
      <c r="AE26" s="480"/>
      <c r="AF26" s="479" t="str">
        <f>IF(C26="","",VLOOKUP(C26,STD!$A$11:$G$20,5,FALSE))</f>
        <v/>
      </c>
      <c r="AG26" s="480"/>
      <c r="AH26" s="480"/>
      <c r="AI26" s="480"/>
      <c r="AJ26" s="480"/>
      <c r="AK26" s="480"/>
      <c r="AL26" s="480"/>
      <c r="AM26" s="480"/>
      <c r="AN26" s="477" t="str">
        <f>IF(C26="","",VLOOKUP(C26,STD!$A$11:$G$20,6,FALSE))</f>
        <v/>
      </c>
      <c r="AO26" s="478"/>
      <c r="AP26" s="478"/>
      <c r="AQ26" s="478"/>
      <c r="AR26" s="478"/>
      <c r="AS26" s="478"/>
      <c r="AT26" s="478"/>
      <c r="AU26" s="11"/>
      <c r="AY26" s="11"/>
      <c r="AZ26" s="11"/>
      <c r="BA26" s="11"/>
      <c r="BB26" s="11"/>
      <c r="BC26" s="11"/>
      <c r="BD26" s="11"/>
    </row>
    <row r="27" spans="1:57" x14ac:dyDescent="0.2">
      <c r="B27" s="197" t="s">
        <v>387</v>
      </c>
      <c r="C27" s="198"/>
      <c r="D27" s="198"/>
      <c r="E27" s="198"/>
      <c r="F27" s="198"/>
      <c r="G27" s="198"/>
      <c r="H27" s="198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  <c r="AL27" s="199"/>
      <c r="AM27" s="199"/>
      <c r="AN27" s="200"/>
      <c r="AO27" s="200"/>
      <c r="AP27" s="200"/>
      <c r="AQ27" s="200"/>
      <c r="AR27" s="200"/>
      <c r="AS27" s="200"/>
      <c r="AT27" s="200"/>
      <c r="AU27" s="11"/>
      <c r="AY27" s="11"/>
      <c r="AZ27" s="11"/>
      <c r="BA27" s="11"/>
      <c r="BB27" s="11"/>
      <c r="BC27" s="11"/>
      <c r="BD27" s="11"/>
    </row>
    <row r="28" spans="1:57" ht="16.5" customHeight="1" x14ac:dyDescent="0.2">
      <c r="B28" s="195"/>
      <c r="C28" s="481"/>
      <c r="D28" s="482"/>
      <c r="E28" s="482"/>
      <c r="F28" s="482"/>
      <c r="G28" s="482"/>
      <c r="H28" s="483"/>
      <c r="I28" s="496" t="str">
        <f>IF(C28="","",VLOOKUP(C28,STD!$A$13:$G$20,2,FALSE))</f>
        <v/>
      </c>
      <c r="J28" s="497"/>
      <c r="K28" s="497"/>
      <c r="L28" s="497"/>
      <c r="M28" s="497"/>
      <c r="N28" s="497"/>
      <c r="O28" s="497"/>
      <c r="P28" s="497"/>
      <c r="Q28" s="497"/>
      <c r="R28" s="497"/>
      <c r="S28" s="497"/>
      <c r="T28" s="497"/>
      <c r="U28" s="497"/>
      <c r="V28" s="497"/>
      <c r="W28" s="497"/>
      <c r="X28" s="497"/>
      <c r="Y28" s="497"/>
      <c r="Z28" s="479" t="str">
        <f>IF(C28="","",VLOOKUP(C28,STD!$A$13:$G$20,4,FALSE))</f>
        <v/>
      </c>
      <c r="AA28" s="480"/>
      <c r="AB28" s="480"/>
      <c r="AC28" s="480"/>
      <c r="AD28" s="480"/>
      <c r="AE28" s="480"/>
      <c r="AF28" s="479" t="str">
        <f>IF(C28="","",VLOOKUP(C28,STD!$A$13:$G$20,5,FALSE))</f>
        <v/>
      </c>
      <c r="AG28" s="480"/>
      <c r="AH28" s="480"/>
      <c r="AI28" s="480"/>
      <c r="AJ28" s="480"/>
      <c r="AK28" s="480"/>
      <c r="AL28" s="480"/>
      <c r="AM28" s="480"/>
      <c r="AN28" s="477" t="str">
        <f>IF(C28="","",VLOOKUP(C28,STD!$A$13:$G$20,6,FALSE))</f>
        <v/>
      </c>
      <c r="AO28" s="478"/>
      <c r="AP28" s="478"/>
      <c r="AQ28" s="478"/>
      <c r="AR28" s="478"/>
      <c r="AS28" s="478"/>
      <c r="AT28" s="478"/>
      <c r="AU28" s="23"/>
      <c r="AY28" s="23"/>
      <c r="AZ28" s="23"/>
      <c r="BA28" s="23"/>
      <c r="BB28" s="23"/>
      <c r="BC28" s="23"/>
      <c r="BD28" s="23"/>
    </row>
    <row r="29" spans="1:57" ht="16.5" customHeight="1" x14ac:dyDescent="0.2">
      <c r="C29" s="20"/>
      <c r="E29" s="20"/>
      <c r="G29" s="20"/>
      <c r="I29" s="20"/>
      <c r="K29" s="20"/>
      <c r="M29" s="20"/>
      <c r="O29" s="20"/>
      <c r="Q29" s="20"/>
      <c r="S29" s="20"/>
      <c r="U29" s="20"/>
      <c r="W29" s="20"/>
      <c r="Y29" s="20"/>
      <c r="AA29" s="20"/>
      <c r="AC29" s="20"/>
      <c r="AE29" s="20"/>
      <c r="AG29" s="20"/>
      <c r="AI29" s="20"/>
      <c r="AK29" s="20"/>
      <c r="AM29" s="20"/>
      <c r="AO29" s="20"/>
      <c r="AQ29" s="20"/>
      <c r="AS29" s="20"/>
    </row>
    <row r="30" spans="1:57" ht="16.5" customHeight="1" x14ac:dyDescent="0.2">
      <c r="B30" s="494" t="s">
        <v>388</v>
      </c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95"/>
      <c r="AB30" s="20"/>
      <c r="AD30" s="20"/>
      <c r="AF30" s="20"/>
      <c r="AH30" s="20"/>
      <c r="AJ30" s="20"/>
      <c r="AL30" s="20"/>
      <c r="AN30" s="20"/>
      <c r="AP30" s="20"/>
      <c r="AR30" s="20"/>
    </row>
    <row r="31" spans="1:57" ht="16.5" customHeight="1" x14ac:dyDescent="0.2">
      <c r="B31" s="550" t="s">
        <v>11</v>
      </c>
      <c r="C31" s="550"/>
      <c r="D31" s="550"/>
      <c r="E31" s="493" t="s">
        <v>370</v>
      </c>
      <c r="F31" s="493"/>
      <c r="G31" s="493"/>
      <c r="H31" s="493"/>
      <c r="I31" s="493"/>
      <c r="J31" s="493"/>
      <c r="K31" s="493"/>
      <c r="L31" s="493"/>
      <c r="M31" s="493"/>
      <c r="N31" s="493"/>
      <c r="O31" s="493"/>
      <c r="P31" s="493"/>
      <c r="Q31" s="493"/>
      <c r="R31" s="493"/>
      <c r="S31" s="493"/>
      <c r="T31" s="493"/>
      <c r="U31" s="493"/>
      <c r="V31" s="493"/>
      <c r="W31" s="493"/>
      <c r="X31" s="493"/>
      <c r="Y31" s="487" t="s">
        <v>369</v>
      </c>
      <c r="Z31" s="487"/>
      <c r="AA31" s="487"/>
      <c r="AB31" s="20"/>
      <c r="AD31" s="20"/>
      <c r="AF31" s="20"/>
      <c r="AH31" s="20"/>
      <c r="AJ31" s="20"/>
      <c r="AL31" s="20"/>
      <c r="AN31" s="20"/>
      <c r="AP31" s="20"/>
      <c r="AR31" s="20"/>
    </row>
    <row r="32" spans="1:57" ht="16.5" customHeight="1" x14ac:dyDescent="0.2">
      <c r="B32" s="551" t="s">
        <v>6</v>
      </c>
      <c r="C32" s="551"/>
      <c r="D32" s="551"/>
      <c r="E32" s="544" t="s">
        <v>411</v>
      </c>
      <c r="F32" s="545"/>
      <c r="G32" s="545"/>
      <c r="H32" s="545"/>
      <c r="I32" s="545"/>
      <c r="J32" s="545"/>
      <c r="K32" s="545"/>
      <c r="L32" s="545"/>
      <c r="M32" s="545"/>
      <c r="N32" s="546"/>
      <c r="O32" s="491" t="s">
        <v>412</v>
      </c>
      <c r="P32" s="492"/>
      <c r="Q32" s="492"/>
      <c r="R32" s="492"/>
      <c r="S32" s="492"/>
      <c r="T32" s="492"/>
      <c r="U32" s="492"/>
      <c r="V32" s="492"/>
      <c r="W32" s="492"/>
      <c r="X32" s="492"/>
      <c r="Y32" s="488"/>
      <c r="Z32" s="488"/>
      <c r="AA32" s="488"/>
      <c r="AB32" s="20"/>
      <c r="AD32" s="20"/>
      <c r="AF32" s="20"/>
      <c r="AH32" s="20"/>
    </row>
    <row r="33" spans="1:54" ht="16.5" customHeight="1" x14ac:dyDescent="0.2">
      <c r="B33" s="552" t="s">
        <v>0</v>
      </c>
      <c r="C33" s="552"/>
      <c r="D33" s="552"/>
      <c r="E33" s="547"/>
      <c r="F33" s="548"/>
      <c r="G33" s="548"/>
      <c r="H33" s="548"/>
      <c r="I33" s="548"/>
      <c r="J33" s="548"/>
      <c r="K33" s="548"/>
      <c r="L33" s="548"/>
      <c r="M33" s="548"/>
      <c r="N33" s="549"/>
      <c r="O33" s="492"/>
      <c r="P33" s="492"/>
      <c r="Q33" s="492"/>
      <c r="R33" s="492"/>
      <c r="S33" s="492"/>
      <c r="T33" s="492"/>
      <c r="U33" s="492"/>
      <c r="V33" s="492"/>
      <c r="W33" s="492"/>
      <c r="X33" s="492"/>
      <c r="Y33" s="488"/>
      <c r="Z33" s="488"/>
      <c r="AA33" s="488"/>
      <c r="AB33" s="20"/>
      <c r="AD33" s="20"/>
      <c r="AF33" s="20"/>
      <c r="AH33" s="20"/>
    </row>
    <row r="34" spans="1:54" ht="16.5" customHeight="1" x14ac:dyDescent="0.2">
      <c r="B34" s="490" t="s">
        <v>13</v>
      </c>
      <c r="C34" s="490"/>
      <c r="D34" s="490"/>
      <c r="E34" s="540" t="s">
        <v>413</v>
      </c>
      <c r="F34" s="541"/>
      <c r="G34" s="541"/>
      <c r="H34" s="541"/>
      <c r="I34" s="541"/>
      <c r="J34" s="541"/>
      <c r="K34" s="541"/>
      <c r="L34" s="541"/>
      <c r="M34" s="541"/>
      <c r="N34" s="541"/>
      <c r="O34" s="490" t="str">
        <f>E34</f>
        <v>Minute</v>
      </c>
      <c r="P34" s="490"/>
      <c r="Q34" s="490"/>
      <c r="R34" s="490"/>
      <c r="S34" s="490"/>
      <c r="T34" s="490"/>
      <c r="U34" s="490"/>
      <c r="V34" s="490"/>
      <c r="W34" s="490"/>
      <c r="X34" s="490"/>
      <c r="Y34" s="488"/>
      <c r="Z34" s="488"/>
      <c r="AA34" s="488"/>
      <c r="AB34" s="20"/>
      <c r="AD34" s="20"/>
      <c r="AF34" s="20"/>
      <c r="AH34" s="20"/>
      <c r="AJ34" s="20"/>
      <c r="AL34" s="20"/>
      <c r="AN34" s="20"/>
      <c r="AP34" s="20"/>
      <c r="AR34" s="20"/>
      <c r="AU34" s="10" t="s">
        <v>385</v>
      </c>
    </row>
    <row r="35" spans="1:54" ht="16.5" customHeight="1" x14ac:dyDescent="0.2">
      <c r="B35" s="501" t="s">
        <v>103</v>
      </c>
      <c r="C35" s="501"/>
      <c r="D35" s="501"/>
      <c r="E35" s="486">
        <v>0</v>
      </c>
      <c r="F35" s="486"/>
      <c r="G35" s="486"/>
      <c r="H35" s="486"/>
      <c r="I35" s="486"/>
      <c r="J35" s="486"/>
      <c r="K35" s="486"/>
      <c r="L35" s="486"/>
      <c r="M35" s="486"/>
      <c r="N35" s="486"/>
      <c r="O35" s="486">
        <v>0</v>
      </c>
      <c r="P35" s="486"/>
      <c r="Q35" s="486"/>
      <c r="R35" s="486"/>
      <c r="S35" s="486"/>
      <c r="T35" s="486"/>
      <c r="U35" s="486"/>
      <c r="V35" s="486"/>
      <c r="W35" s="486"/>
      <c r="X35" s="486"/>
      <c r="Y35" s="488"/>
      <c r="Z35" s="488"/>
      <c r="AA35" s="488"/>
      <c r="AB35" s="20"/>
      <c r="AD35" s="20"/>
      <c r="AF35" s="20"/>
      <c r="AH35" s="20"/>
      <c r="AJ35" s="20"/>
      <c r="AL35" s="20"/>
      <c r="AN35" s="20"/>
      <c r="AP35" s="20"/>
      <c r="AR35" s="20"/>
    </row>
    <row r="36" spans="1:54" ht="16.5" customHeight="1" x14ac:dyDescent="0.2">
      <c r="B36" s="485" t="s">
        <v>104</v>
      </c>
      <c r="C36" s="485"/>
      <c r="D36" s="485"/>
      <c r="E36" s="486">
        <v>0</v>
      </c>
      <c r="F36" s="486"/>
      <c r="G36" s="486"/>
      <c r="H36" s="486"/>
      <c r="I36" s="486"/>
      <c r="J36" s="486"/>
      <c r="K36" s="486"/>
      <c r="L36" s="486"/>
      <c r="M36" s="486"/>
      <c r="N36" s="486"/>
      <c r="O36" s="486">
        <v>0</v>
      </c>
      <c r="P36" s="486"/>
      <c r="Q36" s="486"/>
      <c r="R36" s="486"/>
      <c r="S36" s="486"/>
      <c r="T36" s="486"/>
      <c r="U36" s="486"/>
      <c r="V36" s="486"/>
      <c r="W36" s="486"/>
      <c r="X36" s="486"/>
      <c r="Y36" s="488"/>
      <c r="Z36" s="488"/>
      <c r="AA36" s="488"/>
      <c r="AB36" s="20"/>
      <c r="AD36" s="20"/>
      <c r="AF36" s="20"/>
      <c r="AH36" s="20"/>
      <c r="AJ36" s="20"/>
      <c r="AL36" s="20"/>
      <c r="AN36" s="20"/>
      <c r="AP36" s="20"/>
      <c r="AR36" s="20"/>
    </row>
    <row r="37" spans="1:54" ht="16.5" customHeight="1" x14ac:dyDescent="0.2">
      <c r="B37" s="485" t="s">
        <v>105</v>
      </c>
      <c r="C37" s="485"/>
      <c r="D37" s="485"/>
      <c r="E37" s="486">
        <v>0</v>
      </c>
      <c r="F37" s="486"/>
      <c r="G37" s="486"/>
      <c r="H37" s="486"/>
      <c r="I37" s="486"/>
      <c r="J37" s="486"/>
      <c r="K37" s="486"/>
      <c r="L37" s="486"/>
      <c r="M37" s="486"/>
      <c r="N37" s="486"/>
      <c r="O37" s="486">
        <v>0</v>
      </c>
      <c r="P37" s="486"/>
      <c r="Q37" s="486"/>
      <c r="R37" s="486"/>
      <c r="S37" s="486"/>
      <c r="T37" s="486"/>
      <c r="U37" s="486"/>
      <c r="V37" s="486"/>
      <c r="W37" s="486"/>
      <c r="X37" s="486"/>
      <c r="Y37" s="488"/>
      <c r="Z37" s="488"/>
      <c r="AA37" s="488"/>
      <c r="AB37" s="20"/>
      <c r="AD37" s="20"/>
      <c r="AF37" s="20"/>
      <c r="AH37" s="20"/>
      <c r="AJ37" s="20"/>
      <c r="AL37" s="20"/>
      <c r="AN37" s="20"/>
      <c r="AP37" s="20"/>
      <c r="AR37" s="20"/>
    </row>
    <row r="38" spans="1:54" ht="16.5" customHeight="1" x14ac:dyDescent="0.2">
      <c r="B38" s="485" t="s">
        <v>106</v>
      </c>
      <c r="C38" s="485"/>
      <c r="D38" s="485"/>
      <c r="E38" s="486">
        <v>0</v>
      </c>
      <c r="F38" s="486"/>
      <c r="G38" s="486"/>
      <c r="H38" s="486"/>
      <c r="I38" s="486"/>
      <c r="J38" s="486"/>
      <c r="K38" s="486"/>
      <c r="L38" s="486"/>
      <c r="M38" s="486"/>
      <c r="N38" s="486"/>
      <c r="O38" s="486">
        <v>0</v>
      </c>
      <c r="P38" s="486"/>
      <c r="Q38" s="486"/>
      <c r="R38" s="486"/>
      <c r="S38" s="486"/>
      <c r="T38" s="486"/>
      <c r="U38" s="486"/>
      <c r="V38" s="486"/>
      <c r="W38" s="486"/>
      <c r="X38" s="486"/>
      <c r="Y38" s="488"/>
      <c r="Z38" s="488"/>
      <c r="AA38" s="488"/>
    </row>
    <row r="39" spans="1:54" ht="16.5" customHeight="1" x14ac:dyDescent="0.2">
      <c r="B39" s="499" t="s">
        <v>384</v>
      </c>
      <c r="C39" s="499"/>
      <c r="D39" s="499"/>
      <c r="E39" s="500">
        <v>0</v>
      </c>
      <c r="F39" s="500"/>
      <c r="G39" s="500"/>
      <c r="H39" s="500"/>
      <c r="I39" s="500"/>
      <c r="J39" s="500"/>
      <c r="K39" s="500"/>
      <c r="L39" s="500"/>
      <c r="M39" s="500"/>
      <c r="N39" s="500"/>
      <c r="O39" s="500">
        <v>0</v>
      </c>
      <c r="P39" s="500"/>
      <c r="Q39" s="500"/>
      <c r="R39" s="500"/>
      <c r="S39" s="500"/>
      <c r="T39" s="500"/>
      <c r="U39" s="500"/>
      <c r="V39" s="500"/>
      <c r="W39" s="500"/>
      <c r="X39" s="500"/>
      <c r="Y39" s="489"/>
      <c r="Z39" s="489"/>
      <c r="AA39" s="489"/>
      <c r="AD39" s="28"/>
      <c r="AE39" s="28"/>
      <c r="AF39" s="28"/>
      <c r="AG39" s="23"/>
      <c r="AH39" s="23"/>
      <c r="AP39" s="28"/>
      <c r="AQ39" s="28"/>
      <c r="AR39" s="28"/>
      <c r="AS39" s="23"/>
      <c r="AT39" s="23"/>
    </row>
    <row r="40" spans="1:54" ht="16.5" customHeight="1" x14ac:dyDescent="0.2">
      <c r="B40" s="23"/>
      <c r="C40" s="23"/>
      <c r="D40" s="23"/>
      <c r="E40" s="23"/>
      <c r="F40" s="23"/>
      <c r="G40" s="23"/>
      <c r="H40" s="23"/>
      <c r="I40" s="23"/>
      <c r="J40" s="20"/>
      <c r="K40" s="20"/>
      <c r="L40" s="20"/>
      <c r="M40" s="20"/>
      <c r="N40" s="23"/>
      <c r="O40" s="23"/>
      <c r="P40" s="23"/>
      <c r="AT40" s="28"/>
      <c r="AU40" s="28"/>
      <c r="AY40" s="28"/>
      <c r="AZ40" s="28"/>
      <c r="BA40" s="28"/>
      <c r="BB40" s="28"/>
    </row>
    <row r="41" spans="1:54" ht="16.5" customHeight="1" x14ac:dyDescent="0.2">
      <c r="A41" s="506" t="s">
        <v>14</v>
      </c>
      <c r="B41" s="506"/>
      <c r="C41" s="506"/>
      <c r="D41" s="506"/>
      <c r="E41" s="506"/>
      <c r="F41" s="505"/>
      <c r="G41" s="505"/>
      <c r="H41" s="505"/>
      <c r="I41" s="505"/>
      <c r="J41" s="505"/>
      <c r="K41" s="505"/>
      <c r="L41" s="505"/>
      <c r="M41" s="505"/>
      <c r="N41" s="505"/>
      <c r="O41" s="505"/>
      <c r="Q41" s="20" t="s">
        <v>15</v>
      </c>
      <c r="R41" s="23"/>
      <c r="S41" s="504" t="str">
        <f>IF(I18="","",I18)</f>
        <v/>
      </c>
      <c r="T41" s="504"/>
      <c r="U41" s="504"/>
      <c r="V41" s="504"/>
      <c r="W41" s="504"/>
      <c r="X41" s="506" t="s">
        <v>99</v>
      </c>
      <c r="Y41" s="506"/>
      <c r="Z41" s="506"/>
      <c r="AA41" s="506"/>
      <c r="AB41" s="506"/>
      <c r="AC41" s="505"/>
      <c r="AD41" s="505"/>
      <c r="AE41" s="505"/>
      <c r="AF41" s="505"/>
      <c r="AG41" s="505"/>
      <c r="AH41" s="505"/>
      <c r="AI41" s="505"/>
      <c r="AJ41" s="505"/>
      <c r="AK41" s="505"/>
      <c r="AL41" s="505"/>
      <c r="AN41" s="442" t="s">
        <v>15</v>
      </c>
      <c r="AO41" s="442"/>
      <c r="AP41" s="504" t="str">
        <f>IF(I18="","",I18)</f>
        <v/>
      </c>
      <c r="AQ41" s="504"/>
      <c r="AR41" s="504"/>
      <c r="AS41" s="504"/>
      <c r="AT41" s="504"/>
    </row>
    <row r="42" spans="1:54" ht="16.5" customHeight="1" x14ac:dyDescent="0.2">
      <c r="B42" s="11" t="s">
        <v>16</v>
      </c>
      <c r="C42" s="11"/>
      <c r="D42" s="503"/>
      <c r="E42" s="503"/>
      <c r="F42" s="503"/>
      <c r="G42" s="503"/>
      <c r="H42" s="503"/>
      <c r="I42" s="503"/>
      <c r="J42" s="503"/>
      <c r="K42" s="503"/>
      <c r="L42" s="503"/>
      <c r="M42" s="503"/>
      <c r="N42" s="503"/>
      <c r="O42" s="503"/>
      <c r="P42" s="503"/>
      <c r="Q42" s="503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  <c r="AS42" s="503"/>
      <c r="AT42" s="503"/>
    </row>
    <row r="43" spans="1:54" ht="16.5" customHeight="1" x14ac:dyDescent="0.2">
      <c r="C43" s="503"/>
      <c r="D43" s="503"/>
      <c r="E43" s="503"/>
      <c r="F43" s="503"/>
      <c r="G43" s="503"/>
      <c r="H43" s="503"/>
      <c r="I43" s="503"/>
      <c r="J43" s="503"/>
      <c r="K43" s="503"/>
      <c r="L43" s="503"/>
      <c r="M43" s="503"/>
      <c r="N43" s="503"/>
      <c r="O43" s="503"/>
      <c r="P43" s="503"/>
      <c r="Q43" s="503"/>
      <c r="R43" s="503"/>
      <c r="S43" s="503"/>
      <c r="T43" s="503"/>
      <c r="U43" s="503"/>
      <c r="V43" s="503"/>
      <c r="W43" s="503"/>
      <c r="X43" s="503"/>
      <c r="Y43" s="503"/>
      <c r="Z43" s="503"/>
      <c r="AA43" s="503"/>
      <c r="AB43" s="503"/>
      <c r="AC43" s="503"/>
      <c r="AD43" s="503"/>
      <c r="AE43" s="503"/>
      <c r="AF43" s="503"/>
      <c r="AG43" s="503"/>
      <c r="AH43" s="503"/>
      <c r="AI43" s="503"/>
      <c r="AJ43" s="503"/>
      <c r="AK43" s="503"/>
      <c r="AL43" s="503"/>
      <c r="AM43" s="503"/>
      <c r="AN43" s="503"/>
      <c r="AO43" s="503"/>
      <c r="AP43" s="503"/>
      <c r="AQ43" s="503"/>
      <c r="AR43" s="503"/>
      <c r="AS43" s="503"/>
      <c r="AT43" s="503"/>
    </row>
    <row r="44" spans="1:54" ht="16.5" customHeight="1" x14ac:dyDescent="0.2"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54" ht="16.5" customHeight="1" x14ac:dyDescent="0.2">
      <c r="A45" s="502"/>
      <c r="B45" s="502"/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2"/>
      <c r="N45" s="502"/>
      <c r="O45" s="502"/>
      <c r="P45" s="502"/>
      <c r="Q45" s="502"/>
      <c r="R45" s="502"/>
      <c r="S45" s="502"/>
      <c r="T45" s="502"/>
      <c r="U45" s="502"/>
      <c r="V45" s="502"/>
      <c r="W45" s="502"/>
      <c r="X45" s="502"/>
      <c r="Y45" s="502"/>
      <c r="Z45" s="502"/>
      <c r="AA45" s="502"/>
      <c r="AB45" s="502"/>
      <c r="AC45" s="502"/>
      <c r="AD45" s="502"/>
      <c r="AE45" s="502"/>
      <c r="AF45" s="502"/>
      <c r="AG45" s="502"/>
      <c r="AH45" s="502"/>
      <c r="AI45" s="502"/>
      <c r="AJ45" s="502"/>
      <c r="AK45" s="502"/>
      <c r="AL45" s="502"/>
      <c r="AM45" s="502"/>
      <c r="AN45" s="502"/>
      <c r="AO45" s="502"/>
      <c r="AP45" s="502"/>
      <c r="AQ45" s="502"/>
      <c r="AR45" s="502"/>
      <c r="AS45" s="502"/>
      <c r="AT45" s="502"/>
    </row>
  </sheetData>
  <protectedRanges>
    <protectedRange sqref="AO1" name="Range10_2_1"/>
    <protectedRange sqref="AR1" name="Range11_2_1"/>
    <protectedRange sqref="O19:P19" name="Range4_2"/>
    <protectedRange sqref="F19:I19" name="Range3_2"/>
    <protectedRange sqref="F10 I10:S10" name="Range2_3"/>
    <protectedRange sqref="AQ4:AR5 AQ6 AO4:AO6" name="Range1_2"/>
    <protectedRange sqref="AD1" name="Range10_2"/>
    <protectedRange sqref="AG1" name="Range11_2"/>
    <protectedRange sqref="Z17:Z18" name="Range5_1_1"/>
    <protectedRange sqref="AS9 AN9 AK9:AK10 AP9:AP10" name="Range12_2_3"/>
    <protectedRange sqref="I11:T15" name="Range2_3_1"/>
    <protectedRange sqref="I17:N18 I16:T16" name="Range2_3_2_1"/>
    <protectedRange sqref="T17:U18" name="Range4_1_2_1"/>
    <protectedRange sqref="I7:S9" name="Range2_3_1_1"/>
  </protectedRanges>
  <dataConsolidate/>
  <mergeCells count="94">
    <mergeCell ref="B34:D34"/>
    <mergeCell ref="E34:N34"/>
    <mergeCell ref="I12:AC12"/>
    <mergeCell ref="I14:AC14"/>
    <mergeCell ref="I13:AC13"/>
    <mergeCell ref="I15:AC15"/>
    <mergeCell ref="E32:N33"/>
    <mergeCell ref="B31:D31"/>
    <mergeCell ref="B32:D32"/>
    <mergeCell ref="B33:D33"/>
    <mergeCell ref="I11:AC11"/>
    <mergeCell ref="AF22:AM22"/>
    <mergeCell ref="AN22:AT22"/>
    <mergeCell ref="I16:W16"/>
    <mergeCell ref="I17:W17"/>
    <mergeCell ref="I18:W18"/>
    <mergeCell ref="B20:I20"/>
    <mergeCell ref="AN20:AT20"/>
    <mergeCell ref="AF20:AM20"/>
    <mergeCell ref="Z22:AE22"/>
    <mergeCell ref="Z20:AE20"/>
    <mergeCell ref="C22:H22"/>
    <mergeCell ref="I22:Y22"/>
    <mergeCell ref="AJ18:AT18"/>
    <mergeCell ref="AS10:AT10"/>
    <mergeCell ref="AE8:AJ8"/>
    <mergeCell ref="I6:K6"/>
    <mergeCell ref="I8:AC8"/>
    <mergeCell ref="AH6:AN6"/>
    <mergeCell ref="AN9:AO9"/>
    <mergeCell ref="I9:AC9"/>
    <mergeCell ref="AE9:AJ9"/>
    <mergeCell ref="AE10:AJ10"/>
    <mergeCell ref="AN10:AO10"/>
    <mergeCell ref="AO1:AP1"/>
    <mergeCell ref="AR1:AS1"/>
    <mergeCell ref="AR4:AS4"/>
    <mergeCell ref="AO4:AQ4"/>
    <mergeCell ref="I10:AC10"/>
    <mergeCell ref="AK8:AO8"/>
    <mergeCell ref="AP9:AR9"/>
    <mergeCell ref="AS9:AT9"/>
    <mergeCell ref="AL1:AN1"/>
    <mergeCell ref="AO5:AS5"/>
    <mergeCell ref="AO6:AP6"/>
    <mergeCell ref="I7:AC7"/>
    <mergeCell ref="AP8:AT8"/>
    <mergeCell ref="AP10:AR10"/>
    <mergeCell ref="AK9:AM9"/>
    <mergeCell ref="AK10:AM10"/>
    <mergeCell ref="A45:AT45"/>
    <mergeCell ref="C43:AT43"/>
    <mergeCell ref="AP41:AT41"/>
    <mergeCell ref="AC41:AL41"/>
    <mergeCell ref="X41:AB41"/>
    <mergeCell ref="A41:E41"/>
    <mergeCell ref="F41:O41"/>
    <mergeCell ref="S41:W41"/>
    <mergeCell ref="AN41:AO41"/>
    <mergeCell ref="D42:AT42"/>
    <mergeCell ref="B39:D39"/>
    <mergeCell ref="E39:N39"/>
    <mergeCell ref="O39:X39"/>
    <mergeCell ref="B35:D35"/>
    <mergeCell ref="B36:D36"/>
    <mergeCell ref="B37:D37"/>
    <mergeCell ref="O36:X36"/>
    <mergeCell ref="E37:N37"/>
    <mergeCell ref="O37:X37"/>
    <mergeCell ref="E35:N35"/>
    <mergeCell ref="E36:N36"/>
    <mergeCell ref="O38:X38"/>
    <mergeCell ref="AF24:AM24"/>
    <mergeCell ref="AN24:AT24"/>
    <mergeCell ref="B38:D38"/>
    <mergeCell ref="E38:N38"/>
    <mergeCell ref="O35:X35"/>
    <mergeCell ref="Y31:AA39"/>
    <mergeCell ref="O34:X34"/>
    <mergeCell ref="O32:X33"/>
    <mergeCell ref="E31:X31"/>
    <mergeCell ref="B30:AA30"/>
    <mergeCell ref="Z28:AE28"/>
    <mergeCell ref="Z26:AE26"/>
    <mergeCell ref="I26:Y26"/>
    <mergeCell ref="I28:Y28"/>
    <mergeCell ref="B24:H24"/>
    <mergeCell ref="Z24:AE24"/>
    <mergeCell ref="AN26:AT26"/>
    <mergeCell ref="AF28:AM28"/>
    <mergeCell ref="AN28:AT28"/>
    <mergeCell ref="AF26:AM26"/>
    <mergeCell ref="C26:H26"/>
    <mergeCell ref="C28:H28"/>
  </mergeCells>
  <phoneticPr fontId="9" type="noConversion"/>
  <conditionalFormatting sqref="E35:E39 O35:O39">
    <cfRule type="cellIs" dxfId="32" priority="1" operator="equal">
      <formula>0</formula>
    </cfRule>
  </conditionalFormatting>
  <dataValidations count="3">
    <dataValidation type="list" allowBlank="1" showInputMessage="1" showErrorMessage="1" sqref="AC41:AL41 F41:O41" xr:uid="{C63DA030-1071-46A9-9776-2C1D8BD76892}">
      <formula1>Name.Personnel</formula1>
    </dataValidation>
    <dataValidation type="list" allowBlank="1" showInputMessage="1" showErrorMessage="1" sqref="C27" xr:uid="{205C2F80-CC3B-4D23-BC37-7BA675F5F487}">
      <formula1>Toolcode.Apparatus</formula1>
    </dataValidation>
    <dataValidation type="list" allowBlank="1" showInputMessage="1" showErrorMessage="1" sqref="E34:N34" xr:uid="{01B13D52-B5AE-4844-8647-107F4FDD52F4}">
      <formula1>"Minute,Second"</formula1>
    </dataValidation>
  </dataValidations>
  <pageMargins left="0.19685039370078741" right="0.19685039370078741" top="0.19685039370078741" bottom="0.19685039370078741" header="0.31496062992125984" footer="0.31496062992125984"/>
  <pageSetup paperSize="9" scale="80" orientation="portrait" r:id="rId1"/>
  <headerFooter>
    <oddFooter>&amp;L&amp;"TH Sarabun New,Regular"&amp;12P-WI-09-ELC-001-1 R03 (19/08/68) P&amp;P/&amp;N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" r:id="rId4" name="Check Box 23">
              <controlPr defaultSize="0" autoFill="0" autoLine="0" autoPict="0">
                <anchor moveWithCells="1">
                  <from>
                    <xdr:col>29</xdr:col>
                    <xdr:colOff>161925</xdr:colOff>
                    <xdr:row>16</xdr:row>
                    <xdr:rowOff>9525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Check Box 26">
              <controlPr defaultSize="0" autoFill="0" autoLine="0" autoPict="0">
                <anchor moveWithCells="1">
                  <from>
                    <xdr:col>29</xdr:col>
                    <xdr:colOff>171450</xdr:colOff>
                    <xdr:row>16</xdr:row>
                    <xdr:rowOff>200025</xdr:rowOff>
                  </from>
                  <to>
                    <xdr:col>31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create_cal">
                <anchor moveWithCells="1" sizeWithCells="1">
                  <from>
                    <xdr:col>50</xdr:col>
                    <xdr:colOff>9525</xdr:colOff>
                    <xdr:row>14</xdr:row>
                    <xdr:rowOff>19050</xdr:rowOff>
                  </from>
                  <to>
                    <xdr:col>51</xdr:col>
                    <xdr:colOff>457200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7" name="Button 41">
              <controlPr defaultSize="0" print="0" autoFill="0" autoPict="0" macro="[0]!ลบ2">
                <anchor moveWithCells="1">
                  <from>
                    <xdr:col>50</xdr:col>
                    <xdr:colOff>390525</xdr:colOff>
                    <xdr:row>16</xdr:row>
                    <xdr:rowOff>142875</xdr:rowOff>
                  </from>
                  <to>
                    <xdr:col>51</xdr:col>
                    <xdr:colOff>447675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C4BEE8B-454B-4BFB-AC84-0E83165DF436}">
          <x14:formula1>
            <xm:f>Data!$K$2:$K$12</xm:f>
          </x14:formula1>
          <xm:sqref>I11:AC11</xm:sqref>
        </x14:dataValidation>
        <x14:dataValidation type="list" allowBlank="1" showInputMessage="1" showErrorMessage="1" xr:uid="{7BADF3B1-4CE3-4D98-B918-53AE2BF990E8}">
          <x14:formula1>
            <xm:f>Data!$A$3:$A$54</xm:f>
          </x14:formula1>
          <xm:sqref>I6:K6</xm:sqref>
        </x14:dataValidation>
        <x14:dataValidation type="list" allowBlank="1" showInputMessage="1" showErrorMessage="1" xr:uid="{BEA87399-AD01-4B67-AADC-FE47558423FB}">
          <x14:formula1>
            <xm:f>STD!$A$15:$A$16</xm:f>
          </x14:formula1>
          <xm:sqref>C28:H28</xm:sqref>
        </x14:dataValidation>
        <x14:dataValidation type="list" allowBlank="1" showInputMessage="1" showErrorMessage="1" xr:uid="{443DF60A-FA5B-4070-AFA1-4FA37EC20E59}">
          <x14:formula1>
            <xm:f>STD!$A$11:$A$14</xm:f>
          </x14:formula1>
          <xm:sqref>C26:H26</xm:sqref>
        </x14:dataValidation>
        <x14:dataValidation type="list" allowBlank="1" showInputMessage="1" showErrorMessage="1" xr:uid="{CD1E26FF-7022-4E56-8C0A-4862E73ED979}">
          <x14:formula1>
            <xm:f>STD!$A$3:$A$8</xm:f>
          </x14:formula1>
          <xm:sqref>C22:H22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7F2D0-2F40-4F3B-B7C8-9904619B001C}">
  <dimension ref="A1:T16"/>
  <sheetViews>
    <sheetView zoomScale="130" zoomScaleNormal="130" workbookViewId="0">
      <selection activeCell="G6" sqref="G6"/>
    </sheetView>
  </sheetViews>
  <sheetFormatPr defaultRowHeight="12.75" x14ac:dyDescent="0.2"/>
  <cols>
    <col min="1" max="1" width="21.7109375" bestFit="1" customWidth="1"/>
    <col min="2" max="2" width="23.42578125" bestFit="1" customWidth="1"/>
    <col min="3" max="5" width="11.28515625" bestFit="1" customWidth="1"/>
    <col min="6" max="6" width="18" bestFit="1" customWidth="1"/>
    <col min="7" max="9" width="11.28515625" bestFit="1" customWidth="1"/>
    <col min="10" max="20" width="12.28515625" bestFit="1" customWidth="1"/>
  </cols>
  <sheetData>
    <row r="1" spans="1:20" x14ac:dyDescent="0.2">
      <c r="A1" t="s">
        <v>26</v>
      </c>
      <c r="B1" t="s">
        <v>448</v>
      </c>
      <c r="C1" t="s">
        <v>449</v>
      </c>
      <c r="D1" t="s">
        <v>450</v>
      </c>
      <c r="E1" t="s">
        <v>451</v>
      </c>
      <c r="F1" t="s">
        <v>452</v>
      </c>
      <c r="G1" t="s">
        <v>453</v>
      </c>
      <c r="H1" t="s">
        <v>454</v>
      </c>
      <c r="I1" t="s">
        <v>455</v>
      </c>
      <c r="J1" t="s">
        <v>456</v>
      </c>
      <c r="K1" t="s">
        <v>457</v>
      </c>
      <c r="L1" t="s">
        <v>458</v>
      </c>
      <c r="M1" t="s">
        <v>459</v>
      </c>
      <c r="N1" t="s">
        <v>460</v>
      </c>
      <c r="O1" t="s">
        <v>461</v>
      </c>
      <c r="P1" t="s">
        <v>462</v>
      </c>
      <c r="Q1" t="s">
        <v>463</v>
      </c>
      <c r="R1" t="s">
        <v>464</v>
      </c>
      <c r="S1" t="s">
        <v>465</v>
      </c>
      <c r="T1" t="s">
        <v>466</v>
      </c>
    </row>
    <row r="2" spans="1:20" x14ac:dyDescent="0.2">
      <c r="A2" t="s">
        <v>433</v>
      </c>
      <c r="B2" t="s">
        <v>434</v>
      </c>
      <c r="C2" t="s">
        <v>435</v>
      </c>
      <c r="D2" t="s">
        <v>27</v>
      </c>
      <c r="E2" t="s">
        <v>28</v>
      </c>
      <c r="F2" t="s">
        <v>436</v>
      </c>
      <c r="G2" t="s">
        <v>437</v>
      </c>
    </row>
    <row r="3" spans="1:20" x14ac:dyDescent="0.2">
      <c r="A3" t="s">
        <v>438</v>
      </c>
      <c r="B3" t="s">
        <v>439</v>
      </c>
      <c r="C3" t="s">
        <v>440</v>
      </c>
      <c r="D3">
        <v>931</v>
      </c>
      <c r="E3" t="s">
        <v>467</v>
      </c>
      <c r="F3">
        <v>45931</v>
      </c>
      <c r="G3" t="s">
        <v>500</v>
      </c>
    </row>
    <row r="4" spans="1:20" x14ac:dyDescent="0.2">
      <c r="A4" t="s">
        <v>441</v>
      </c>
      <c r="B4" t="s">
        <v>439</v>
      </c>
      <c r="C4" t="s">
        <v>442</v>
      </c>
      <c r="D4">
        <v>470</v>
      </c>
      <c r="E4" t="s">
        <v>443</v>
      </c>
      <c r="F4">
        <v>45883</v>
      </c>
      <c r="G4" t="s">
        <v>493</v>
      </c>
    </row>
    <row r="5" spans="1:20" x14ac:dyDescent="0.2">
      <c r="A5" t="s">
        <v>444</v>
      </c>
      <c r="B5" t="s">
        <v>439</v>
      </c>
      <c r="C5" t="s">
        <v>445</v>
      </c>
      <c r="D5" t="s">
        <v>446</v>
      </c>
      <c r="E5" t="s">
        <v>447</v>
      </c>
      <c r="F5">
        <v>45930</v>
      </c>
      <c r="G5" t="s">
        <v>501</v>
      </c>
    </row>
    <row r="9" spans="1:20" x14ac:dyDescent="0.2">
      <c r="A9" t="s">
        <v>1</v>
      </c>
    </row>
    <row r="10" spans="1:20" x14ac:dyDescent="0.2">
      <c r="A10" t="s">
        <v>433</v>
      </c>
      <c r="B10" t="s">
        <v>434</v>
      </c>
      <c r="C10" t="s">
        <v>435</v>
      </c>
      <c r="D10" t="s">
        <v>27</v>
      </c>
      <c r="E10" t="s">
        <v>28</v>
      </c>
      <c r="F10" t="s">
        <v>436</v>
      </c>
      <c r="G10" t="s">
        <v>437</v>
      </c>
    </row>
    <row r="11" spans="1:20" x14ac:dyDescent="0.2">
      <c r="A11" t="s">
        <v>468</v>
      </c>
      <c r="B11" t="s">
        <v>469</v>
      </c>
      <c r="C11" t="s">
        <v>470</v>
      </c>
      <c r="D11" t="s">
        <v>471</v>
      </c>
      <c r="E11" t="s">
        <v>472</v>
      </c>
      <c r="F11" t="s">
        <v>503</v>
      </c>
      <c r="G11" t="s">
        <v>504</v>
      </c>
    </row>
    <row r="12" spans="1:20" x14ac:dyDescent="0.2">
      <c r="A12" t="s">
        <v>473</v>
      </c>
      <c r="B12" t="s">
        <v>469</v>
      </c>
      <c r="C12" t="s">
        <v>470</v>
      </c>
      <c r="D12" t="s">
        <v>471</v>
      </c>
      <c r="E12" t="s">
        <v>474</v>
      </c>
      <c r="F12" t="s">
        <v>494</v>
      </c>
      <c r="G12" t="s">
        <v>495</v>
      </c>
    </row>
    <row r="13" spans="1:20" x14ac:dyDescent="0.2">
      <c r="A13" t="s">
        <v>475</v>
      </c>
      <c r="B13" t="s">
        <v>469</v>
      </c>
      <c r="C13" t="s">
        <v>470</v>
      </c>
      <c r="D13" t="s">
        <v>471</v>
      </c>
      <c r="E13" t="s">
        <v>476</v>
      </c>
      <c r="F13" t="s">
        <v>496</v>
      </c>
      <c r="G13" t="s">
        <v>497</v>
      </c>
    </row>
    <row r="14" spans="1:20" x14ac:dyDescent="0.2">
      <c r="A14" t="s">
        <v>477</v>
      </c>
      <c r="B14" t="s">
        <v>469</v>
      </c>
      <c r="C14" t="s">
        <v>470</v>
      </c>
      <c r="D14" t="s">
        <v>471</v>
      </c>
      <c r="E14" t="s">
        <v>478</v>
      </c>
      <c r="F14" t="s">
        <v>494</v>
      </c>
      <c r="G14" t="s">
        <v>498</v>
      </c>
    </row>
    <row r="15" spans="1:20" x14ac:dyDescent="0.2">
      <c r="A15" t="s">
        <v>479</v>
      </c>
      <c r="B15" t="s">
        <v>480</v>
      </c>
      <c r="C15" t="s">
        <v>481</v>
      </c>
      <c r="D15" t="s">
        <v>482</v>
      </c>
      <c r="E15" t="s">
        <v>483</v>
      </c>
      <c r="F15">
        <v>45883</v>
      </c>
      <c r="G15" t="s">
        <v>499</v>
      </c>
    </row>
    <row r="16" spans="1:20" x14ac:dyDescent="0.2">
      <c r="A16" t="s">
        <v>484</v>
      </c>
      <c r="B16" t="s">
        <v>480</v>
      </c>
      <c r="C16" t="s">
        <v>485</v>
      </c>
      <c r="D16" t="s">
        <v>486</v>
      </c>
      <c r="E16" t="s">
        <v>487</v>
      </c>
      <c r="F16">
        <v>45931</v>
      </c>
      <c r="G16" t="s">
        <v>500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04B0E-5894-4017-B168-7B1C3207CE39}">
  <sheetPr codeName="Sheet8"/>
  <dimension ref="A1:G20"/>
  <sheetViews>
    <sheetView zoomScaleNormal="100" workbookViewId="0">
      <selection activeCell="G3" sqref="G3"/>
    </sheetView>
  </sheetViews>
  <sheetFormatPr defaultColWidth="68" defaultRowHeight="24" x14ac:dyDescent="0.2"/>
  <cols>
    <col min="1" max="1" width="18.42578125" style="84" bestFit="1" customWidth="1"/>
    <col min="2" max="2" width="49.5703125" style="75" customWidth="1"/>
    <col min="3" max="3" width="12.5703125" style="75" bestFit="1" customWidth="1"/>
    <col min="4" max="4" width="13.85546875" style="75" customWidth="1"/>
    <col min="5" max="5" width="16.140625" style="75" customWidth="1"/>
    <col min="6" max="6" width="17.5703125" style="85" customWidth="1"/>
    <col min="7" max="7" width="18.5703125" style="75" customWidth="1"/>
    <col min="8" max="16384" width="68" style="75"/>
  </cols>
  <sheetData>
    <row r="1" spans="1:7" x14ac:dyDescent="0.2">
      <c r="A1" s="80" t="s">
        <v>26</v>
      </c>
    </row>
    <row r="2" spans="1:7" x14ac:dyDescent="0.2">
      <c r="A2" s="81" t="s">
        <v>433</v>
      </c>
      <c r="B2" s="76" t="s">
        <v>434</v>
      </c>
      <c r="C2" s="76" t="s">
        <v>435</v>
      </c>
      <c r="D2" s="76" t="s">
        <v>27</v>
      </c>
      <c r="E2" s="76" t="s">
        <v>28</v>
      </c>
      <c r="F2" s="86" t="s">
        <v>436</v>
      </c>
      <c r="G2" s="77" t="s">
        <v>437</v>
      </c>
    </row>
    <row r="3" spans="1:7" x14ac:dyDescent="0.2">
      <c r="A3" s="82" t="str">
        <f>IF(Cen[[#This Row],[Reference Standard]]="","",Cen[[#This Row],[Reference Standard]])</f>
        <v>W-ELC-001</v>
      </c>
      <c r="B3" s="89" t="str">
        <f>IF(Cen[[#This Row],[Column2]]="","",Cen[[#This Row],[Column2]])</f>
        <v>Digital Tachometer</v>
      </c>
      <c r="C3" s="82" t="str">
        <f>IF(Cen[[#This Row],[Column3]]="","",Cen[[#This Row],[Column3]])</f>
        <v>FLUKE</v>
      </c>
      <c r="D3" s="82">
        <f>IF(Cen[[#This Row],[Column4]]="","",Cen[[#This Row],[Column4]])</f>
        <v>931</v>
      </c>
      <c r="E3" s="82" t="str">
        <f>IF(Cen[[#This Row],[Column5]]="","",Cen[[#This Row],[Column5]])</f>
        <v>1847069</v>
      </c>
      <c r="F3" s="87">
        <f>IF(Cen[[#This Row],[Column6]]="","",Cen[[#This Row],[Column6]])</f>
        <v>45931</v>
      </c>
      <c r="G3" s="82" t="str">
        <f>IF(Cen[[#This Row],[Column7]]="","",Cen[[#This Row],[Column7]])</f>
        <v>25E3136</v>
      </c>
    </row>
    <row r="4" spans="1:7" x14ac:dyDescent="0.2">
      <c r="A4" s="82" t="str">
        <f>IF(Cen[[#This Row],[Reference Standard]]="","",Cen[[#This Row],[Reference Standard]])</f>
        <v>W-ELC-002</v>
      </c>
      <c r="B4" s="89" t="str">
        <f>IF(Cen[[#This Row],[Column2]]="","",Cen[[#This Row],[Column2]])</f>
        <v>Digital Tachometer</v>
      </c>
      <c r="C4" s="82" t="str">
        <f>IF(Cen[[#This Row],[Column3]]="","",Cen[[#This Row],[Column3]])</f>
        <v>Testo</v>
      </c>
      <c r="D4" s="82">
        <f>IF(Cen[[#This Row],[Column4]]="","",Cen[[#This Row],[Column4]])</f>
        <v>470</v>
      </c>
      <c r="E4" s="82" t="str">
        <f>IF(Cen[[#This Row],[Column5]]="","",Cen[[#This Row],[Column5]])</f>
        <v>1802191</v>
      </c>
      <c r="F4" s="87">
        <f>IF(Cen[[#This Row],[Column6]]="","",Cen[[#This Row],[Column6]])</f>
        <v>45883</v>
      </c>
      <c r="G4" s="82" t="str">
        <f>IF(Cen[[#This Row],[Column7]]="","",Cen[[#This Row],[Column7]])</f>
        <v>25E2621</v>
      </c>
    </row>
    <row r="5" spans="1:7" x14ac:dyDescent="0.2">
      <c r="A5" s="82" t="str">
        <f>IF(Cen[[#This Row],[Reference Standard]]="","",Cen[[#This Row],[Reference Standard]])</f>
        <v>W-ELC-003</v>
      </c>
      <c r="B5" s="89" t="str">
        <f>IF(Cen[[#This Row],[Column2]]="","",Cen[[#This Row],[Column2]])</f>
        <v>Digital Tachometer</v>
      </c>
      <c r="C5" s="82" t="str">
        <f>IF(Cen[[#This Row],[Column3]]="","",Cen[[#This Row],[Column3]])</f>
        <v>DIGICON</v>
      </c>
      <c r="D5" s="82" t="str">
        <f>IF(Cen[[#This Row],[Column4]]="","",Cen[[#This Row],[Column4]])</f>
        <v>DT-250TP</v>
      </c>
      <c r="E5" s="82" t="str">
        <f>IF(Cen[[#This Row],[Column5]]="","",Cen[[#This Row],[Column5]])</f>
        <v>C.30741</v>
      </c>
      <c r="F5" s="87">
        <f>IF(Cen[[#This Row],[Column6]]="","",Cen[[#This Row],[Column6]])</f>
        <v>45930</v>
      </c>
      <c r="G5" s="82" t="str">
        <f>IF(Cen[[#This Row],[Column7]]="","",Cen[[#This Row],[Column7]])</f>
        <v>25E3124</v>
      </c>
    </row>
    <row r="6" spans="1:7" x14ac:dyDescent="0.2">
      <c r="A6" s="82" t="str">
        <f>IF(Cen[[#This Row],[Reference Standard]]="","",Cen[[#This Row],[Reference Standard]])</f>
        <v/>
      </c>
      <c r="B6" s="89" t="str">
        <f>IF(Cen[[#This Row],[Column2]]="","",Cen[[#This Row],[Column2]])</f>
        <v/>
      </c>
      <c r="C6" s="82" t="str">
        <f>IF(Cen[[#This Row],[Column3]]="","",Cen[[#This Row],[Column3]])</f>
        <v/>
      </c>
      <c r="D6" s="82" t="str">
        <f>IF(Cen[[#This Row],[Column4]]="","",Cen[[#This Row],[Column4]])</f>
        <v/>
      </c>
      <c r="E6" s="82" t="str">
        <f>IF(Cen[[#This Row],[Column5]]="","",Cen[[#This Row],[Column5]])</f>
        <v/>
      </c>
      <c r="F6" s="87" t="str">
        <f>IF(Cen[[#This Row],[Column6]]="","",Cen[[#This Row],[Column6]])</f>
        <v/>
      </c>
      <c r="G6" s="82" t="str">
        <f>IF(Cen[[#This Row],[Column7]]="","",Cen[[#This Row],[Column7]])</f>
        <v/>
      </c>
    </row>
    <row r="7" spans="1:7" x14ac:dyDescent="0.2">
      <c r="A7" s="82" t="str">
        <f>IF(Cen[[#This Row],[Reference Standard]]="","",Cen[[#This Row],[Reference Standard]])</f>
        <v/>
      </c>
      <c r="B7" s="89" t="str">
        <f>IF(Cen[[#This Row],[Column2]]="","",Cen[[#This Row],[Column2]])</f>
        <v/>
      </c>
      <c r="C7" s="82" t="str">
        <f>IF(Cen[[#This Row],[Column3]]="","",Cen[[#This Row],[Column3]])</f>
        <v/>
      </c>
      <c r="D7" s="82" t="str">
        <f>IF(Cen[[#This Row],[Column4]]="","",Cen[[#This Row],[Column4]])</f>
        <v/>
      </c>
      <c r="E7" s="82" t="str">
        <f>IF(Cen[[#This Row],[Column5]]="","",Cen[[#This Row],[Column5]])</f>
        <v/>
      </c>
      <c r="F7" s="87" t="str">
        <f>IF(Cen[[#This Row],[Column6]]="","",Cen[[#This Row],[Column6]])</f>
        <v/>
      </c>
      <c r="G7" s="82" t="str">
        <f>IF(Cen[[#This Row],[Column7]]="","",Cen[[#This Row],[Column7]])</f>
        <v/>
      </c>
    </row>
    <row r="8" spans="1:7" x14ac:dyDescent="0.2">
      <c r="A8" s="82" t="str">
        <f>IF(Cen[[#This Row],[Reference Standard]]="","",Cen[[#This Row],[Reference Standard]])</f>
        <v/>
      </c>
      <c r="B8" s="89" t="str">
        <f>IF(Cen[[#This Row],[Column2]]="","",Cen[[#This Row],[Column2]])</f>
        <v/>
      </c>
      <c r="C8" s="82" t="str">
        <f>IF(Cen[[#This Row],[Column3]]="","",Cen[[#This Row],[Column3]])</f>
        <v/>
      </c>
      <c r="D8" s="82" t="str">
        <f>IF(Cen[[#This Row],[Column4]]="","",Cen[[#This Row],[Column4]])</f>
        <v/>
      </c>
      <c r="E8" s="82" t="str">
        <f>IF(Cen[[#This Row],[Column5]]="","",Cen[[#This Row],[Column5]])</f>
        <v/>
      </c>
      <c r="F8" s="87" t="str">
        <f>IF(Cen[[#This Row],[Column6]]="","",Cen[[#This Row],[Column6]])</f>
        <v/>
      </c>
      <c r="G8" s="82" t="str">
        <f>IF(Cen[[#This Row],[Column7]]="","",Cen[[#This Row],[Column7]])</f>
        <v/>
      </c>
    </row>
    <row r="9" spans="1:7" x14ac:dyDescent="0.2">
      <c r="A9" s="80" t="s">
        <v>1</v>
      </c>
      <c r="B9" s="90"/>
    </row>
    <row r="10" spans="1:7" x14ac:dyDescent="0.2">
      <c r="A10" s="83" t="s">
        <v>433</v>
      </c>
      <c r="B10" s="91" t="s">
        <v>434</v>
      </c>
      <c r="C10" s="78" t="s">
        <v>435</v>
      </c>
      <c r="D10" s="78" t="s">
        <v>27</v>
      </c>
      <c r="E10" s="78" t="s">
        <v>28</v>
      </c>
      <c r="F10" s="88" t="s">
        <v>436</v>
      </c>
      <c r="G10" s="79" t="s">
        <v>437</v>
      </c>
    </row>
    <row r="11" spans="1:7" ht="48" x14ac:dyDescent="0.2">
      <c r="A11" s="82" t="str">
        <f>IF(Cen[[#This Row],[Reference Standard]]="","",Cen[[#This Row],[Reference Standard]])</f>
        <v>W-ETC-001</v>
      </c>
      <c r="B11" s="89" t="str">
        <f>IF(Cen[[#This Row],[Column2]]="","",Cen[[#This Row],[Column2]])</f>
        <v>Digital Thermo Hygrometer</v>
      </c>
      <c r="C11" s="82" t="str">
        <f>IF(Cen[[#This Row],[Column3]]="","",Cen[[#This Row],[Column3]])</f>
        <v>ROTRONIC</v>
      </c>
      <c r="D11" s="82" t="str">
        <f>IF(Cen[[#This Row],[Column4]]="","",Cen[[#This Row],[Column4]])</f>
        <v>BL-1D</v>
      </c>
      <c r="E11" s="82" t="str">
        <f>IF(Cen[[#This Row],[Column5]]="","",Cen[[#This Row],[Column5]])</f>
        <v>A18061013</v>
      </c>
      <c r="F11" s="87" t="str">
        <f>IF(Cen[[#This Row],[Column6]]="","",Cen[[#This Row],[Column6]])</f>
        <v>30 Sep - 2 Oct 2025</v>
      </c>
      <c r="G11" s="82" t="str">
        <f>IF(Cen[[#This Row],[Column7]]="","",Cen[[#This Row],[Column7]])</f>
        <v>25H1893</v>
      </c>
    </row>
    <row r="12" spans="1:7" x14ac:dyDescent="0.2">
      <c r="A12" s="82" t="str">
        <f>IF(Cen[[#This Row],[Reference Standard]]="","",Cen[[#This Row],[Reference Standard]])</f>
        <v>W-ETC-002</v>
      </c>
      <c r="B12" s="89" t="str">
        <f>IF(Cen[[#This Row],[Column2]]="","",Cen[[#This Row],[Column2]])</f>
        <v>Digital Thermo Hygrometer</v>
      </c>
      <c r="C12" s="82" t="str">
        <f>IF(Cen[[#This Row],[Column3]]="","",Cen[[#This Row],[Column3]])</f>
        <v>ROTRONIC</v>
      </c>
      <c r="D12" s="82" t="str">
        <f>IF(Cen[[#This Row],[Column4]]="","",Cen[[#This Row],[Column4]])</f>
        <v>BL-1D</v>
      </c>
      <c r="E12" s="82" t="str">
        <f>IF(Cen[[#This Row],[Column5]]="","",Cen[[#This Row],[Column5]])</f>
        <v>A18061026</v>
      </c>
      <c r="F12" s="87" t="str">
        <f>IF(Cen[[#This Row],[Column6]]="","",Cen[[#This Row],[Column6]])</f>
        <v>8-13 Aug 2025</v>
      </c>
      <c r="G12" s="82" t="str">
        <f>IF(Cen[[#This Row],[Column7]]="","",Cen[[#This Row],[Column7]])</f>
        <v>25H1571</v>
      </c>
    </row>
    <row r="13" spans="1:7" x14ac:dyDescent="0.2">
      <c r="A13" s="82" t="str">
        <f>IF(Cen[[#This Row],[Reference Standard]]="","",Cen[[#This Row],[Reference Standard]])</f>
        <v>W-ETC-003</v>
      </c>
      <c r="B13" s="89" t="str">
        <f>IF(Cen[[#This Row],[Column2]]="","",Cen[[#This Row],[Column2]])</f>
        <v>Digital Thermo Hygrometer</v>
      </c>
      <c r="C13" s="82" t="str">
        <f>IF(Cen[[#This Row],[Column3]]="","",Cen[[#This Row],[Column3]])</f>
        <v>ROTRONIC</v>
      </c>
      <c r="D13" s="82" t="str">
        <f>IF(Cen[[#This Row],[Column4]]="","",Cen[[#This Row],[Column4]])</f>
        <v>BL-1D</v>
      </c>
      <c r="E13" s="82" t="str">
        <f>IF(Cen[[#This Row],[Column5]]="","",Cen[[#This Row],[Column5]])</f>
        <v>A18061029</v>
      </c>
      <c r="F13" s="87" t="str">
        <f>IF(Cen[[#This Row],[Column6]]="","",Cen[[#This Row],[Column6]])</f>
        <v>23-31 Jul 2025</v>
      </c>
      <c r="G13" s="82" t="str">
        <f>IF(Cen[[#This Row],[Column7]]="","",Cen[[#This Row],[Column7]])</f>
        <v>25H1490</v>
      </c>
    </row>
    <row r="14" spans="1:7" x14ac:dyDescent="0.2">
      <c r="A14" s="82" t="str">
        <f>IF(Cen[[#This Row],[Reference Standard]]="","",Cen[[#This Row],[Reference Standard]])</f>
        <v>W-ETC-007</v>
      </c>
      <c r="B14" s="89" t="str">
        <f>IF(Cen[[#This Row],[Column2]]="","",Cen[[#This Row],[Column2]])</f>
        <v>Digital Thermo Hygrometer</v>
      </c>
      <c r="C14" s="82" t="str">
        <f>IF(Cen[[#This Row],[Column3]]="","",Cen[[#This Row],[Column3]])</f>
        <v>ROTRONIC</v>
      </c>
      <c r="D14" s="82" t="str">
        <f>IF(Cen[[#This Row],[Column4]]="","",Cen[[#This Row],[Column4]])</f>
        <v>BL-1D</v>
      </c>
      <c r="E14" s="82" t="str">
        <f>IF(Cen[[#This Row],[Column5]]="","",Cen[[#This Row],[Column5]])</f>
        <v>A18061028</v>
      </c>
      <c r="F14" s="87" t="str">
        <f>IF(Cen[[#This Row],[Column6]]="","",Cen[[#This Row],[Column6]])</f>
        <v>8-13 Aug 2025</v>
      </c>
      <c r="G14" s="82" t="str">
        <f>IF(Cen[[#This Row],[Column7]]="","",Cen[[#This Row],[Column7]])</f>
        <v>25H1572</v>
      </c>
    </row>
    <row r="15" spans="1:7" x14ac:dyDescent="0.2">
      <c r="A15" s="82" t="str">
        <f>IF(Cen[[#This Row],[Reference Standard]]="","",Cen[[#This Row],[Reference Standard]])</f>
        <v>Timer Junsd</v>
      </c>
      <c r="B15" s="89" t="str">
        <f>IF(Cen[[#This Row],[Column2]]="","",Cen[[#This Row],[Column2]])</f>
        <v>Digital Stopwatch</v>
      </c>
      <c r="C15" s="82" t="str">
        <f>IF(Cen[[#This Row],[Column3]]="","",Cen[[#This Row],[Column3]])</f>
        <v>Junsd</v>
      </c>
      <c r="D15" s="82" t="str">
        <f>IF(Cen[[#This Row],[Column4]]="","",Cen[[#This Row],[Column4]])</f>
        <v>JS-320</v>
      </c>
      <c r="E15" s="82" t="str">
        <f>IF(Cen[[#This Row],[Column5]]="","",Cen[[#This Row],[Column5]])</f>
        <v>E11758</v>
      </c>
      <c r="F15" s="87">
        <f>IF(Cen[[#This Row],[Column6]]="","",Cen[[#This Row],[Column6]])</f>
        <v>45883</v>
      </c>
      <c r="G15" s="82" t="str">
        <f>IF(Cen[[#This Row],[Column7]]="","",Cen[[#This Row],[Column7]])</f>
        <v>25E2620</v>
      </c>
    </row>
    <row r="16" spans="1:7" x14ac:dyDescent="0.2">
      <c r="A16" s="82" t="str">
        <f>IF(Cen[[#This Row],[Reference Standard]]="","",Cen[[#This Row],[Reference Standard]])</f>
        <v>Timer Seiko</v>
      </c>
      <c r="B16" s="89" t="str">
        <f>IF(Cen[[#This Row],[Column2]]="","",Cen[[#This Row],[Column2]])</f>
        <v>Digital Stopwatch</v>
      </c>
      <c r="C16" s="82" t="str">
        <f>IF(Cen[[#This Row],[Column3]]="","",Cen[[#This Row],[Column3]])</f>
        <v>Seiko</v>
      </c>
      <c r="D16" s="82" t="str">
        <f>IF(Cen[[#This Row],[Column4]]="","",Cen[[#This Row],[Column4]])</f>
        <v>S057-4000</v>
      </c>
      <c r="E16" s="82" t="str">
        <f>IF(Cen[[#This Row],[Column5]]="","",Cen[[#This Row],[Column5]])</f>
        <v>880018</v>
      </c>
      <c r="F16" s="87">
        <f>IF(Cen[[#This Row],[Column6]]="","",Cen[[#This Row],[Column6]])</f>
        <v>45931</v>
      </c>
      <c r="G16" s="82" t="str">
        <f>IF(Cen[[#This Row],[Column7]]="","",Cen[[#This Row],[Column7]])</f>
        <v>25E3136</v>
      </c>
    </row>
    <row r="17" spans="1:7" x14ac:dyDescent="0.2">
      <c r="A17" s="82" t="str">
        <f>IF(Cen[[#This Row],[Reference Standard]]="","",Cen[[#This Row],[Reference Standard]])</f>
        <v/>
      </c>
      <c r="B17" s="82" t="str">
        <f>IF(Cen[[#This Row],[Column2]]="","",Cen[[#This Row],[Column2]])</f>
        <v/>
      </c>
      <c r="C17" s="82" t="str">
        <f>IF(Cen[[#This Row],[Column3]]="","",Cen[[#This Row],[Column3]])</f>
        <v/>
      </c>
      <c r="D17" s="82" t="str">
        <f>IF(Cen[[#This Row],[Column4]]="","",Cen[[#This Row],[Column4]])</f>
        <v/>
      </c>
      <c r="E17" s="82" t="str">
        <f>IF(Cen[[#This Row],[Column5]]="","",Cen[[#This Row],[Column5]])</f>
        <v/>
      </c>
      <c r="F17" s="87" t="str">
        <f>IF(Cen[[#This Row],[Column6]]="","",Cen[[#This Row],[Column6]])</f>
        <v/>
      </c>
      <c r="G17" s="82" t="str">
        <f>IF(Cen[[#This Row],[Column7]]="","",Cen[[#This Row],[Column7]])</f>
        <v/>
      </c>
    </row>
    <row r="18" spans="1:7" x14ac:dyDescent="0.2">
      <c r="A18" s="82" t="str">
        <f>IF(Cen[[#This Row],[Reference Standard]]="","",Cen[[#This Row],[Reference Standard]])</f>
        <v/>
      </c>
      <c r="B18" s="82" t="str">
        <f>IF(Cen[[#This Row],[Column2]]="","",Cen[[#This Row],[Column2]])</f>
        <v/>
      </c>
      <c r="C18" s="82" t="str">
        <f>IF(Cen[[#This Row],[Column3]]="","",Cen[[#This Row],[Column3]])</f>
        <v/>
      </c>
      <c r="D18" s="82" t="str">
        <f>IF(Cen[[#This Row],[Column4]]="","",Cen[[#This Row],[Column4]])</f>
        <v/>
      </c>
      <c r="E18" s="82" t="str">
        <f>IF(Cen[[#This Row],[Column5]]="","",Cen[[#This Row],[Column5]])</f>
        <v/>
      </c>
      <c r="F18" s="87" t="str">
        <f>IF(Cen[[#This Row],[Column6]]="","",Cen[[#This Row],[Column6]])</f>
        <v/>
      </c>
      <c r="G18" s="82" t="str">
        <f>IF(Cen[[#This Row],[Column7]]="","",Cen[[#This Row],[Column7]])</f>
        <v/>
      </c>
    </row>
    <row r="19" spans="1:7" x14ac:dyDescent="0.2">
      <c r="A19" s="82" t="str">
        <f>IF(Cen[[#This Row],[Reference Standard]]="","",Cen[[#This Row],[Reference Standard]])</f>
        <v/>
      </c>
      <c r="B19" s="82" t="str">
        <f>IF(Cen[[#This Row],[Column2]]="","",Cen[[#This Row],[Column2]])</f>
        <v/>
      </c>
      <c r="C19" s="82" t="str">
        <f>IF(Cen[[#This Row],[Column3]]="","",Cen[[#This Row],[Column3]])</f>
        <v/>
      </c>
      <c r="D19" s="82" t="str">
        <f>IF(Cen[[#This Row],[Column4]]="","",Cen[[#This Row],[Column4]])</f>
        <v/>
      </c>
      <c r="E19" s="82" t="str">
        <f>IF(Cen[[#This Row],[Column5]]="","",Cen[[#This Row],[Column5]])</f>
        <v/>
      </c>
      <c r="F19" s="87" t="str">
        <f>IF(Cen[[#This Row],[Column6]]="","",Cen[[#This Row],[Column6]])</f>
        <v/>
      </c>
      <c r="G19" s="82" t="str">
        <f>IF(Cen[[#This Row],[Column7]]="","",Cen[[#This Row],[Column7]])</f>
        <v/>
      </c>
    </row>
    <row r="20" spans="1:7" x14ac:dyDescent="0.2">
      <c r="A20" s="82" t="str">
        <f>IF(Cen[[#This Row],[Reference Standard]]="","",Cen[[#This Row],[Reference Standard]])</f>
        <v/>
      </c>
      <c r="B20" s="82" t="str">
        <f>IF(Cen[[#This Row],[Column2]]="","",Cen[[#This Row],[Column2]])</f>
        <v/>
      </c>
      <c r="C20" s="82" t="str">
        <f>IF(Cen[[#This Row],[Column3]]="","",Cen[[#This Row],[Column3]])</f>
        <v/>
      </c>
      <c r="D20" s="82" t="str">
        <f>IF(Cen[[#This Row],[Column4]]="","",Cen[[#This Row],[Column4]])</f>
        <v/>
      </c>
      <c r="E20" s="82" t="str">
        <f>IF(Cen[[#This Row],[Column5]]="","",Cen[[#This Row],[Column5]])</f>
        <v/>
      </c>
      <c r="F20" s="87" t="str">
        <f>IF(Cen[[#This Row],[Column6]]="","",Cen[[#This Row],[Column6]])</f>
        <v/>
      </c>
      <c r="G20" s="82" t="str">
        <f>IF(Cen[[#This Row],[Column7]]="","",Cen[[#This Row],[Column7]])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DBE0-340A-457A-A2A7-2AB59CC1D98F}">
  <sheetPr codeName="Sheet3"/>
  <dimension ref="B1:CG48"/>
  <sheetViews>
    <sheetView zoomScale="115" zoomScaleNormal="115" workbookViewId="0">
      <selection activeCell="BU10" sqref="BU10"/>
    </sheetView>
  </sheetViews>
  <sheetFormatPr defaultColWidth="9.140625" defaultRowHeight="14.85" customHeight="1" x14ac:dyDescent="0.2"/>
  <cols>
    <col min="1" max="1" width="2.7109375" style="101" customWidth="1"/>
    <col min="2" max="5" width="2.85546875" style="94" customWidth="1"/>
    <col min="6" max="44" width="2.42578125" style="94" customWidth="1"/>
    <col min="45" max="45" width="2.5703125" style="94" customWidth="1"/>
    <col min="46" max="47" width="2.85546875" style="94" customWidth="1"/>
    <col min="48" max="70" width="2.42578125" style="94" customWidth="1"/>
    <col min="71" max="71" width="9.85546875" style="115" bestFit="1" customWidth="1"/>
    <col min="72" max="73" width="10.85546875" style="101" customWidth="1"/>
    <col min="74" max="74" width="8.5703125" style="101" bestFit="1" customWidth="1"/>
    <col min="75" max="75" width="15.42578125" style="101" bestFit="1" customWidth="1"/>
    <col min="76" max="76" width="12.42578125" style="101" customWidth="1"/>
    <col min="77" max="77" width="11.7109375" style="101" customWidth="1"/>
    <col min="78" max="78" width="17.5703125" style="101" customWidth="1"/>
    <col min="79" max="16384" width="9.140625" style="101"/>
  </cols>
  <sheetData>
    <row r="1" spans="2:85" ht="15" customHeight="1" x14ac:dyDescent="0.2">
      <c r="B1" s="93"/>
      <c r="C1" s="93"/>
      <c r="AC1" s="315"/>
      <c r="AD1" s="315"/>
      <c r="AJ1" s="95" t="s">
        <v>5</v>
      </c>
      <c r="AK1" s="316">
        <f>Page1!AO1+1</f>
        <v>2</v>
      </c>
      <c r="AL1" s="316"/>
      <c r="AM1" s="96" t="s">
        <v>6</v>
      </c>
      <c r="AN1" s="316">
        <f>Page1!$AR$1</f>
        <v>1</v>
      </c>
      <c r="AO1" s="316"/>
      <c r="AP1" s="97"/>
      <c r="AQ1" s="97"/>
      <c r="AR1" s="93"/>
      <c r="AS1" s="93"/>
      <c r="BN1" s="95"/>
      <c r="BP1" s="96"/>
      <c r="BQ1" s="97"/>
      <c r="BR1" s="98"/>
      <c r="BS1" s="99"/>
      <c r="BT1" s="99"/>
      <c r="BU1" s="99"/>
      <c r="BV1" s="99"/>
      <c r="BW1" s="99"/>
      <c r="BX1" s="100" t="s">
        <v>315</v>
      </c>
      <c r="BY1" s="99"/>
      <c r="CA1" s="100"/>
      <c r="CB1" s="100"/>
      <c r="CC1" s="100"/>
      <c r="CD1" s="100"/>
      <c r="CE1" s="102"/>
      <c r="CF1" s="102"/>
      <c r="CG1" s="102"/>
    </row>
    <row r="2" spans="2:85" ht="17.25" customHeight="1" x14ac:dyDescent="0.2">
      <c r="B2" s="101"/>
      <c r="C2" s="97"/>
      <c r="AG2" s="103"/>
      <c r="AH2" s="103"/>
      <c r="AI2" s="95"/>
      <c r="AJ2" s="95" t="s">
        <v>7</v>
      </c>
      <c r="AK2" s="317" t="str">
        <f>Page1!AO4&amp;Page1!AR4&amp;" "&amp;Page1!AT4</f>
        <v xml:space="preserve">/69 </v>
      </c>
      <c r="AL2" s="317"/>
      <c r="AM2" s="317"/>
      <c r="AN2" s="317"/>
      <c r="AO2" s="317"/>
      <c r="AP2" s="97"/>
      <c r="AQ2" s="97"/>
      <c r="AR2" s="101"/>
      <c r="AS2" s="97"/>
      <c r="BO2" s="95"/>
      <c r="BP2" s="95"/>
      <c r="BQ2" s="97"/>
      <c r="BR2" s="104"/>
      <c r="BS2" s="105"/>
      <c r="BT2" s="105"/>
      <c r="BU2" s="105"/>
      <c r="BV2" s="105"/>
      <c r="BW2" s="105"/>
      <c r="BX2" s="106" t="s">
        <v>389</v>
      </c>
      <c r="BY2" s="106" t="s">
        <v>46</v>
      </c>
      <c r="BZ2" s="107" t="s">
        <v>316</v>
      </c>
      <c r="CA2" s="107" t="s">
        <v>391</v>
      </c>
      <c r="CB2" s="102"/>
      <c r="CC2" s="100" t="s">
        <v>317</v>
      </c>
      <c r="CD2" s="102"/>
      <c r="CE2" s="102"/>
      <c r="CF2" s="102"/>
      <c r="CG2" s="102"/>
    </row>
    <row r="3" spans="2:85" ht="15" customHeight="1" thickBot="1" x14ac:dyDescent="0.25">
      <c r="AD3" s="103"/>
      <c r="AE3" s="103"/>
      <c r="AH3" s="103"/>
      <c r="AI3" s="95"/>
      <c r="AJ3" s="95" t="s">
        <v>2</v>
      </c>
      <c r="AK3" s="317">
        <f>Page1!$AO$5</f>
        <v>0</v>
      </c>
      <c r="AL3" s="317"/>
      <c r="AM3" s="317"/>
      <c r="AN3" s="317"/>
      <c r="AO3" s="317"/>
      <c r="AP3" s="97"/>
      <c r="AQ3" s="97"/>
      <c r="AV3" s="103"/>
      <c r="AW3" s="103"/>
      <c r="AX3" s="103"/>
      <c r="AY3" s="95" t="s">
        <v>10</v>
      </c>
      <c r="AZ3" s="319"/>
      <c r="BA3" s="319"/>
      <c r="BB3" s="319"/>
      <c r="BC3" s="319"/>
      <c r="BD3" s="103" t="s">
        <v>318</v>
      </c>
      <c r="BO3" s="95"/>
      <c r="BP3" s="95"/>
      <c r="BQ3" s="97"/>
      <c r="BR3" s="104"/>
      <c r="BS3" s="105"/>
      <c r="BT3" s="105"/>
      <c r="BU3" s="105"/>
      <c r="BV3" s="105"/>
      <c r="BW3" s="105"/>
      <c r="BX3" s="108">
        <v>100</v>
      </c>
      <c r="BY3" s="109">
        <v>0</v>
      </c>
      <c r="BZ3" s="107">
        <v>0</v>
      </c>
      <c r="CA3" s="110">
        <f>ABS($BY$3-$BZ$3)</f>
        <v>0</v>
      </c>
      <c r="CB3" s="102"/>
      <c r="CC3" s="100" t="s">
        <v>319</v>
      </c>
      <c r="CD3" s="102"/>
      <c r="CE3" s="102"/>
      <c r="CF3" s="102"/>
      <c r="CG3" s="102"/>
    </row>
    <row r="4" spans="2:85" ht="14.85" customHeight="1" thickTop="1" thickBot="1" x14ac:dyDescent="0.25">
      <c r="AK4" s="103"/>
      <c r="AO4" s="105"/>
      <c r="AP4" s="105"/>
      <c r="AQ4" s="105"/>
      <c r="AS4" s="103"/>
      <c r="AT4" s="103"/>
      <c r="AU4" s="103"/>
      <c r="AV4" s="103"/>
      <c r="AW4" s="103"/>
      <c r="AX4" s="103"/>
      <c r="AY4" s="95" t="s">
        <v>8</v>
      </c>
      <c r="AZ4" s="318"/>
      <c r="BA4" s="318"/>
      <c r="BB4" s="318"/>
      <c r="BC4" s="318"/>
      <c r="BD4" s="318"/>
      <c r="BE4" s="318"/>
      <c r="BF4" s="103" t="s">
        <v>318</v>
      </c>
      <c r="BQ4" s="103"/>
      <c r="BR4" s="104"/>
      <c r="BS4" s="105"/>
      <c r="BT4" s="105"/>
      <c r="BU4" s="105"/>
      <c r="BV4" s="105"/>
      <c r="BW4" s="100"/>
      <c r="BX4" s="108">
        <v>900</v>
      </c>
      <c r="BY4" s="109">
        <v>0</v>
      </c>
      <c r="BZ4" s="107">
        <v>0</v>
      </c>
      <c r="CA4" s="110">
        <f>ABS($BY$4-$BZ$4)</f>
        <v>0</v>
      </c>
      <c r="CB4" s="102"/>
      <c r="CC4" s="100" t="s">
        <v>320</v>
      </c>
      <c r="CD4" s="102"/>
      <c r="CE4" s="102"/>
      <c r="CF4" s="102"/>
      <c r="CG4" s="102"/>
    </row>
    <row r="5" spans="2:85" ht="14.85" customHeight="1" thickTop="1" thickBot="1" x14ac:dyDescent="0.25">
      <c r="B5" s="103" t="s">
        <v>8</v>
      </c>
      <c r="C5" s="103"/>
      <c r="D5" s="103"/>
      <c r="E5" s="103"/>
      <c r="F5" s="103"/>
      <c r="G5" s="103"/>
      <c r="H5" s="103"/>
      <c r="I5" s="103"/>
      <c r="J5" s="320">
        <f>$AZ$4</f>
        <v>0</v>
      </c>
      <c r="K5" s="320"/>
      <c r="L5" s="320"/>
      <c r="M5" s="320"/>
      <c r="N5" s="103" t="s">
        <v>318</v>
      </c>
      <c r="P5" s="111"/>
      <c r="Q5" s="111"/>
      <c r="R5" s="112"/>
      <c r="S5" s="112"/>
      <c r="AE5" s="111"/>
      <c r="AF5" s="111"/>
      <c r="AG5" s="111"/>
      <c r="AL5" s="103"/>
      <c r="AM5" s="103"/>
      <c r="AN5" s="112"/>
      <c r="AO5" s="105"/>
      <c r="AP5" s="105"/>
      <c r="AQ5" s="105"/>
      <c r="AS5" s="103"/>
      <c r="AT5" s="315" t="s">
        <v>9</v>
      </c>
      <c r="AU5" s="315"/>
      <c r="AV5" s="315"/>
      <c r="AW5" s="315"/>
      <c r="AX5" s="315"/>
      <c r="AY5" s="315"/>
      <c r="AZ5" s="318"/>
      <c r="BA5" s="318"/>
      <c r="BB5" s="318"/>
      <c r="BC5" s="318"/>
      <c r="BD5" s="318"/>
      <c r="BE5" s="318"/>
      <c r="BF5" s="103" t="s">
        <v>318</v>
      </c>
      <c r="BR5" s="104"/>
      <c r="BS5" s="105"/>
      <c r="BT5" s="105"/>
      <c r="BU5" s="105"/>
      <c r="BV5" s="105"/>
      <c r="BW5" s="100"/>
      <c r="BX5" s="113">
        <v>1000</v>
      </c>
      <c r="BY5" s="114">
        <v>0</v>
      </c>
      <c r="BZ5" s="107">
        <v>0</v>
      </c>
      <c r="CA5" s="110">
        <f>ABS($BY$5-$BZ$5)</f>
        <v>0</v>
      </c>
      <c r="CB5" s="102"/>
      <c r="CC5" s="100" t="s">
        <v>321</v>
      </c>
      <c r="CD5" s="102"/>
      <c r="CE5" s="102"/>
      <c r="CF5" s="102"/>
      <c r="CG5" s="102"/>
    </row>
    <row r="6" spans="2:85" ht="14.85" customHeight="1" thickTop="1" thickBot="1" x14ac:dyDescent="0.3">
      <c r="B6" s="278" t="s">
        <v>11</v>
      </c>
      <c r="C6" s="279"/>
      <c r="D6" s="280"/>
      <c r="E6" s="281" t="s">
        <v>322</v>
      </c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282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3" t="s">
        <v>318</v>
      </c>
      <c r="AJ6" s="284"/>
      <c r="AK6" s="285"/>
      <c r="AR6" s="278" t="s">
        <v>11</v>
      </c>
      <c r="AS6" s="279"/>
      <c r="AT6" s="280"/>
      <c r="AU6" s="281" t="s">
        <v>323</v>
      </c>
      <c r="AV6" s="282"/>
      <c r="AW6" s="282"/>
      <c r="AX6" s="282"/>
      <c r="AY6" s="282"/>
      <c r="AZ6" s="282"/>
      <c r="BA6" s="282"/>
      <c r="BB6" s="282"/>
      <c r="BC6" s="282"/>
      <c r="BD6" s="282"/>
      <c r="BE6" s="282"/>
      <c r="BF6" s="282"/>
      <c r="BG6" s="282"/>
      <c r="BH6" s="282"/>
      <c r="BI6" s="282"/>
      <c r="BJ6" s="282"/>
      <c r="BK6" s="282"/>
      <c r="BL6" s="282"/>
      <c r="BM6" s="282"/>
      <c r="BN6" s="282"/>
      <c r="BO6" s="283" t="s">
        <v>318</v>
      </c>
      <c r="BP6" s="284"/>
      <c r="BQ6" s="285"/>
      <c r="BR6" s="115"/>
      <c r="BS6" s="116"/>
      <c r="BT6" s="117" t="s">
        <v>93</v>
      </c>
      <c r="BU6" s="118"/>
      <c r="BV6" s="119"/>
      <c r="BW6" s="119"/>
      <c r="BX6" s="113">
        <v>30000</v>
      </c>
      <c r="BY6" s="114">
        <v>0</v>
      </c>
      <c r="BZ6" s="107">
        <v>0</v>
      </c>
      <c r="CA6" s="110">
        <f>ABS($BY$6-$BZ$6)</f>
        <v>0</v>
      </c>
      <c r="CB6" s="102"/>
      <c r="CC6" s="100" t="s">
        <v>324</v>
      </c>
      <c r="CD6" s="102"/>
      <c r="CE6" s="102"/>
      <c r="CF6" s="102"/>
      <c r="CG6" s="102"/>
    </row>
    <row r="7" spans="2:85" ht="14.85" customHeight="1" thickTop="1" x14ac:dyDescent="0.25">
      <c r="B7" s="292" t="s">
        <v>6</v>
      </c>
      <c r="C7" s="293"/>
      <c r="D7" s="294"/>
      <c r="E7" s="295" t="s">
        <v>325</v>
      </c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7"/>
      <c r="T7" s="295" t="s">
        <v>326</v>
      </c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7"/>
      <c r="AI7" s="286"/>
      <c r="AJ7" s="287"/>
      <c r="AK7" s="288"/>
      <c r="AR7" s="292" t="s">
        <v>6</v>
      </c>
      <c r="AS7" s="293"/>
      <c r="AT7" s="294"/>
      <c r="AU7" s="295" t="s">
        <v>327</v>
      </c>
      <c r="AV7" s="296"/>
      <c r="AW7" s="296"/>
      <c r="AX7" s="296"/>
      <c r="AY7" s="296"/>
      <c r="AZ7" s="296"/>
      <c r="BA7" s="296"/>
      <c r="BB7" s="296"/>
      <c r="BC7" s="296"/>
      <c r="BD7" s="296"/>
      <c r="BE7" s="295" t="s">
        <v>326</v>
      </c>
      <c r="BF7" s="296"/>
      <c r="BG7" s="296"/>
      <c r="BH7" s="296"/>
      <c r="BI7" s="296"/>
      <c r="BJ7" s="296"/>
      <c r="BK7" s="296"/>
      <c r="BL7" s="296"/>
      <c r="BM7" s="296"/>
      <c r="BN7" s="296"/>
      <c r="BO7" s="286"/>
      <c r="BP7" s="287"/>
      <c r="BQ7" s="288"/>
      <c r="BR7" s="115"/>
      <c r="BS7" s="116"/>
      <c r="BT7" s="121" t="s">
        <v>390</v>
      </c>
      <c r="BU7" s="122" t="s">
        <v>46</v>
      </c>
      <c r="BV7" s="123" t="s">
        <v>332</v>
      </c>
      <c r="BW7" s="123"/>
      <c r="BX7" s="100"/>
      <c r="BY7" s="100"/>
      <c r="BZ7" s="124" t="s">
        <v>328</v>
      </c>
      <c r="CA7" s="110">
        <f>MAX($CA$3:$CA$6)</f>
        <v>0</v>
      </c>
      <c r="CB7" s="102"/>
      <c r="CC7" s="125" t="s">
        <v>329</v>
      </c>
      <c r="CD7" s="126"/>
      <c r="CE7" s="126"/>
      <c r="CF7" s="126"/>
      <c r="CG7" s="102"/>
    </row>
    <row r="8" spans="2:85" ht="14.85" customHeight="1" thickBot="1" x14ac:dyDescent="0.3">
      <c r="B8" s="309" t="s">
        <v>0</v>
      </c>
      <c r="C8" s="310"/>
      <c r="D8" s="311"/>
      <c r="E8" s="298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300"/>
      <c r="T8" s="298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300"/>
      <c r="AI8" s="286"/>
      <c r="AJ8" s="287"/>
      <c r="AK8" s="288"/>
      <c r="AR8" s="309" t="s">
        <v>0</v>
      </c>
      <c r="AS8" s="310"/>
      <c r="AT8" s="311"/>
      <c r="AU8" s="298"/>
      <c r="AV8" s="299"/>
      <c r="AW8" s="299"/>
      <c r="AX8" s="299"/>
      <c r="AY8" s="299"/>
      <c r="AZ8" s="299"/>
      <c r="BA8" s="299"/>
      <c r="BB8" s="299"/>
      <c r="BC8" s="299"/>
      <c r="BD8" s="299"/>
      <c r="BE8" s="298"/>
      <c r="BF8" s="299"/>
      <c r="BG8" s="299"/>
      <c r="BH8" s="299"/>
      <c r="BI8" s="299"/>
      <c r="BJ8" s="299"/>
      <c r="BK8" s="299"/>
      <c r="BL8" s="299"/>
      <c r="BM8" s="299"/>
      <c r="BN8" s="299"/>
      <c r="BO8" s="286"/>
      <c r="BP8" s="287"/>
      <c r="BQ8" s="288"/>
      <c r="BR8" s="115"/>
      <c r="BS8" s="116"/>
      <c r="BT8" s="127">
        <v>100</v>
      </c>
      <c r="BU8" s="128">
        <v>0</v>
      </c>
      <c r="BV8" s="123" t="s">
        <v>333</v>
      </c>
      <c r="BW8" s="123"/>
      <c r="BX8" s="100" t="s">
        <v>330</v>
      </c>
      <c r="BY8" s="100"/>
      <c r="BZ8" s="100"/>
      <c r="CA8" s="100"/>
      <c r="CB8" s="100"/>
      <c r="CC8" s="100"/>
      <c r="CD8" s="102"/>
      <c r="CE8" s="102"/>
      <c r="CF8" s="102"/>
      <c r="CG8" s="102"/>
    </row>
    <row r="9" spans="2:85" ht="14.85" customHeight="1" thickTop="1" thickBot="1" x14ac:dyDescent="0.3">
      <c r="B9" s="312" t="s">
        <v>13</v>
      </c>
      <c r="C9" s="313"/>
      <c r="D9" s="314"/>
      <c r="E9" s="312" t="s">
        <v>318</v>
      </c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314"/>
      <c r="T9" s="312" t="s">
        <v>318</v>
      </c>
      <c r="U9" s="313"/>
      <c r="V9" s="313"/>
      <c r="W9" s="313"/>
      <c r="X9" s="313"/>
      <c r="Y9" s="313"/>
      <c r="Z9" s="313"/>
      <c r="AA9" s="313"/>
      <c r="AB9" s="313"/>
      <c r="AC9" s="313"/>
      <c r="AD9" s="313"/>
      <c r="AE9" s="313"/>
      <c r="AF9" s="313"/>
      <c r="AG9" s="313"/>
      <c r="AH9" s="314"/>
      <c r="AI9" s="286"/>
      <c r="AJ9" s="287"/>
      <c r="AK9" s="288"/>
      <c r="AR9" s="312" t="s">
        <v>13</v>
      </c>
      <c r="AS9" s="313"/>
      <c r="AT9" s="314"/>
      <c r="AU9" s="312" t="s">
        <v>318</v>
      </c>
      <c r="AV9" s="313"/>
      <c r="AW9" s="313"/>
      <c r="AX9" s="313"/>
      <c r="AY9" s="313"/>
      <c r="AZ9" s="313"/>
      <c r="BA9" s="313"/>
      <c r="BB9" s="313"/>
      <c r="BC9" s="313"/>
      <c r="BD9" s="313"/>
      <c r="BE9" s="312" t="s">
        <v>318</v>
      </c>
      <c r="BF9" s="313"/>
      <c r="BG9" s="313"/>
      <c r="BH9" s="313"/>
      <c r="BI9" s="313"/>
      <c r="BJ9" s="313"/>
      <c r="BK9" s="313"/>
      <c r="BL9" s="313"/>
      <c r="BM9" s="313"/>
      <c r="BN9" s="313"/>
      <c r="BO9" s="286"/>
      <c r="BP9" s="287"/>
      <c r="BQ9" s="288"/>
      <c r="BR9" s="115"/>
      <c r="BS9" s="116"/>
      <c r="BT9" s="127">
        <v>900</v>
      </c>
      <c r="BU9" s="128">
        <v>0</v>
      </c>
      <c r="BV9" s="129" t="s">
        <v>334</v>
      </c>
      <c r="BW9" s="129"/>
      <c r="BX9" s="100" t="s">
        <v>331</v>
      </c>
      <c r="BY9" s="100"/>
      <c r="BZ9" s="100"/>
      <c r="CA9" s="100"/>
      <c r="CB9" s="100"/>
      <c r="CC9" s="102"/>
      <c r="CD9" s="102"/>
      <c r="CE9" s="102"/>
      <c r="CF9" s="102"/>
      <c r="CG9" s="102"/>
    </row>
    <row r="10" spans="2:85" ht="14.85" customHeight="1" thickTop="1" x14ac:dyDescent="0.25">
      <c r="B10" s="301" t="s">
        <v>103</v>
      </c>
      <c r="C10" s="302"/>
      <c r="D10" s="303"/>
      <c r="E10" s="304" t="e">
        <f>$AU$10+$BU$12</f>
        <v>#DIV/0!</v>
      </c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304"/>
      <c r="R10" s="304"/>
      <c r="S10" s="304"/>
      <c r="T10" s="305">
        <f>$BE$10</f>
        <v>0</v>
      </c>
      <c r="U10" s="305"/>
      <c r="V10" s="305"/>
      <c r="W10" s="305"/>
      <c r="X10" s="305"/>
      <c r="Y10" s="305"/>
      <c r="Z10" s="305"/>
      <c r="AA10" s="305"/>
      <c r="AB10" s="305"/>
      <c r="AC10" s="305"/>
      <c r="AD10" s="305"/>
      <c r="AE10" s="305"/>
      <c r="AF10" s="305"/>
      <c r="AG10" s="305"/>
      <c r="AH10" s="305"/>
      <c r="AI10" s="286"/>
      <c r="AJ10" s="287"/>
      <c r="AK10" s="288"/>
      <c r="AR10" s="301" t="s">
        <v>103</v>
      </c>
      <c r="AS10" s="302"/>
      <c r="AT10" s="303"/>
      <c r="AU10" s="306"/>
      <c r="AV10" s="307"/>
      <c r="AW10" s="307"/>
      <c r="AX10" s="307"/>
      <c r="AY10" s="307"/>
      <c r="AZ10" s="307"/>
      <c r="BA10" s="307"/>
      <c r="BB10" s="307"/>
      <c r="BC10" s="307"/>
      <c r="BD10" s="308"/>
      <c r="BE10" s="306"/>
      <c r="BF10" s="307"/>
      <c r="BG10" s="307"/>
      <c r="BH10" s="307"/>
      <c r="BI10" s="307"/>
      <c r="BJ10" s="307"/>
      <c r="BK10" s="307"/>
      <c r="BL10" s="307"/>
      <c r="BM10" s="307"/>
      <c r="BN10" s="308"/>
      <c r="BO10" s="286"/>
      <c r="BP10" s="287"/>
      <c r="BQ10" s="288"/>
      <c r="BR10" s="115"/>
      <c r="BS10" s="116"/>
      <c r="BT10" s="130">
        <v>1000</v>
      </c>
      <c r="BU10" s="131">
        <v>0</v>
      </c>
      <c r="BV10" s="129" t="s">
        <v>335</v>
      </c>
      <c r="BW10" s="129"/>
    </row>
    <row r="11" spans="2:85" ht="14.85" customHeight="1" x14ac:dyDescent="0.25">
      <c r="B11" s="248" t="s">
        <v>104</v>
      </c>
      <c r="C11" s="249"/>
      <c r="D11" s="250"/>
      <c r="E11" s="274" t="e">
        <f>$AU$11+$BU$12</f>
        <v>#DIV/0!</v>
      </c>
      <c r="F11" s="275"/>
      <c r="G11" s="275"/>
      <c r="H11" s="275"/>
      <c r="I11" s="275"/>
      <c r="J11" s="275"/>
      <c r="K11" s="275"/>
      <c r="L11" s="275"/>
      <c r="M11" s="275"/>
      <c r="N11" s="275"/>
      <c r="O11" s="275"/>
      <c r="P11" s="275"/>
      <c r="Q11" s="275"/>
      <c r="R11" s="275"/>
      <c r="S11" s="276"/>
      <c r="T11" s="277">
        <f>$BE$11</f>
        <v>0</v>
      </c>
      <c r="U11" s="277"/>
      <c r="V11" s="277"/>
      <c r="W11" s="277"/>
      <c r="X11" s="277"/>
      <c r="Y11" s="277"/>
      <c r="Z11" s="277"/>
      <c r="AA11" s="277"/>
      <c r="AB11" s="277"/>
      <c r="AC11" s="277"/>
      <c r="AD11" s="277"/>
      <c r="AE11" s="277"/>
      <c r="AF11" s="277"/>
      <c r="AG11" s="277"/>
      <c r="AH11" s="277"/>
      <c r="AI11" s="286"/>
      <c r="AJ11" s="287"/>
      <c r="AK11" s="288"/>
      <c r="AR11" s="248" t="s">
        <v>104</v>
      </c>
      <c r="AS11" s="249"/>
      <c r="AT11" s="250"/>
      <c r="AU11" s="251"/>
      <c r="AV11" s="252"/>
      <c r="AW11" s="252"/>
      <c r="AX11" s="252"/>
      <c r="AY11" s="252"/>
      <c r="AZ11" s="252"/>
      <c r="BA11" s="252"/>
      <c r="BB11" s="252"/>
      <c r="BC11" s="252"/>
      <c r="BD11" s="253"/>
      <c r="BE11" s="251"/>
      <c r="BF11" s="252"/>
      <c r="BG11" s="252"/>
      <c r="BH11" s="252"/>
      <c r="BI11" s="252"/>
      <c r="BJ11" s="252"/>
      <c r="BK11" s="252"/>
      <c r="BL11" s="252"/>
      <c r="BM11" s="252"/>
      <c r="BN11" s="253"/>
      <c r="BO11" s="286"/>
      <c r="BP11" s="287"/>
      <c r="BQ11" s="288"/>
      <c r="BR11" s="115"/>
      <c r="BS11" s="116"/>
      <c r="BT11" s="130">
        <v>30000</v>
      </c>
      <c r="BU11" s="131">
        <v>0</v>
      </c>
      <c r="BV11" s="129" t="s">
        <v>336</v>
      </c>
      <c r="BW11" s="129"/>
    </row>
    <row r="12" spans="2:85" ht="14.85" customHeight="1" x14ac:dyDescent="0.25">
      <c r="B12" s="248" t="s">
        <v>105</v>
      </c>
      <c r="C12" s="249"/>
      <c r="D12" s="250"/>
      <c r="E12" s="274" t="e">
        <f>$AU$12+$BU$12</f>
        <v>#DIV/0!</v>
      </c>
      <c r="F12" s="275"/>
      <c r="G12" s="275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275"/>
      <c r="S12" s="276"/>
      <c r="T12" s="277">
        <f>$BE$12</f>
        <v>0</v>
      </c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86"/>
      <c r="AJ12" s="287"/>
      <c r="AK12" s="288"/>
      <c r="AR12" s="248" t="s">
        <v>105</v>
      </c>
      <c r="AS12" s="249"/>
      <c r="AT12" s="250"/>
      <c r="AU12" s="251"/>
      <c r="AV12" s="252"/>
      <c r="AW12" s="252"/>
      <c r="AX12" s="252"/>
      <c r="AY12" s="252"/>
      <c r="AZ12" s="252"/>
      <c r="BA12" s="252"/>
      <c r="BB12" s="252"/>
      <c r="BC12" s="252"/>
      <c r="BD12" s="253"/>
      <c r="BE12" s="251"/>
      <c r="BF12" s="252"/>
      <c r="BG12" s="252"/>
      <c r="BH12" s="252"/>
      <c r="BI12" s="252"/>
      <c r="BJ12" s="252"/>
      <c r="BK12" s="252"/>
      <c r="BL12" s="252"/>
      <c r="BM12" s="252"/>
      <c r="BN12" s="253"/>
      <c r="BO12" s="286"/>
      <c r="BP12" s="287"/>
      <c r="BQ12" s="288"/>
      <c r="BR12" s="115"/>
      <c r="BS12" s="132" t="s">
        <v>46</v>
      </c>
      <c r="BT12" s="133" t="e">
        <f>AVERAGE(AU10:AU13)</f>
        <v>#DIV/0!</v>
      </c>
      <c r="BU12" s="134" t="e">
        <f>$BU$11+((($BT$12-$BT$11)*($BU$10-$BU$11))/($BT$10-$BT$11))</f>
        <v>#DIV/0!</v>
      </c>
      <c r="BV12" s="129" t="s">
        <v>337</v>
      </c>
      <c r="BW12" s="129"/>
    </row>
    <row r="13" spans="2:85" ht="15.75" customHeight="1" thickBot="1" x14ac:dyDescent="0.25">
      <c r="B13" s="211" t="s">
        <v>106</v>
      </c>
      <c r="C13" s="212"/>
      <c r="D13" s="213"/>
      <c r="E13" s="321" t="e">
        <f>$AU$13+$BU$12</f>
        <v>#DIV/0!</v>
      </c>
      <c r="F13" s="322"/>
      <c r="G13" s="322"/>
      <c r="H13" s="322"/>
      <c r="I13" s="322"/>
      <c r="J13" s="322"/>
      <c r="K13" s="322"/>
      <c r="L13" s="322"/>
      <c r="M13" s="322"/>
      <c r="N13" s="322"/>
      <c r="O13" s="322"/>
      <c r="P13" s="322"/>
      <c r="Q13" s="322"/>
      <c r="R13" s="322"/>
      <c r="S13" s="323"/>
      <c r="T13" s="324">
        <f>$BE$13</f>
        <v>0</v>
      </c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289"/>
      <c r="AJ13" s="290"/>
      <c r="AK13" s="291"/>
      <c r="AR13" s="211" t="s">
        <v>106</v>
      </c>
      <c r="AS13" s="212"/>
      <c r="AT13" s="213"/>
      <c r="AU13" s="214"/>
      <c r="AV13" s="215"/>
      <c r="AW13" s="215"/>
      <c r="AX13" s="215"/>
      <c r="AY13" s="215"/>
      <c r="AZ13" s="215"/>
      <c r="BA13" s="215"/>
      <c r="BB13" s="215"/>
      <c r="BC13" s="215"/>
      <c r="BD13" s="216"/>
      <c r="BE13" s="214"/>
      <c r="BF13" s="215"/>
      <c r="BG13" s="215"/>
      <c r="BH13" s="215"/>
      <c r="BI13" s="215"/>
      <c r="BJ13" s="215"/>
      <c r="BK13" s="215"/>
      <c r="BL13" s="215"/>
      <c r="BM13" s="215"/>
      <c r="BN13" s="216"/>
      <c r="BO13" s="289"/>
      <c r="BP13" s="290"/>
      <c r="BQ13" s="291"/>
    </row>
    <row r="14" spans="2:85" ht="15.75" customHeight="1" thickTop="1" thickBot="1" x14ac:dyDescent="0.25">
      <c r="B14" s="211" t="s">
        <v>62</v>
      </c>
      <c r="C14" s="212"/>
      <c r="D14" s="213"/>
      <c r="E14" s="260" t="e">
        <f>AVERAGE($E$10:$S$13)</f>
        <v>#DIV/0!</v>
      </c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>
        <f>AVERAGE($T$10:$T$13)</f>
        <v>0</v>
      </c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120"/>
      <c r="AJ14" s="120"/>
      <c r="AK14" s="120"/>
      <c r="AR14" s="135"/>
      <c r="AS14" s="135"/>
      <c r="AT14" s="135"/>
      <c r="AU14" s="136"/>
      <c r="AV14" s="136"/>
      <c r="AW14" s="136"/>
      <c r="AX14" s="136"/>
      <c r="AY14" s="136"/>
      <c r="AZ14" s="136"/>
      <c r="BA14" s="136"/>
      <c r="BB14" s="136"/>
      <c r="BC14" s="136"/>
      <c r="BD14" s="136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20"/>
      <c r="BP14" s="120"/>
      <c r="BQ14" s="120"/>
    </row>
    <row r="15" spans="2:85" ht="15.75" customHeight="1" thickTop="1" thickBot="1" x14ac:dyDescent="0.25">
      <c r="B15" s="211" t="s">
        <v>63</v>
      </c>
      <c r="C15" s="212"/>
      <c r="D15" s="213"/>
      <c r="E15" s="217" t="e">
        <f>STDEV($E$10:$E$13)/SQRT(4)</f>
        <v>#DIV/0!</v>
      </c>
      <c r="F15" s="218"/>
      <c r="G15" s="218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9"/>
      <c r="T15" s="217">
        <f>STDEV($T$10:$AH$13)/SQRT(4)</f>
        <v>0</v>
      </c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9"/>
      <c r="AI15" s="120"/>
      <c r="AJ15" s="120"/>
      <c r="AK15" s="120"/>
      <c r="AR15" s="138"/>
      <c r="AS15" s="138"/>
      <c r="AT15" s="138"/>
      <c r="AU15" s="139"/>
      <c r="AV15" s="139"/>
      <c r="AW15" s="139"/>
      <c r="AX15" s="139"/>
      <c r="AY15" s="139"/>
      <c r="AZ15" s="139"/>
      <c r="BA15" s="139"/>
      <c r="BB15" s="139"/>
      <c r="BC15" s="139"/>
      <c r="BD15" s="139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120"/>
      <c r="BP15" s="120"/>
      <c r="BQ15" s="120"/>
    </row>
    <row r="16" spans="2:85" ht="15.75" customHeight="1" thickTop="1" x14ac:dyDescent="0.2">
      <c r="B16" s="141"/>
      <c r="C16" s="142"/>
      <c r="D16" s="142"/>
      <c r="E16" s="142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20"/>
      <c r="AK16" s="120"/>
      <c r="AL16" s="120"/>
      <c r="AS16" s="142"/>
      <c r="AT16" s="142"/>
      <c r="AU16" s="142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20"/>
      <c r="BQ16" s="120"/>
      <c r="BR16" s="120"/>
      <c r="BT16" s="144"/>
      <c r="BU16" s="144"/>
      <c r="BV16" s="145"/>
      <c r="BW16" s="144"/>
    </row>
    <row r="17" spans="2:76" ht="15.75" customHeight="1" thickBot="1" x14ac:dyDescent="0.55000000000000004">
      <c r="B17" s="261" t="s">
        <v>108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1"/>
      <c r="AC17" s="261"/>
      <c r="AD17" s="261"/>
      <c r="AE17" s="261"/>
      <c r="AF17" s="261"/>
      <c r="AG17" s="261"/>
      <c r="AH17" s="261"/>
      <c r="AI17" s="261"/>
      <c r="AJ17" s="261"/>
      <c r="AK17" s="261"/>
      <c r="AL17" s="261"/>
      <c r="AM17" s="261"/>
      <c r="AN17" s="261"/>
      <c r="AO17" s="261"/>
      <c r="AP17" s="261"/>
      <c r="AQ17" s="146"/>
      <c r="AR17" s="147" t="s">
        <v>375</v>
      </c>
      <c r="AS17" s="115"/>
      <c r="AT17" s="144"/>
      <c r="AU17" s="144"/>
      <c r="AV17" s="145"/>
      <c r="AW17" s="144"/>
      <c r="AX17" s="101"/>
      <c r="AY17" s="101"/>
      <c r="AZ17" s="101"/>
      <c r="BA17" s="101"/>
      <c r="BB17" s="101"/>
      <c r="BC17" s="101"/>
      <c r="BD17" s="101"/>
      <c r="BE17" s="101"/>
      <c r="BF17" s="101"/>
      <c r="BG17" s="101"/>
      <c r="BH17" s="101"/>
      <c r="BI17" s="101"/>
      <c r="BJ17" s="101"/>
      <c r="BK17" s="101"/>
      <c r="BL17" s="101"/>
      <c r="BM17" s="101"/>
      <c r="BN17" s="101"/>
      <c r="BO17" s="101"/>
      <c r="BP17" s="101"/>
      <c r="BQ17" s="101"/>
      <c r="BR17" s="101"/>
      <c r="BS17" s="101"/>
    </row>
    <row r="18" spans="2:76" ht="15.75" customHeight="1" thickTop="1" x14ac:dyDescent="0.2">
      <c r="B18" s="256" t="s">
        <v>29</v>
      </c>
      <c r="C18" s="257"/>
      <c r="D18" s="257"/>
      <c r="E18" s="257"/>
      <c r="F18" s="262" t="s">
        <v>30</v>
      </c>
      <c r="G18" s="263"/>
      <c r="H18" s="263"/>
      <c r="I18" s="263"/>
      <c r="J18" s="263"/>
      <c r="K18" s="263"/>
      <c r="L18" s="263"/>
      <c r="M18" s="263"/>
      <c r="N18" s="263"/>
      <c r="O18" s="263"/>
      <c r="P18" s="264"/>
      <c r="Q18" s="272" t="s">
        <v>359</v>
      </c>
      <c r="R18" s="272"/>
      <c r="S18" s="272"/>
      <c r="T18" s="272"/>
      <c r="U18" s="272"/>
      <c r="V18" s="272"/>
      <c r="W18" s="257" t="s">
        <v>31</v>
      </c>
      <c r="X18" s="257"/>
      <c r="Y18" s="257"/>
      <c r="Z18" s="257"/>
      <c r="AA18" s="257"/>
      <c r="AB18" s="257"/>
      <c r="AC18" s="227" t="s">
        <v>32</v>
      </c>
      <c r="AD18" s="221"/>
      <c r="AE18" s="268"/>
      <c r="AF18" s="226" t="s">
        <v>47</v>
      </c>
      <c r="AG18" s="226"/>
      <c r="AH18" s="226" t="s">
        <v>33</v>
      </c>
      <c r="AI18" s="226"/>
      <c r="AJ18" s="226"/>
      <c r="AK18" s="227"/>
      <c r="AL18" s="220" t="s">
        <v>107</v>
      </c>
      <c r="AM18" s="221"/>
      <c r="AN18" s="221"/>
      <c r="AO18" s="221"/>
      <c r="AP18" s="222"/>
      <c r="AQ18" s="98"/>
      <c r="AR18" s="238" t="s">
        <v>348</v>
      </c>
      <c r="AS18" s="238"/>
      <c r="AT18" s="238"/>
      <c r="AU18" s="238"/>
      <c r="AV18" s="238"/>
      <c r="AW18" s="238"/>
      <c r="AX18" s="236" t="s">
        <v>349</v>
      </c>
      <c r="AY18" s="236"/>
      <c r="AZ18" s="236"/>
      <c r="BA18" s="236"/>
      <c r="BB18" s="236"/>
      <c r="BC18" s="236"/>
      <c r="BT18" s="148"/>
      <c r="BU18" s="148"/>
      <c r="BV18" s="148"/>
      <c r="BW18" s="148"/>
      <c r="BX18" s="148"/>
    </row>
    <row r="19" spans="2:76" ht="15.75" customHeight="1" thickBot="1" x14ac:dyDescent="0.25">
      <c r="B19" s="258"/>
      <c r="C19" s="259"/>
      <c r="D19" s="259"/>
      <c r="E19" s="259"/>
      <c r="F19" s="265"/>
      <c r="G19" s="266"/>
      <c r="H19" s="266"/>
      <c r="I19" s="266"/>
      <c r="J19" s="266"/>
      <c r="K19" s="266"/>
      <c r="L19" s="266"/>
      <c r="M19" s="266"/>
      <c r="N19" s="266"/>
      <c r="O19" s="266"/>
      <c r="P19" s="267"/>
      <c r="Q19" s="273" t="s">
        <v>360</v>
      </c>
      <c r="R19" s="273"/>
      <c r="S19" s="273"/>
      <c r="T19" s="273"/>
      <c r="U19" s="273"/>
      <c r="V19" s="273"/>
      <c r="W19" s="228" t="s">
        <v>34</v>
      </c>
      <c r="X19" s="228"/>
      <c r="Y19" s="228"/>
      <c r="Z19" s="228"/>
      <c r="AA19" s="228"/>
      <c r="AB19" s="228"/>
      <c r="AC19" s="229"/>
      <c r="AD19" s="231"/>
      <c r="AE19" s="269"/>
      <c r="AF19" s="228"/>
      <c r="AG19" s="228"/>
      <c r="AH19" s="228" t="s">
        <v>338</v>
      </c>
      <c r="AI19" s="228"/>
      <c r="AJ19" s="228"/>
      <c r="AK19" s="229"/>
      <c r="AL19" s="230" t="s">
        <v>361</v>
      </c>
      <c r="AM19" s="231"/>
      <c r="AN19" s="231"/>
      <c r="AO19" s="231"/>
      <c r="AP19" s="232"/>
      <c r="AQ19" s="98"/>
      <c r="AR19" s="410" t="s">
        <v>352</v>
      </c>
      <c r="AS19" s="410"/>
      <c r="AT19" s="410"/>
      <c r="AU19" s="410"/>
      <c r="AV19" s="410"/>
      <c r="AW19" s="410"/>
      <c r="AX19" s="237" t="s">
        <v>352</v>
      </c>
      <c r="AY19" s="237"/>
      <c r="AZ19" s="237"/>
      <c r="BA19" s="237"/>
      <c r="BB19" s="237"/>
      <c r="BC19" s="237"/>
      <c r="BT19" s="148"/>
      <c r="BU19" s="148"/>
      <c r="BV19" s="148"/>
      <c r="BW19" s="148"/>
      <c r="BX19" s="148"/>
    </row>
    <row r="20" spans="2:76" ht="15.75" customHeight="1" thickTop="1" thickBot="1" x14ac:dyDescent="0.25">
      <c r="B20" s="381" t="s">
        <v>362</v>
      </c>
      <c r="C20" s="382"/>
      <c r="D20" s="382"/>
      <c r="E20" s="383"/>
      <c r="F20" s="390" t="s">
        <v>339</v>
      </c>
      <c r="G20" s="391"/>
      <c r="H20" s="391"/>
      <c r="I20" s="391"/>
      <c r="J20" s="391"/>
      <c r="K20" s="391"/>
      <c r="L20" s="391"/>
      <c r="M20" s="391"/>
      <c r="N20" s="391"/>
      <c r="O20" s="391"/>
      <c r="P20" s="392"/>
      <c r="Q20" s="325" t="e">
        <f>IF($E$14&lt;1000,0.12,1.2)</f>
        <v>#DIV/0!</v>
      </c>
      <c r="R20" s="326"/>
      <c r="S20" s="326"/>
      <c r="T20" s="327" t="s">
        <v>340</v>
      </c>
      <c r="U20" s="327"/>
      <c r="V20" s="328"/>
      <c r="W20" s="337" t="s">
        <v>49</v>
      </c>
      <c r="X20" s="337"/>
      <c r="Y20" s="337"/>
      <c r="Z20" s="337"/>
      <c r="AA20" s="337"/>
      <c r="AB20" s="337"/>
      <c r="AC20" s="370">
        <v>2</v>
      </c>
      <c r="AD20" s="371"/>
      <c r="AE20" s="372"/>
      <c r="AF20" s="407">
        <v>1</v>
      </c>
      <c r="AG20" s="407"/>
      <c r="AH20" s="355" t="e">
        <f>($Q$20/$AC$20)*$AF$20</f>
        <v>#DIV/0!</v>
      </c>
      <c r="AI20" s="355"/>
      <c r="AJ20" s="355"/>
      <c r="AK20" s="355"/>
      <c r="AL20" s="357" t="str">
        <f>IF($B$8="","","∞")</f>
        <v>∞</v>
      </c>
      <c r="AM20" s="358"/>
      <c r="AN20" s="358"/>
      <c r="AO20" s="358"/>
      <c r="AP20" s="359"/>
      <c r="AQ20" s="149"/>
      <c r="AR20" s="411" t="str">
        <f>IF('Cal 1'!$AZ$4="","",'Cal 1'!$AZ$4)</f>
        <v/>
      </c>
      <c r="AS20" s="411"/>
      <c r="AT20" s="411"/>
      <c r="AU20" s="411"/>
      <c r="AV20" s="411"/>
      <c r="AW20" s="411"/>
      <c r="AX20" s="412" t="str">
        <f>IF('Cal 1'!$AZ$5="","",'Cal 1'!$AZ$5)</f>
        <v/>
      </c>
      <c r="AY20" s="412"/>
      <c r="AZ20" s="412"/>
      <c r="BA20" s="412"/>
      <c r="BB20" s="412"/>
      <c r="BC20" s="412"/>
      <c r="BT20" s="150"/>
      <c r="BU20" s="150"/>
      <c r="BV20" s="150"/>
      <c r="BW20" s="150"/>
      <c r="BX20" s="150"/>
    </row>
    <row r="21" spans="2:76" ht="15.75" customHeight="1" thickBot="1" x14ac:dyDescent="0.3">
      <c r="B21" s="384" t="s">
        <v>363</v>
      </c>
      <c r="C21" s="385"/>
      <c r="D21" s="385"/>
      <c r="E21" s="386"/>
      <c r="F21" s="393" t="s">
        <v>341</v>
      </c>
      <c r="G21" s="394"/>
      <c r="H21" s="394"/>
      <c r="I21" s="394"/>
      <c r="J21" s="394"/>
      <c r="K21" s="394"/>
      <c r="L21" s="394"/>
      <c r="M21" s="394"/>
      <c r="N21" s="394"/>
      <c r="O21" s="394"/>
      <c r="P21" s="395"/>
      <c r="Q21" s="254" t="e">
        <f>Q20</f>
        <v>#DIV/0!</v>
      </c>
      <c r="R21" s="255"/>
      <c r="S21" s="255"/>
      <c r="T21" s="223" t="s">
        <v>340</v>
      </c>
      <c r="U21" s="223" t="s">
        <v>340</v>
      </c>
      <c r="V21" s="224" t="s">
        <v>340</v>
      </c>
      <c r="W21" s="338" t="s">
        <v>392</v>
      </c>
      <c r="X21" s="338"/>
      <c r="Y21" s="338"/>
      <c r="Z21" s="338"/>
      <c r="AA21" s="338"/>
      <c r="AB21" s="338"/>
      <c r="AC21" s="233" t="s">
        <v>393</v>
      </c>
      <c r="AD21" s="234"/>
      <c r="AE21" s="235"/>
      <c r="AF21" s="225">
        <v>1</v>
      </c>
      <c r="AG21" s="225">
        <v>1</v>
      </c>
      <c r="AH21" s="254" t="e">
        <f>($Q$21/SQRT(6))*$AF$21</f>
        <v>#DIV/0!</v>
      </c>
      <c r="AI21" s="255"/>
      <c r="AJ21" s="255"/>
      <c r="AK21" s="356"/>
      <c r="AL21" s="360" t="str">
        <f>IF($B$8="","","∞")</f>
        <v>∞</v>
      </c>
      <c r="AM21" s="361" t="str">
        <f t="shared" ref="AM21:AN24" si="0">IF($B$8="","","∞")</f>
        <v>∞</v>
      </c>
      <c r="AN21" s="361" t="str">
        <f t="shared" si="0"/>
        <v>∞</v>
      </c>
      <c r="AO21" s="361"/>
      <c r="AP21" s="362"/>
      <c r="AQ21" s="149"/>
      <c r="AR21" s="101"/>
      <c r="AS21" s="101"/>
      <c r="AT21" s="101"/>
      <c r="AU21" s="101"/>
      <c r="AV21" s="101"/>
      <c r="AW21" s="101"/>
      <c r="AX21" s="119"/>
      <c r="AY21" s="119"/>
      <c r="AZ21" s="101"/>
      <c r="BA21" s="101"/>
      <c r="BB21" s="101"/>
      <c r="BC21" s="101"/>
      <c r="BD21" s="101"/>
      <c r="BE21" s="101"/>
      <c r="BF21" s="101"/>
      <c r="BG21" s="101"/>
      <c r="BH21" s="101"/>
      <c r="BI21" s="101"/>
      <c r="BJ21" s="101"/>
      <c r="BK21" s="101"/>
      <c r="BL21" s="101"/>
      <c r="BM21" s="101"/>
      <c r="BN21" s="101"/>
      <c r="BO21" s="101"/>
      <c r="BP21" s="101"/>
      <c r="BQ21" s="101"/>
      <c r="BR21" s="101"/>
      <c r="BT21" s="151"/>
      <c r="BU21" s="151"/>
      <c r="BV21" s="151"/>
      <c r="BW21" s="151"/>
      <c r="BX21" s="151"/>
    </row>
    <row r="22" spans="2:76" ht="15.75" customHeight="1" x14ac:dyDescent="0.5">
      <c r="B22" s="384" t="s">
        <v>364</v>
      </c>
      <c r="C22" s="385"/>
      <c r="D22" s="385"/>
      <c r="E22" s="386"/>
      <c r="F22" s="393" t="s">
        <v>342</v>
      </c>
      <c r="G22" s="394"/>
      <c r="H22" s="394"/>
      <c r="I22" s="394"/>
      <c r="J22" s="394"/>
      <c r="K22" s="394"/>
      <c r="L22" s="394"/>
      <c r="M22" s="394"/>
      <c r="N22" s="394"/>
      <c r="O22" s="394"/>
      <c r="P22" s="395"/>
      <c r="Q22" s="254" t="e">
        <f>IF('Cal 1'!$E$14&gt;999,1,0.1)</f>
        <v>#DIV/0!</v>
      </c>
      <c r="R22" s="255"/>
      <c r="S22" s="255"/>
      <c r="T22" s="223" t="s">
        <v>340</v>
      </c>
      <c r="U22" s="223" t="s">
        <v>340</v>
      </c>
      <c r="V22" s="224" t="s">
        <v>340</v>
      </c>
      <c r="W22" s="338" t="s">
        <v>50</v>
      </c>
      <c r="X22" s="338"/>
      <c r="Y22" s="338"/>
      <c r="Z22" s="338"/>
      <c r="AA22" s="338"/>
      <c r="AB22" s="338"/>
      <c r="AC22" s="233" t="s">
        <v>64</v>
      </c>
      <c r="AD22" s="234"/>
      <c r="AE22" s="235"/>
      <c r="AF22" s="225">
        <v>1</v>
      </c>
      <c r="AG22" s="225">
        <v>1</v>
      </c>
      <c r="AH22" s="254" t="e">
        <f>($Q$22/SQRT(3))*$AF$22</f>
        <v>#DIV/0!</v>
      </c>
      <c r="AI22" s="255"/>
      <c r="AJ22" s="255"/>
      <c r="AK22" s="356"/>
      <c r="AL22" s="360" t="str">
        <f>IF($B$8="","","∞")</f>
        <v>∞</v>
      </c>
      <c r="AM22" s="361" t="str">
        <f t="shared" si="0"/>
        <v>∞</v>
      </c>
      <c r="AN22" s="361" t="str">
        <f t="shared" si="0"/>
        <v>∞</v>
      </c>
      <c r="AO22" s="361"/>
      <c r="AP22" s="362"/>
      <c r="AQ22" s="149"/>
      <c r="AR22" s="236" t="s">
        <v>350</v>
      </c>
      <c r="AS22" s="236"/>
      <c r="AT22" s="236"/>
      <c r="AU22" s="236"/>
      <c r="AV22" s="236"/>
      <c r="AW22" s="236"/>
      <c r="AX22" s="236" t="s">
        <v>351</v>
      </c>
      <c r="AY22" s="236"/>
      <c r="AZ22" s="236"/>
      <c r="BA22" s="236"/>
      <c r="BB22" s="236"/>
      <c r="BC22" s="236"/>
      <c r="BD22" s="236" t="s">
        <v>46</v>
      </c>
      <c r="BE22" s="236"/>
      <c r="BF22" s="236"/>
      <c r="BG22" s="236"/>
      <c r="BH22" s="236"/>
      <c r="BI22" s="236" t="s">
        <v>41</v>
      </c>
      <c r="BJ22" s="236"/>
      <c r="BK22" s="236"/>
      <c r="BL22" s="236"/>
      <c r="BM22" s="236"/>
      <c r="BN22" s="146"/>
      <c r="BO22" s="146"/>
      <c r="BP22" s="146"/>
      <c r="BQ22" s="146"/>
      <c r="BR22" s="146"/>
      <c r="BS22" s="101"/>
    </row>
    <row r="23" spans="2:76" s="146" customFormat="1" ht="15.75" customHeight="1" thickBot="1" x14ac:dyDescent="0.55000000000000004">
      <c r="B23" s="384" t="s">
        <v>365</v>
      </c>
      <c r="C23" s="385"/>
      <c r="D23" s="385"/>
      <c r="E23" s="386"/>
      <c r="F23" s="393" t="s">
        <v>343</v>
      </c>
      <c r="G23" s="394"/>
      <c r="H23" s="394"/>
      <c r="I23" s="394"/>
      <c r="J23" s="394"/>
      <c r="K23" s="394"/>
      <c r="L23" s="394"/>
      <c r="M23" s="394"/>
      <c r="N23" s="394"/>
      <c r="O23" s="394"/>
      <c r="P23" s="395"/>
      <c r="Q23" s="254">
        <f>'Cal 1'!$AZ$3</f>
        <v>0</v>
      </c>
      <c r="R23" s="255"/>
      <c r="S23" s="255"/>
      <c r="T23" s="223" t="s">
        <v>340</v>
      </c>
      <c r="U23" s="223" t="s">
        <v>340</v>
      </c>
      <c r="V23" s="224" t="s">
        <v>340</v>
      </c>
      <c r="W23" s="338" t="s">
        <v>50</v>
      </c>
      <c r="X23" s="338"/>
      <c r="Y23" s="338"/>
      <c r="Z23" s="338"/>
      <c r="AA23" s="338"/>
      <c r="AB23" s="338"/>
      <c r="AC23" s="233" t="s">
        <v>64</v>
      </c>
      <c r="AD23" s="234"/>
      <c r="AE23" s="235"/>
      <c r="AF23" s="225">
        <v>1</v>
      </c>
      <c r="AG23" s="225">
        <v>1</v>
      </c>
      <c r="AH23" s="254">
        <f>($Q$23/SQRT(3))*$AF$23</f>
        <v>0</v>
      </c>
      <c r="AI23" s="255"/>
      <c r="AJ23" s="255"/>
      <c r="AK23" s="356"/>
      <c r="AL23" s="360" t="str">
        <f>IF($B$8="","","∞")</f>
        <v>∞</v>
      </c>
      <c r="AM23" s="361" t="str">
        <f t="shared" si="0"/>
        <v>∞</v>
      </c>
      <c r="AN23" s="361" t="str">
        <f t="shared" si="0"/>
        <v>∞</v>
      </c>
      <c r="AO23" s="361"/>
      <c r="AP23" s="362"/>
      <c r="AQ23" s="149"/>
      <c r="AR23" s="237" t="s">
        <v>352</v>
      </c>
      <c r="AS23" s="237"/>
      <c r="AT23" s="237"/>
      <c r="AU23" s="237"/>
      <c r="AV23" s="237"/>
      <c r="AW23" s="237"/>
      <c r="AX23" s="237" t="s">
        <v>352</v>
      </c>
      <c r="AY23" s="237"/>
      <c r="AZ23" s="237"/>
      <c r="BA23" s="237"/>
      <c r="BB23" s="237"/>
      <c r="BC23" s="237"/>
      <c r="BD23" s="237" t="s">
        <v>352</v>
      </c>
      <c r="BE23" s="237"/>
      <c r="BF23" s="237"/>
      <c r="BG23" s="237"/>
      <c r="BH23" s="237"/>
      <c r="BI23" s="237" t="s">
        <v>353</v>
      </c>
      <c r="BJ23" s="237"/>
      <c r="BK23" s="237"/>
      <c r="BL23" s="237"/>
      <c r="BM23" s="237"/>
    </row>
    <row r="24" spans="2:76" s="146" customFormat="1" ht="15.75" customHeight="1" thickBot="1" x14ac:dyDescent="0.55000000000000004">
      <c r="B24" s="384" t="s">
        <v>366</v>
      </c>
      <c r="C24" s="385"/>
      <c r="D24" s="385"/>
      <c r="E24" s="386"/>
      <c r="F24" s="393" t="s">
        <v>344</v>
      </c>
      <c r="G24" s="394"/>
      <c r="H24" s="394"/>
      <c r="I24" s="394"/>
      <c r="J24" s="394"/>
      <c r="K24" s="394"/>
      <c r="L24" s="394"/>
      <c r="M24" s="394"/>
      <c r="N24" s="394"/>
      <c r="O24" s="394"/>
      <c r="P24" s="395"/>
      <c r="Q24" s="254">
        <f>$CA$7</f>
        <v>0</v>
      </c>
      <c r="R24" s="255"/>
      <c r="S24" s="255"/>
      <c r="T24" s="223" t="s">
        <v>340</v>
      </c>
      <c r="U24" s="223" t="s">
        <v>340</v>
      </c>
      <c r="V24" s="224" t="s">
        <v>340</v>
      </c>
      <c r="W24" s="338" t="s">
        <v>50</v>
      </c>
      <c r="X24" s="338"/>
      <c r="Y24" s="338"/>
      <c r="Z24" s="338"/>
      <c r="AA24" s="338"/>
      <c r="AB24" s="338"/>
      <c r="AC24" s="233" t="s">
        <v>64</v>
      </c>
      <c r="AD24" s="234"/>
      <c r="AE24" s="235"/>
      <c r="AF24" s="225">
        <v>1</v>
      </c>
      <c r="AG24" s="225">
        <v>1</v>
      </c>
      <c r="AH24" s="254">
        <f>($Q$24/SQRT(3))*$AF$24</f>
        <v>0</v>
      </c>
      <c r="AI24" s="255"/>
      <c r="AJ24" s="255"/>
      <c r="AK24" s="356"/>
      <c r="AL24" s="360" t="str">
        <f>IF($B$8="","","∞")</f>
        <v>∞</v>
      </c>
      <c r="AM24" s="361" t="str">
        <f t="shared" si="0"/>
        <v>∞</v>
      </c>
      <c r="AN24" s="361" t="str">
        <f t="shared" si="0"/>
        <v>∞</v>
      </c>
      <c r="AO24" s="361"/>
      <c r="AP24" s="362"/>
      <c r="AQ24" s="149"/>
      <c r="AR24" s="412">
        <f>IF('Cal 1'!T14&gt;999,ROUND('Cal 1'!T14,0),ROUND('Cal 1'!T14,1))</f>
        <v>0</v>
      </c>
      <c r="AS24" s="412"/>
      <c r="AT24" s="412"/>
      <c r="AU24" s="412"/>
      <c r="AV24" s="412"/>
      <c r="AW24" s="412"/>
      <c r="AX24" s="408" t="e">
        <f>IF('Cal 1'!E14&gt;999,ROUND('Cal 1'!E14,0),ROUND('Cal 1'!E14,1))</f>
        <v>#DIV/0!</v>
      </c>
      <c r="AY24" s="408"/>
      <c r="AZ24" s="408"/>
      <c r="BA24" s="408"/>
      <c r="BB24" s="408"/>
      <c r="BC24" s="408"/>
      <c r="BD24" s="408" t="e">
        <f>$AX24-$AR24</f>
        <v>#DIV/0!</v>
      </c>
      <c r="BE24" s="408"/>
      <c r="BF24" s="408"/>
      <c r="BG24" s="408"/>
      <c r="BH24" s="408"/>
      <c r="BI24" s="409" t="e">
        <f>'Cal 1'!$AH$30</f>
        <v>#DIV/0!</v>
      </c>
      <c r="BJ24" s="409"/>
      <c r="BK24" s="409"/>
      <c r="BL24" s="409"/>
      <c r="BM24" s="409"/>
    </row>
    <row r="25" spans="2:76" s="146" customFormat="1" ht="15.75" customHeight="1" x14ac:dyDescent="0.5">
      <c r="B25" s="384" t="s">
        <v>367</v>
      </c>
      <c r="C25" s="385"/>
      <c r="D25" s="385"/>
      <c r="E25" s="386"/>
      <c r="F25" s="393" t="s">
        <v>345</v>
      </c>
      <c r="G25" s="394"/>
      <c r="H25" s="394"/>
      <c r="I25" s="394"/>
      <c r="J25" s="394"/>
      <c r="K25" s="394"/>
      <c r="L25" s="394"/>
      <c r="M25" s="394"/>
      <c r="N25" s="394"/>
      <c r="O25" s="394"/>
      <c r="P25" s="395"/>
      <c r="Q25" s="254" t="e">
        <f>$E$15</f>
        <v>#DIV/0!</v>
      </c>
      <c r="R25" s="255"/>
      <c r="S25" s="255"/>
      <c r="T25" s="223" t="s">
        <v>340</v>
      </c>
      <c r="U25" s="223" t="s">
        <v>340</v>
      </c>
      <c r="V25" s="224" t="s">
        <v>340</v>
      </c>
      <c r="W25" s="338" t="s">
        <v>49</v>
      </c>
      <c r="X25" s="338"/>
      <c r="Y25" s="338"/>
      <c r="Z25" s="338"/>
      <c r="AA25" s="338"/>
      <c r="AB25" s="338"/>
      <c r="AC25" s="233">
        <v>1</v>
      </c>
      <c r="AD25" s="234"/>
      <c r="AE25" s="235"/>
      <c r="AF25" s="225">
        <f>IF($B$8="","",1)</f>
        <v>1</v>
      </c>
      <c r="AG25" s="225">
        <f>IF($B$8="","",1)</f>
        <v>1</v>
      </c>
      <c r="AH25" s="254" t="e">
        <f>($Q$25/AC25)*$AF$25</f>
        <v>#DIV/0!</v>
      </c>
      <c r="AI25" s="255"/>
      <c r="AJ25" s="255"/>
      <c r="AK25" s="356"/>
      <c r="AL25" s="363">
        <f>COUNT(AU10:BD13)-1</f>
        <v>-1</v>
      </c>
      <c r="AM25" s="364">
        <v>3</v>
      </c>
      <c r="AN25" s="364">
        <v>3</v>
      </c>
      <c r="AO25" s="364"/>
      <c r="AP25" s="365"/>
      <c r="AQ25" s="149"/>
    </row>
    <row r="26" spans="2:76" s="146" customFormat="1" ht="15.75" customHeight="1" thickBot="1" x14ac:dyDescent="0.55000000000000004">
      <c r="B26" s="387" t="s">
        <v>368</v>
      </c>
      <c r="C26" s="388"/>
      <c r="D26" s="388"/>
      <c r="E26" s="389"/>
      <c r="F26" s="396" t="s">
        <v>314</v>
      </c>
      <c r="G26" s="397"/>
      <c r="H26" s="397"/>
      <c r="I26" s="397"/>
      <c r="J26" s="397"/>
      <c r="K26" s="397"/>
      <c r="L26" s="397"/>
      <c r="M26" s="397"/>
      <c r="N26" s="397"/>
      <c r="O26" s="397"/>
      <c r="P26" s="398"/>
      <c r="Q26" s="333">
        <f>$T$15</f>
        <v>0</v>
      </c>
      <c r="R26" s="334"/>
      <c r="S26" s="334"/>
      <c r="T26" s="335" t="s">
        <v>340</v>
      </c>
      <c r="U26" s="335" t="s">
        <v>340</v>
      </c>
      <c r="V26" s="336" t="s">
        <v>340</v>
      </c>
      <c r="W26" s="339" t="s">
        <v>49</v>
      </c>
      <c r="X26" s="339"/>
      <c r="Y26" s="339"/>
      <c r="Z26" s="339"/>
      <c r="AA26" s="339"/>
      <c r="AB26" s="339"/>
      <c r="AC26" s="404">
        <v>1</v>
      </c>
      <c r="AD26" s="405"/>
      <c r="AE26" s="406"/>
      <c r="AF26" s="369">
        <f>IF($B$8="","",1)</f>
        <v>1</v>
      </c>
      <c r="AG26" s="369">
        <f>IF($B$8="","",1)</f>
        <v>1</v>
      </c>
      <c r="AH26" s="254">
        <f>($Q$26/AC26)*$AF$26</f>
        <v>0</v>
      </c>
      <c r="AI26" s="255"/>
      <c r="AJ26" s="255"/>
      <c r="AK26" s="356"/>
      <c r="AL26" s="366">
        <f>COUNT(AU10:BD13)-1</f>
        <v>-1</v>
      </c>
      <c r="AM26" s="367">
        <v>3</v>
      </c>
      <c r="AN26" s="367">
        <v>3</v>
      </c>
      <c r="AO26" s="367"/>
      <c r="AP26" s="368"/>
      <c r="AQ26" s="149"/>
      <c r="AR26" s="101"/>
      <c r="AS26" s="101"/>
      <c r="AT26" s="101"/>
      <c r="AU26" s="101"/>
      <c r="AV26" s="101"/>
      <c r="AW26" s="101"/>
    </row>
    <row r="27" spans="2:76" s="146" customFormat="1" ht="15.75" customHeight="1" thickTop="1" x14ac:dyDescent="0.5">
      <c r="B27" s="239" t="s">
        <v>346</v>
      </c>
      <c r="C27" s="240"/>
      <c r="D27" s="240"/>
      <c r="E27" s="240"/>
      <c r="F27" s="399" t="s">
        <v>35</v>
      </c>
      <c r="G27" s="400"/>
      <c r="H27" s="400"/>
      <c r="I27" s="400"/>
      <c r="J27" s="400"/>
      <c r="K27" s="400"/>
      <c r="L27" s="400"/>
      <c r="M27" s="400"/>
      <c r="N27" s="400"/>
      <c r="O27" s="400"/>
      <c r="P27" s="401"/>
      <c r="Q27" s="375"/>
      <c r="R27" s="376"/>
      <c r="S27" s="376"/>
      <c r="T27" s="376"/>
      <c r="U27" s="376"/>
      <c r="V27" s="377"/>
      <c r="W27" s="402" t="s">
        <v>49</v>
      </c>
      <c r="X27" s="402"/>
      <c r="Y27" s="402"/>
      <c r="Z27" s="402"/>
      <c r="AA27" s="402"/>
      <c r="AB27" s="402"/>
      <c r="AC27" s="152"/>
      <c r="AD27" s="153"/>
      <c r="AE27" s="153"/>
      <c r="AF27" s="153"/>
      <c r="AG27" s="154"/>
      <c r="AH27" s="355" t="e">
        <f>SQRT(SUMSQ($AH$20:$AK$26))</f>
        <v>#DIV/0!</v>
      </c>
      <c r="AI27" s="355"/>
      <c r="AJ27" s="355"/>
      <c r="AK27" s="325"/>
      <c r="AL27" s="340" t="e">
        <f>IF(AND($AH$26=0,AH25=0),"∞",(($AH$27^4)/(($AH$25^4/$AL$25)+($AH$26^4/$AL$26))))</f>
        <v>#DIV/0!</v>
      </c>
      <c r="AM27" s="341"/>
      <c r="AN27" s="341"/>
      <c r="AO27" s="341"/>
      <c r="AP27" s="342"/>
      <c r="AQ27" s="155"/>
    </row>
    <row r="28" spans="2:76" s="146" customFormat="1" ht="15.75" customHeight="1" thickBot="1" x14ac:dyDescent="0.55000000000000004">
      <c r="B28" s="270" t="s">
        <v>36</v>
      </c>
      <c r="C28" s="271"/>
      <c r="D28" s="271"/>
      <c r="E28" s="271"/>
      <c r="F28" s="330" t="s">
        <v>37</v>
      </c>
      <c r="G28" s="331"/>
      <c r="H28" s="331"/>
      <c r="I28" s="331"/>
      <c r="J28" s="331"/>
      <c r="K28" s="331"/>
      <c r="L28" s="331"/>
      <c r="M28" s="331"/>
      <c r="N28" s="331"/>
      <c r="O28" s="331"/>
      <c r="P28" s="332"/>
      <c r="Q28" s="378"/>
      <c r="R28" s="379"/>
      <c r="S28" s="379"/>
      <c r="T28" s="379"/>
      <c r="U28" s="379"/>
      <c r="V28" s="380"/>
      <c r="W28" s="403" t="s">
        <v>51</v>
      </c>
      <c r="X28" s="403"/>
      <c r="Y28" s="403"/>
      <c r="Z28" s="329" t="e">
        <f>IF($AL$27="∞",2,TINV(1-0.9545,$AL$27))</f>
        <v>#DIV/0!</v>
      </c>
      <c r="AA28" s="329"/>
      <c r="AB28" s="329"/>
      <c r="AC28" s="156"/>
      <c r="AD28" s="157"/>
      <c r="AE28" s="157"/>
      <c r="AF28" s="157"/>
      <c r="AG28" s="158"/>
      <c r="AH28" s="373" t="e">
        <f>$Z$28*$AH$27</f>
        <v>#DIV/0!</v>
      </c>
      <c r="AI28" s="373"/>
      <c r="AJ28" s="373"/>
      <c r="AK28" s="374"/>
      <c r="AL28" s="343" t="str">
        <f>IF($B$8="","","∞")</f>
        <v>∞</v>
      </c>
      <c r="AM28" s="344" t="str">
        <f t="shared" ref="AM28:AN28" si="1">IF($B$8="","","∞")</f>
        <v>∞</v>
      </c>
      <c r="AN28" s="344" t="str">
        <f t="shared" si="1"/>
        <v>∞</v>
      </c>
      <c r="AO28" s="344"/>
      <c r="AP28" s="345"/>
      <c r="AQ28" s="149"/>
    </row>
    <row r="29" spans="2:76" s="146" customFormat="1" ht="15.75" customHeight="1" thickTop="1" thickBot="1" x14ac:dyDescent="0.55000000000000004">
      <c r="B29" s="159"/>
      <c r="C29" s="159"/>
      <c r="D29" s="159"/>
      <c r="E29" s="159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99"/>
      <c r="R29" s="99"/>
      <c r="S29" s="99"/>
      <c r="T29" s="99"/>
      <c r="U29" s="99"/>
      <c r="Y29" s="161"/>
      <c r="AC29" s="349" t="s">
        <v>65</v>
      </c>
      <c r="AD29" s="350"/>
      <c r="AE29" s="350"/>
      <c r="AF29" s="350"/>
      <c r="AG29" s="351"/>
      <c r="AH29" s="346">
        <f>IF($T$14&lt;1000,1.2,IF($T$14&gt;5000,2.5,2.4))</f>
        <v>1.2</v>
      </c>
      <c r="AI29" s="347"/>
      <c r="AJ29" s="347"/>
      <c r="AK29" s="348"/>
      <c r="AL29" s="99"/>
      <c r="AM29" s="99"/>
      <c r="AN29" s="99"/>
    </row>
    <row r="30" spans="2:76" s="146" customFormat="1" ht="15.75" customHeight="1" thickTop="1" thickBot="1" x14ac:dyDescent="0.55000000000000004">
      <c r="B30" s="159"/>
      <c r="C30" s="159"/>
      <c r="D30" s="159"/>
      <c r="E30" s="159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99"/>
      <c r="R30" s="99"/>
      <c r="S30" s="99"/>
      <c r="T30" s="99"/>
      <c r="U30" s="99"/>
      <c r="V30" s="99"/>
      <c r="W30" s="161"/>
      <c r="X30" s="161"/>
      <c r="Y30" s="161"/>
      <c r="Z30" s="99"/>
      <c r="AA30" s="99"/>
      <c r="AB30" s="99"/>
      <c r="AC30" s="352" t="s">
        <v>66</v>
      </c>
      <c r="AD30" s="353"/>
      <c r="AE30" s="353"/>
      <c r="AF30" s="353"/>
      <c r="AG30" s="354"/>
      <c r="AH30" s="245" t="e">
        <f>IF($AH$28&lt;$AH$29,ROUNDUP($AH$29,2),ROUNDUP($AH$28,1))</f>
        <v>#DIV/0!</v>
      </c>
      <c r="AI30" s="246"/>
      <c r="AJ30" s="246"/>
      <c r="AK30" s="247"/>
      <c r="AL30" s="99"/>
      <c r="AM30" s="99"/>
      <c r="AN30" s="99"/>
      <c r="AR30" s="162"/>
      <c r="AS30" s="138"/>
      <c r="AT30" s="138"/>
      <c r="AU30" s="138"/>
      <c r="AV30" s="163"/>
      <c r="AW30" s="163"/>
      <c r="AX30" s="163"/>
      <c r="AY30" s="163"/>
      <c r="AZ30" s="163"/>
      <c r="BA30" s="163"/>
      <c r="BB30" s="163"/>
      <c r="BC30" s="163"/>
      <c r="BD30" s="163"/>
      <c r="BE30" s="162"/>
      <c r="BF30" s="163"/>
      <c r="BG30" s="163"/>
      <c r="BH30" s="163"/>
      <c r="BI30" s="163"/>
      <c r="BJ30" s="163"/>
      <c r="BK30" s="163"/>
      <c r="BL30" s="163"/>
      <c r="BM30" s="163"/>
      <c r="BN30" s="163"/>
      <c r="BO30" s="162"/>
      <c r="BP30" s="163"/>
      <c r="BQ30" s="163"/>
      <c r="BR30" s="163"/>
    </row>
    <row r="31" spans="2:76" s="146" customFormat="1" ht="18.95" customHeight="1" thickTop="1" x14ac:dyDescent="0.5">
      <c r="B31" s="94"/>
      <c r="C31" s="138"/>
      <c r="D31" s="138"/>
      <c r="E31" s="138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2"/>
      <c r="AH31" s="162"/>
      <c r="AI31" s="162"/>
      <c r="AJ31" s="163"/>
      <c r="AK31" s="163"/>
      <c r="AL31" s="163"/>
      <c r="AM31" s="163"/>
      <c r="AN31" s="163"/>
      <c r="AO31" s="163"/>
      <c r="AP31" s="163"/>
      <c r="AQ31" s="162"/>
      <c r="AR31" s="103"/>
      <c r="AS31" s="103"/>
      <c r="AT31" s="103"/>
      <c r="AU31" s="103"/>
      <c r="AV31" s="103"/>
      <c r="AW31" s="103"/>
      <c r="AX31" s="94"/>
      <c r="AY31" s="94"/>
      <c r="AZ31" s="94"/>
      <c r="BA31" s="94"/>
      <c r="BB31" s="94"/>
      <c r="BC31" s="94"/>
      <c r="BD31" s="94"/>
      <c r="BE31" s="94"/>
      <c r="BF31" s="94"/>
      <c r="BG31" s="94"/>
      <c r="BH31" s="94"/>
      <c r="BI31" s="94"/>
      <c r="BJ31" s="94"/>
      <c r="BK31" s="94"/>
      <c r="BL31" s="164"/>
      <c r="BM31" s="164"/>
      <c r="BN31" s="164"/>
      <c r="BO31" s="94"/>
      <c r="BP31" s="94"/>
      <c r="BQ31" s="94"/>
      <c r="BR31" s="115"/>
    </row>
    <row r="32" spans="2:76" s="169" customFormat="1" ht="17.25" x14ac:dyDescent="0.4">
      <c r="B32" s="241" t="s">
        <v>14</v>
      </c>
      <c r="C32" s="241"/>
      <c r="D32" s="241"/>
      <c r="E32" s="241"/>
      <c r="F32" s="241"/>
      <c r="G32" s="241"/>
      <c r="H32" s="242" t="str">
        <f>IF(Page1!F41="","",Page1!F41)</f>
        <v/>
      </c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3" t="s">
        <v>15</v>
      </c>
      <c r="Y32" s="243"/>
      <c r="Z32" s="243"/>
      <c r="AA32" s="244" t="str">
        <f>Page1!S41</f>
        <v/>
      </c>
      <c r="AB32" s="244"/>
      <c r="AC32" s="244"/>
      <c r="AD32" s="244"/>
      <c r="AE32" s="244"/>
      <c r="AF32" s="244"/>
      <c r="AG32" s="244"/>
      <c r="AH32" s="244"/>
      <c r="AI32" s="166"/>
      <c r="AJ32" s="166"/>
      <c r="AK32" s="166"/>
      <c r="AL32" s="166"/>
      <c r="AM32" s="166"/>
      <c r="AN32" s="166"/>
      <c r="AO32" s="166"/>
      <c r="AP32" s="166"/>
      <c r="AQ32" s="166"/>
      <c r="AR32" s="167"/>
      <c r="AS32" s="167"/>
      <c r="AT32" s="165"/>
      <c r="AU32" s="165"/>
      <c r="AV32" s="165"/>
      <c r="AW32" s="165"/>
      <c r="AX32" s="165"/>
      <c r="AY32" s="165"/>
      <c r="AZ32" s="165"/>
      <c r="BA32" s="165"/>
      <c r="BB32" s="165"/>
      <c r="BC32" s="165"/>
      <c r="BD32" s="165"/>
      <c r="BE32" s="165"/>
      <c r="BF32" s="165"/>
      <c r="BG32" s="165"/>
      <c r="BH32" s="165"/>
      <c r="BI32" s="165"/>
      <c r="BJ32" s="165"/>
      <c r="BK32" s="165"/>
      <c r="BL32" s="165"/>
      <c r="BM32" s="165"/>
      <c r="BN32" s="165"/>
      <c r="BO32" s="165"/>
      <c r="BP32" s="165"/>
      <c r="BQ32" s="165"/>
      <c r="BR32" s="168"/>
    </row>
    <row r="33" spans="2:79" s="169" customFormat="1" ht="17.25" x14ac:dyDescent="0.4">
      <c r="B33" s="167" t="s">
        <v>16</v>
      </c>
      <c r="C33" s="16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166"/>
      <c r="AJ33" s="166"/>
      <c r="AK33" s="166"/>
      <c r="AL33" s="166"/>
      <c r="AM33" s="166"/>
      <c r="AN33" s="166"/>
      <c r="AO33" s="166"/>
      <c r="AP33" s="165"/>
      <c r="AQ33" s="165"/>
      <c r="AR33" s="167"/>
      <c r="AS33" s="167"/>
      <c r="AT33" s="167"/>
      <c r="AU33" s="167"/>
      <c r="AV33" s="167"/>
      <c r="AW33" s="167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70"/>
      <c r="BM33" s="170"/>
      <c r="BN33" s="170"/>
      <c r="BO33" s="165"/>
      <c r="BP33" s="165"/>
      <c r="BQ33" s="165"/>
      <c r="BR33" s="168"/>
    </row>
    <row r="34" spans="2:79" s="144" customFormat="1" ht="17.25" x14ac:dyDescent="0.25">
      <c r="B34" s="167" t="s">
        <v>99</v>
      </c>
      <c r="C34" s="167"/>
      <c r="D34" s="167"/>
      <c r="E34" s="167"/>
      <c r="F34" s="167"/>
      <c r="G34" s="167"/>
      <c r="H34" s="208" t="str">
        <f>IF(Page1!$AC41="","",Page1!$AC41)</f>
        <v/>
      </c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  <c r="X34" s="209" t="s">
        <v>15</v>
      </c>
      <c r="Y34" s="209"/>
      <c r="Z34" s="209"/>
      <c r="AA34" s="210" t="str">
        <f>Page1!AP41</f>
        <v/>
      </c>
      <c r="AB34" s="210"/>
      <c r="AC34" s="210"/>
      <c r="AD34" s="210"/>
      <c r="AE34" s="210"/>
      <c r="AF34" s="210"/>
      <c r="AG34" s="210"/>
      <c r="AH34" s="210"/>
      <c r="AI34" s="165"/>
      <c r="AJ34" s="165"/>
      <c r="AK34" s="165"/>
      <c r="AL34" s="165"/>
      <c r="AM34" s="165"/>
      <c r="AN34" s="165"/>
      <c r="AO34" s="165"/>
      <c r="AP34" s="165"/>
      <c r="AQ34" s="165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68"/>
      <c r="BV34" s="145"/>
      <c r="BX34" s="119"/>
      <c r="BY34" s="119"/>
    </row>
    <row r="35" spans="2:79" ht="14.85" customHeight="1" x14ac:dyDescent="0.25"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BT35" s="144"/>
      <c r="BU35" s="144"/>
      <c r="BV35" s="145"/>
      <c r="BW35" s="144"/>
      <c r="BX35" s="123"/>
      <c r="BY35" s="123"/>
      <c r="BZ35" s="119"/>
      <c r="CA35" s="144"/>
    </row>
    <row r="36" spans="2:79" ht="14.85" customHeight="1" x14ac:dyDescent="0.25">
      <c r="AR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T36" s="144"/>
      <c r="BU36" s="144"/>
      <c r="BV36" s="145"/>
      <c r="BW36" s="144"/>
      <c r="BX36" s="129"/>
      <c r="BY36" s="129"/>
      <c r="BZ36" s="119"/>
      <c r="CA36" s="144"/>
    </row>
    <row r="37" spans="2:79" ht="13.5" customHeight="1" x14ac:dyDescent="0.25"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  <c r="BT37" s="144"/>
      <c r="BU37" s="144"/>
      <c r="BV37" s="145"/>
      <c r="BW37" s="144"/>
      <c r="BX37" s="129"/>
      <c r="BY37" s="129"/>
      <c r="BZ37" s="119"/>
      <c r="CA37" s="144"/>
    </row>
    <row r="38" spans="2:79" s="115" customFormat="1" ht="14.85" customHeight="1" x14ac:dyDescent="0.2"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T38" s="144"/>
      <c r="BU38" s="144"/>
      <c r="BV38" s="144"/>
      <c r="BW38" s="144"/>
    </row>
    <row r="39" spans="2:79" ht="14.85" customHeight="1" x14ac:dyDescent="0.2"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1"/>
      <c r="AH39" s="101"/>
      <c r="AI39" s="101"/>
      <c r="AJ39" s="101"/>
      <c r="AK39" s="101"/>
      <c r="AL39" s="101"/>
      <c r="AM39" s="101"/>
      <c r="AN39" s="101"/>
      <c r="AO39" s="101"/>
      <c r="AP39" s="101"/>
      <c r="AQ39" s="101"/>
      <c r="AR39" s="101"/>
      <c r="BG39" s="101"/>
      <c r="BH39" s="101"/>
      <c r="BI39" s="101"/>
      <c r="BJ39" s="101"/>
      <c r="BK39" s="101"/>
      <c r="BL39" s="101"/>
      <c r="BM39" s="101"/>
      <c r="BN39" s="101"/>
      <c r="BO39" s="101"/>
      <c r="BP39" s="101"/>
      <c r="BQ39" s="101"/>
      <c r="BR39" s="101"/>
      <c r="BS39" s="101"/>
    </row>
    <row r="40" spans="2:79" ht="14.85" customHeight="1" x14ac:dyDescent="0.2"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</row>
    <row r="41" spans="2:79" ht="14.85" customHeight="1" x14ac:dyDescent="0.2"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1"/>
      <c r="AL41" s="101"/>
      <c r="AM41" s="101"/>
      <c r="AN41" s="101"/>
      <c r="AO41" s="101"/>
      <c r="AP41" s="101"/>
      <c r="AQ41" s="101"/>
      <c r="BS41" s="101"/>
    </row>
    <row r="42" spans="2:79" ht="14.85" customHeight="1" x14ac:dyDescent="0.2">
      <c r="BT42" s="115"/>
      <c r="BU42" s="115"/>
      <c r="BV42" s="115"/>
      <c r="BW42" s="115"/>
    </row>
    <row r="43" spans="2:79" ht="14.85" customHeight="1" x14ac:dyDescent="0.2">
      <c r="BT43" s="115"/>
      <c r="BU43" s="115"/>
      <c r="BV43" s="115"/>
      <c r="BW43" s="115"/>
    </row>
    <row r="44" spans="2:79" ht="14.85" customHeight="1" x14ac:dyDescent="0.2">
      <c r="BT44" s="115"/>
      <c r="BU44" s="115"/>
      <c r="BV44" s="115"/>
      <c r="BW44" s="115"/>
    </row>
    <row r="45" spans="2:79" ht="14.85" customHeight="1" x14ac:dyDescent="0.2">
      <c r="BT45" s="115"/>
      <c r="BU45" s="115"/>
      <c r="BV45" s="115"/>
      <c r="BW45" s="115"/>
    </row>
    <row r="46" spans="2:79" ht="14.85" customHeight="1" x14ac:dyDescent="0.2">
      <c r="BT46" s="115"/>
      <c r="BU46" s="115"/>
      <c r="BV46" s="115"/>
      <c r="BW46" s="115"/>
    </row>
    <row r="47" spans="2:79" ht="14.85" customHeight="1" x14ac:dyDescent="0.2">
      <c r="BT47" s="115"/>
      <c r="BU47" s="115"/>
      <c r="BV47" s="115"/>
      <c r="BW47" s="115"/>
    </row>
    <row r="48" spans="2:79" ht="14.85" customHeight="1" x14ac:dyDescent="0.2">
      <c r="BT48" s="115"/>
      <c r="BU48" s="115"/>
      <c r="BV48" s="115"/>
      <c r="BW48" s="115"/>
    </row>
  </sheetData>
  <sheetProtection algorithmName="SHA-512" hashValue="OboVncUXyFV4hBX+d01xQDb15akIT1YX+gZv2hLKCOH8jgsH2E8dKBbeNC+jgCZxgCQ2rQmcI3095rvl2s9Hfw==" saltValue="4RyXbwfOmwf7OKFwoRM1GQ==" spinCount="100000" sheet="1" objects="1" scenarios="1"/>
  <protectedRanges>
    <protectedRange sqref="AK1 BQ1" name="ช่วง1"/>
    <protectedRange sqref="AN1" name="ช่วง2"/>
    <protectedRange sqref="D5 AT4" name="Range3_1"/>
    <protectedRange sqref="G5 AL5 AZ5 AW3:AW4" name="Range3_3"/>
    <protectedRange sqref="AA32 AA34 BL31 BL33" name="Range15_2"/>
    <protectedRange sqref="AA32 AA34 BL31 BL33" name="Range8_2"/>
  </protectedRanges>
  <mergeCells count="178">
    <mergeCell ref="BD24:BH24"/>
    <mergeCell ref="BI22:BM22"/>
    <mergeCell ref="BI23:BM23"/>
    <mergeCell ref="BI24:BM24"/>
    <mergeCell ref="AR19:AW19"/>
    <mergeCell ref="AX19:BC19"/>
    <mergeCell ref="AR23:AW23"/>
    <mergeCell ref="AX23:BC23"/>
    <mergeCell ref="AR20:AW20"/>
    <mergeCell ref="AX20:BC20"/>
    <mergeCell ref="AR24:AW24"/>
    <mergeCell ref="AX24:BC24"/>
    <mergeCell ref="AR22:AW22"/>
    <mergeCell ref="AX22:BC22"/>
    <mergeCell ref="AH27:AK27"/>
    <mergeCell ref="AH28:AK28"/>
    <mergeCell ref="Q27:V28"/>
    <mergeCell ref="B20:E20"/>
    <mergeCell ref="B21:E21"/>
    <mergeCell ref="B22:E22"/>
    <mergeCell ref="B23:E23"/>
    <mergeCell ref="B24:E24"/>
    <mergeCell ref="B25:E25"/>
    <mergeCell ref="B26:E26"/>
    <mergeCell ref="F20:P20"/>
    <mergeCell ref="F21:P21"/>
    <mergeCell ref="F22:P22"/>
    <mergeCell ref="F23:P23"/>
    <mergeCell ref="F24:P24"/>
    <mergeCell ref="F25:P25"/>
    <mergeCell ref="F26:P26"/>
    <mergeCell ref="F27:P27"/>
    <mergeCell ref="W27:AB27"/>
    <mergeCell ref="W28:Y28"/>
    <mergeCell ref="AC26:AE26"/>
    <mergeCell ref="AF20:AG20"/>
    <mergeCell ref="AC21:AE21"/>
    <mergeCell ref="T25:V25"/>
    <mergeCell ref="AL27:AP27"/>
    <mergeCell ref="AL28:AP28"/>
    <mergeCell ref="AH29:AK29"/>
    <mergeCell ref="AC29:AG29"/>
    <mergeCell ref="AC30:AG30"/>
    <mergeCell ref="AH20:AK20"/>
    <mergeCell ref="AH21:AK21"/>
    <mergeCell ref="AH22:AK22"/>
    <mergeCell ref="AH23:AK23"/>
    <mergeCell ref="AH24:AK24"/>
    <mergeCell ref="AH25:AK25"/>
    <mergeCell ref="AH26:AK26"/>
    <mergeCell ref="AL20:AP20"/>
    <mergeCell ref="AL21:AP21"/>
    <mergeCell ref="AL22:AP22"/>
    <mergeCell ref="AL23:AP23"/>
    <mergeCell ref="AL24:AP24"/>
    <mergeCell ref="AL25:AP25"/>
    <mergeCell ref="AL26:AP26"/>
    <mergeCell ref="AF24:AG24"/>
    <mergeCell ref="AF25:AG25"/>
    <mergeCell ref="AF26:AG26"/>
    <mergeCell ref="AC20:AE20"/>
    <mergeCell ref="AC25:AE25"/>
    <mergeCell ref="F28:P28"/>
    <mergeCell ref="Q26:S26"/>
    <mergeCell ref="T26:V26"/>
    <mergeCell ref="W20:AB20"/>
    <mergeCell ref="W21:AB21"/>
    <mergeCell ref="W22:AB22"/>
    <mergeCell ref="W23:AB23"/>
    <mergeCell ref="W24:AB24"/>
    <mergeCell ref="W25:AB25"/>
    <mergeCell ref="W26:AB26"/>
    <mergeCell ref="Q25:S25"/>
    <mergeCell ref="W19:AB19"/>
    <mergeCell ref="Q20:S20"/>
    <mergeCell ref="T20:V20"/>
    <mergeCell ref="Q21:S21"/>
    <mergeCell ref="T21:V21"/>
    <mergeCell ref="Q22:S22"/>
    <mergeCell ref="T22:V22"/>
    <mergeCell ref="Q23:S23"/>
    <mergeCell ref="Z28:AB28"/>
    <mergeCell ref="AR9:AT9"/>
    <mergeCell ref="AU9:BD9"/>
    <mergeCell ref="BE9:BN9"/>
    <mergeCell ref="B12:D12"/>
    <mergeCell ref="E12:S12"/>
    <mergeCell ref="T12:AH12"/>
    <mergeCell ref="AT5:AY5"/>
    <mergeCell ref="AC1:AD1"/>
    <mergeCell ref="AK1:AL1"/>
    <mergeCell ref="AN1:AO1"/>
    <mergeCell ref="AK2:AO2"/>
    <mergeCell ref="AZ4:BE4"/>
    <mergeCell ref="AZ5:BE5"/>
    <mergeCell ref="AZ3:BC3"/>
    <mergeCell ref="AK3:AO3"/>
    <mergeCell ref="J5:M5"/>
    <mergeCell ref="E9:S9"/>
    <mergeCell ref="T9:AH9"/>
    <mergeCell ref="B6:D6"/>
    <mergeCell ref="E6:AH6"/>
    <mergeCell ref="AI6:AK13"/>
    <mergeCell ref="B13:D13"/>
    <mergeCell ref="E13:S13"/>
    <mergeCell ref="T13:AH13"/>
    <mergeCell ref="B11:D11"/>
    <mergeCell ref="E11:S11"/>
    <mergeCell ref="T11:AH11"/>
    <mergeCell ref="AR11:AT11"/>
    <mergeCell ref="AU11:BD11"/>
    <mergeCell ref="BE11:BN11"/>
    <mergeCell ref="AR6:AT6"/>
    <mergeCell ref="AU6:BN6"/>
    <mergeCell ref="BO6:BQ13"/>
    <mergeCell ref="B7:D7"/>
    <mergeCell ref="E7:S8"/>
    <mergeCell ref="T7:AH8"/>
    <mergeCell ref="AR7:AT7"/>
    <mergeCell ref="B10:D10"/>
    <mergeCell ref="E10:S10"/>
    <mergeCell ref="T10:AH10"/>
    <mergeCell ref="AR10:AT10"/>
    <mergeCell ref="AU10:BD10"/>
    <mergeCell ref="BE10:BN10"/>
    <mergeCell ref="AU7:BD8"/>
    <mergeCell ref="BE7:BN8"/>
    <mergeCell ref="B8:D8"/>
    <mergeCell ref="AR8:AT8"/>
    <mergeCell ref="B9:D9"/>
    <mergeCell ref="B27:E27"/>
    <mergeCell ref="B32:G32"/>
    <mergeCell ref="H32:W32"/>
    <mergeCell ref="X32:Z32"/>
    <mergeCell ref="AA32:AH32"/>
    <mergeCell ref="AH30:AK30"/>
    <mergeCell ref="AR12:AT12"/>
    <mergeCell ref="AU12:BD12"/>
    <mergeCell ref="BE12:BN12"/>
    <mergeCell ref="Q24:S24"/>
    <mergeCell ref="B18:E19"/>
    <mergeCell ref="B14:D14"/>
    <mergeCell ref="E14:S14"/>
    <mergeCell ref="T14:AH14"/>
    <mergeCell ref="AC24:AE24"/>
    <mergeCell ref="T24:V24"/>
    <mergeCell ref="B17:AP17"/>
    <mergeCell ref="AF18:AG19"/>
    <mergeCell ref="F18:P19"/>
    <mergeCell ref="AC18:AE19"/>
    <mergeCell ref="B28:E28"/>
    <mergeCell ref="Q18:V18"/>
    <mergeCell ref="Q19:V19"/>
    <mergeCell ref="W18:AB18"/>
    <mergeCell ref="D33:AH33"/>
    <mergeCell ref="H34:W34"/>
    <mergeCell ref="X34:Z34"/>
    <mergeCell ref="AA34:AH34"/>
    <mergeCell ref="AR13:AT13"/>
    <mergeCell ref="AU13:BD13"/>
    <mergeCell ref="BE13:BN13"/>
    <mergeCell ref="B15:D15"/>
    <mergeCell ref="E15:S15"/>
    <mergeCell ref="T15:AH15"/>
    <mergeCell ref="AL18:AP18"/>
    <mergeCell ref="T23:V23"/>
    <mergeCell ref="AF21:AG21"/>
    <mergeCell ref="AF22:AG22"/>
    <mergeCell ref="AF23:AG23"/>
    <mergeCell ref="AH18:AK18"/>
    <mergeCell ref="AH19:AK19"/>
    <mergeCell ref="AL19:AP19"/>
    <mergeCell ref="AC22:AE22"/>
    <mergeCell ref="AC23:AE23"/>
    <mergeCell ref="BD22:BH22"/>
    <mergeCell ref="BD23:BH23"/>
    <mergeCell ref="AR18:AW18"/>
    <mergeCell ref="AX18:BC18"/>
  </mergeCells>
  <conditionalFormatting sqref="E14:AH14">
    <cfRule type="cellIs" dxfId="81" priority="50" operator="lessThan">
      <formula>1000</formula>
    </cfRule>
    <cfRule type="cellIs" dxfId="80" priority="51" operator="greaterThan">
      <formula>999</formula>
    </cfRule>
  </conditionalFormatting>
  <conditionalFormatting sqref="E10:S13">
    <cfRule type="cellIs" dxfId="79" priority="48" operator="lessThan">
      <formula>1000</formula>
    </cfRule>
    <cfRule type="cellIs" dxfId="78" priority="49" operator="greaterThan">
      <formula>999</formula>
    </cfRule>
  </conditionalFormatting>
  <conditionalFormatting sqref="E15:AH15">
    <cfRule type="expression" dxfId="77" priority="46">
      <formula>$E$14&lt;1000</formula>
    </cfRule>
    <cfRule type="expression" dxfId="76" priority="47">
      <formula>$E$14&gt;999</formula>
    </cfRule>
  </conditionalFormatting>
  <conditionalFormatting sqref="T10:AH13">
    <cfRule type="cellIs" dxfId="75" priority="44" operator="lessThan">
      <formula>1000</formula>
    </cfRule>
    <cfRule type="cellIs" dxfId="74" priority="45" operator="greaterThan">
      <formula>999</formula>
    </cfRule>
  </conditionalFormatting>
  <conditionalFormatting sqref="BT20:BX20 BI24">
    <cfRule type="expression" dxfId="73" priority="16">
      <formula>#REF!&lt;1000</formula>
    </cfRule>
  </conditionalFormatting>
  <conditionalFormatting sqref="BE10:BN13">
    <cfRule type="expression" dxfId="72" priority="11">
      <formula>$AZ$3=0.1</formula>
    </cfRule>
    <cfRule type="expression" dxfId="71" priority="12">
      <formula>$AZ$3=1</formula>
    </cfRule>
  </conditionalFormatting>
  <conditionalFormatting sqref="AU10:BD13">
    <cfRule type="expression" dxfId="70" priority="9">
      <formula>$AZ$3=0.1</formula>
    </cfRule>
    <cfRule type="expression" dxfId="69" priority="10">
      <formula>$AZ$3=1</formula>
    </cfRule>
  </conditionalFormatting>
  <conditionalFormatting sqref="AX20:BC20">
    <cfRule type="expression" dxfId="68" priority="7">
      <formula>$AZ$3=0.1</formula>
    </cfRule>
    <cfRule type="expression" dxfId="67" priority="8">
      <formula>$AZ$3=1</formula>
    </cfRule>
  </conditionalFormatting>
  <conditionalFormatting sqref="AR24:AW24">
    <cfRule type="expression" dxfId="66" priority="5">
      <formula>$AZ$3=0.1</formula>
    </cfRule>
    <cfRule type="expression" dxfId="65" priority="6">
      <formula>$AZ$3=1</formula>
    </cfRule>
  </conditionalFormatting>
  <conditionalFormatting sqref="AX24:BC24">
    <cfRule type="expression" dxfId="64" priority="3">
      <formula>$T$67&lt;1000</formula>
    </cfRule>
    <cfRule type="expression" dxfId="63" priority="4">
      <formula>$T$67&gt;999.9</formula>
    </cfRule>
  </conditionalFormatting>
  <conditionalFormatting sqref="BD24:BH24">
    <cfRule type="expression" dxfId="62" priority="1">
      <formula>$T$67&lt;1000</formula>
    </cfRule>
    <cfRule type="expression" dxfId="61" priority="2">
      <formula>$T$67&gt;999.9</formula>
    </cfRule>
  </conditionalFormatting>
  <pageMargins left="0.19685039370078741" right="0.19685039370078741" top="0.19685039370078741" bottom="0.19685039370078741" header="0.31496062992125984" footer="0.31496062992125984"/>
  <pageSetup paperSize="9" scale="80" orientation="portrait" r:id="rId1"/>
  <headerFooter>
    <oddFooter>&amp;L&amp;"TH Sarabun New,Regular"&amp;12P-WI-09-ELC-001-1 R03 (19/08/68)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0DDC80-799A-491C-9CA3-4B17BDD0A9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Certificate</vt:lpstr>
      <vt:lpstr>Data</vt:lpstr>
      <vt:lpstr>Data (2)</vt:lpstr>
      <vt:lpstr>Page1</vt:lpstr>
      <vt:lpstr>Cen</vt:lpstr>
      <vt:lpstr>STD</vt:lpstr>
      <vt:lpstr>Cal 1</vt:lpstr>
      <vt:lpstr>STD!Name.Personnel</vt:lpstr>
      <vt:lpstr>Name.Personnel</vt:lpstr>
      <vt:lpstr>'Cal 1'!Print_Area</vt:lpstr>
      <vt:lpstr>Certificate!Print_Area</vt:lpstr>
      <vt:lpstr>Page1!Print_Area</vt:lpstr>
      <vt:lpstr>Toolcode.Ref.STD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cp:lastPrinted>2025-08-19T03:37:46Z</cp:lastPrinted>
  <dcterms:created xsi:type="dcterms:W3CDTF">2006-04-26T11:43:29Z</dcterms:created>
  <dcterms:modified xsi:type="dcterms:W3CDTF">2026-06-24T06:23:26Z</dcterms:modified>
</cp:coreProperties>
</file>